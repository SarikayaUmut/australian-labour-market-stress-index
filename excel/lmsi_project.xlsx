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utsarikaya/lmsi_project/excel/"/>
    </mc:Choice>
  </mc:AlternateContent>
  <xr:revisionPtr revIDLastSave="0" documentId="13_ncr:1_{1602556C-F8F3-5542-8610-B20B44200FF1}" xr6:coauthVersionLast="47" xr6:coauthVersionMax="47" xr10:uidLastSave="{00000000-0000-0000-0000-000000000000}"/>
  <bookViews>
    <workbookView xWindow="0" yWindow="660" windowWidth="30240" windowHeight="18980" activeTab="6" xr2:uid="{27D2448F-241E-8E49-B35A-B904ABBA917D}"/>
  </bookViews>
  <sheets>
    <sheet name="raw_data" sheetId="6" r:id="rId1"/>
    <sheet name="weights" sheetId="1" r:id="rId2"/>
    <sheet name="lmsi_scores" sheetId="7" r:id="rId3"/>
    <sheet name="sensitivity" sheetId="8" r:id="rId4"/>
    <sheet name="v1_vs_v2" sheetId="12" r:id="rId5"/>
    <sheet name="contribution_analysis" sheetId="10" r:id="rId6"/>
    <sheet name="lmsi_robustness" sheetId="14" r:id="rId7"/>
  </sheets>
  <definedNames>
    <definedName name="ExternalData_1" localSheetId="6" hidden="1">lmsi_robustness!$A$1:$H$11</definedName>
    <definedName name="ExternalData_1" localSheetId="0" hidden="1">raw_data!$A$1:$J$1188</definedName>
    <definedName name="ExternalData_1" localSheetId="4" hidden="1">v1_vs_v2!$A$1:$F$1188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14" l="1"/>
  <c r="M4" i="14"/>
  <c r="M5" i="14"/>
  <c r="M6" i="14"/>
  <c r="M7" i="14"/>
  <c r="M8" i="14"/>
  <c r="M9" i="14"/>
  <c r="M10" i="14"/>
  <c r="M11" i="14"/>
  <c r="M2" i="14"/>
  <c r="L3" i="14"/>
  <c r="L4" i="14"/>
  <c r="L5" i="14"/>
  <c r="L6" i="14"/>
  <c r="L7" i="14"/>
  <c r="L8" i="14"/>
  <c r="L9" i="14"/>
  <c r="L10" i="14"/>
  <c r="L11" i="14"/>
  <c r="L2" i="14"/>
  <c r="K3" i="14"/>
  <c r="K4" i="14"/>
  <c r="K5" i="14"/>
  <c r="K6" i="14"/>
  <c r="K7" i="14"/>
  <c r="K8" i="14"/>
  <c r="K9" i="14"/>
  <c r="K10" i="14"/>
  <c r="K11" i="14"/>
  <c r="K2" i="14"/>
  <c r="J3" i="14"/>
  <c r="J4" i="14"/>
  <c r="J5" i="14"/>
  <c r="J6" i="14"/>
  <c r="J7" i="14"/>
  <c r="J8" i="14"/>
  <c r="J9" i="14"/>
  <c r="J10" i="14"/>
  <c r="J11" i="14"/>
  <c r="J2" i="14"/>
  <c r="I3" i="14"/>
  <c r="I4" i="14"/>
  <c r="I5" i="14"/>
  <c r="I6" i="14"/>
  <c r="I7" i="14"/>
  <c r="I8" i="14"/>
  <c r="I9" i="14"/>
  <c r="I10" i="14"/>
  <c r="I11" i="14"/>
  <c r="I2" i="14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L2" i="7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N2" i="10"/>
  <c r="M2" i="10"/>
  <c r="L2" i="10"/>
  <c r="K2" i="10"/>
  <c r="J2" i="10"/>
  <c r="I2" i="10"/>
  <c r="H2" i="12"/>
  <c r="G1188" i="10"/>
  <c r="F1188" i="10"/>
  <c r="H1188" i="10" s="1"/>
  <c r="E1188" i="10"/>
  <c r="D1188" i="10"/>
  <c r="C1188" i="10"/>
  <c r="B1188" i="10"/>
  <c r="A1188" i="10"/>
  <c r="G1187" i="10"/>
  <c r="F1187" i="10"/>
  <c r="E1187" i="10"/>
  <c r="H1187" i="10" s="1"/>
  <c r="D1187" i="10"/>
  <c r="C1187" i="10"/>
  <c r="B1187" i="10"/>
  <c r="A1187" i="10"/>
  <c r="G1186" i="10"/>
  <c r="F1186" i="10"/>
  <c r="E1186" i="10"/>
  <c r="H1186" i="10" s="1"/>
  <c r="D1186" i="10"/>
  <c r="C1186" i="10"/>
  <c r="B1186" i="10"/>
  <c r="A1186" i="10"/>
  <c r="G1185" i="10"/>
  <c r="F1185" i="10"/>
  <c r="H1185" i="10" s="1"/>
  <c r="E1185" i="10"/>
  <c r="D1185" i="10"/>
  <c r="C1185" i="10"/>
  <c r="B1185" i="10"/>
  <c r="A1185" i="10"/>
  <c r="G1184" i="10"/>
  <c r="F1184" i="10"/>
  <c r="E1184" i="10"/>
  <c r="H1184" i="10" s="1"/>
  <c r="D1184" i="10"/>
  <c r="C1184" i="10"/>
  <c r="B1184" i="10"/>
  <c r="A1184" i="10"/>
  <c r="G1183" i="10"/>
  <c r="F1183" i="10"/>
  <c r="E1183" i="10"/>
  <c r="H1183" i="10" s="1"/>
  <c r="D1183" i="10"/>
  <c r="C1183" i="10"/>
  <c r="B1183" i="10"/>
  <c r="A1183" i="10"/>
  <c r="G1182" i="10"/>
  <c r="F1182" i="10"/>
  <c r="H1182" i="10" s="1"/>
  <c r="E1182" i="10"/>
  <c r="D1182" i="10"/>
  <c r="C1182" i="10"/>
  <c r="B1182" i="10"/>
  <c r="A1182" i="10"/>
  <c r="G1181" i="10"/>
  <c r="F1181" i="10"/>
  <c r="E1181" i="10"/>
  <c r="H1181" i="10" s="1"/>
  <c r="D1181" i="10"/>
  <c r="C1181" i="10"/>
  <c r="B1181" i="10"/>
  <c r="A1181" i="10"/>
  <c r="G1180" i="10"/>
  <c r="F1180" i="10"/>
  <c r="E1180" i="10"/>
  <c r="H1180" i="10" s="1"/>
  <c r="D1180" i="10"/>
  <c r="C1180" i="10"/>
  <c r="B1180" i="10"/>
  <c r="A1180" i="10"/>
  <c r="G1179" i="10"/>
  <c r="F1179" i="10"/>
  <c r="H1179" i="10" s="1"/>
  <c r="E1179" i="10"/>
  <c r="D1179" i="10"/>
  <c r="C1179" i="10"/>
  <c r="B1179" i="10"/>
  <c r="A1179" i="10"/>
  <c r="G1178" i="10"/>
  <c r="F1178" i="10"/>
  <c r="E1178" i="10"/>
  <c r="D1178" i="10"/>
  <c r="C1178" i="10"/>
  <c r="B1178" i="10"/>
  <c r="A1178" i="10"/>
  <c r="G1177" i="10"/>
  <c r="F1177" i="10"/>
  <c r="E1177" i="10"/>
  <c r="H1177" i="10" s="1"/>
  <c r="D1177" i="10"/>
  <c r="C1177" i="10"/>
  <c r="B1177" i="10"/>
  <c r="A1177" i="10"/>
  <c r="G1176" i="10"/>
  <c r="F1176" i="10"/>
  <c r="H1176" i="10" s="1"/>
  <c r="E1176" i="10"/>
  <c r="D1176" i="10"/>
  <c r="C1176" i="10"/>
  <c r="B1176" i="10"/>
  <c r="A1176" i="10"/>
  <c r="G1175" i="10"/>
  <c r="F1175" i="10"/>
  <c r="E1175" i="10"/>
  <c r="H1175" i="10" s="1"/>
  <c r="D1175" i="10"/>
  <c r="C1175" i="10"/>
  <c r="B1175" i="10"/>
  <c r="A1175" i="10"/>
  <c r="G1174" i="10"/>
  <c r="F1174" i="10"/>
  <c r="E1174" i="10"/>
  <c r="H1174" i="10" s="1"/>
  <c r="D1174" i="10"/>
  <c r="C1174" i="10"/>
  <c r="B1174" i="10"/>
  <c r="A1174" i="10"/>
  <c r="G1173" i="10"/>
  <c r="F1173" i="10"/>
  <c r="H1173" i="10" s="1"/>
  <c r="E1173" i="10"/>
  <c r="D1173" i="10"/>
  <c r="C1173" i="10"/>
  <c r="B1173" i="10"/>
  <c r="A1173" i="10"/>
  <c r="G1172" i="10"/>
  <c r="F1172" i="10"/>
  <c r="E1172" i="10"/>
  <c r="H1172" i="10" s="1"/>
  <c r="D1172" i="10"/>
  <c r="C1172" i="10"/>
  <c r="B1172" i="10"/>
  <c r="A1172" i="10"/>
  <c r="G1171" i="10"/>
  <c r="F1171" i="10"/>
  <c r="E1171" i="10"/>
  <c r="H1171" i="10" s="1"/>
  <c r="D1171" i="10"/>
  <c r="C1171" i="10"/>
  <c r="B1171" i="10"/>
  <c r="A1171" i="10"/>
  <c r="G1170" i="10"/>
  <c r="F1170" i="10"/>
  <c r="H1170" i="10" s="1"/>
  <c r="E1170" i="10"/>
  <c r="D1170" i="10"/>
  <c r="C1170" i="10"/>
  <c r="B1170" i="10"/>
  <c r="A1170" i="10"/>
  <c r="G1169" i="10"/>
  <c r="F1169" i="10"/>
  <c r="E1169" i="10"/>
  <c r="H1169" i="10" s="1"/>
  <c r="D1169" i="10"/>
  <c r="C1169" i="10"/>
  <c r="B1169" i="10"/>
  <c r="A1169" i="10"/>
  <c r="G1168" i="10"/>
  <c r="F1168" i="10"/>
  <c r="E1168" i="10"/>
  <c r="H1168" i="10" s="1"/>
  <c r="D1168" i="10"/>
  <c r="C1168" i="10"/>
  <c r="B1168" i="10"/>
  <c r="A1168" i="10"/>
  <c r="G1167" i="10"/>
  <c r="F1167" i="10"/>
  <c r="H1167" i="10" s="1"/>
  <c r="E1167" i="10"/>
  <c r="D1167" i="10"/>
  <c r="C1167" i="10"/>
  <c r="B1167" i="10"/>
  <c r="A1167" i="10"/>
  <c r="G1166" i="10"/>
  <c r="F1166" i="10"/>
  <c r="E1166" i="10"/>
  <c r="D1166" i="10"/>
  <c r="C1166" i="10"/>
  <c r="B1166" i="10"/>
  <c r="A1166" i="10"/>
  <c r="G1165" i="10"/>
  <c r="F1165" i="10"/>
  <c r="E1165" i="10"/>
  <c r="H1165" i="10" s="1"/>
  <c r="D1165" i="10"/>
  <c r="C1165" i="10"/>
  <c r="B1165" i="10"/>
  <c r="A1165" i="10"/>
  <c r="G1164" i="10"/>
  <c r="F1164" i="10"/>
  <c r="H1164" i="10" s="1"/>
  <c r="E1164" i="10"/>
  <c r="D1164" i="10"/>
  <c r="C1164" i="10"/>
  <c r="B1164" i="10"/>
  <c r="A1164" i="10"/>
  <c r="G1163" i="10"/>
  <c r="F1163" i="10"/>
  <c r="E1163" i="10"/>
  <c r="H1163" i="10" s="1"/>
  <c r="D1163" i="10"/>
  <c r="C1163" i="10"/>
  <c r="B1163" i="10"/>
  <c r="A1163" i="10"/>
  <c r="G1162" i="10"/>
  <c r="F1162" i="10"/>
  <c r="E1162" i="10"/>
  <c r="H1162" i="10" s="1"/>
  <c r="D1162" i="10"/>
  <c r="C1162" i="10"/>
  <c r="B1162" i="10"/>
  <c r="A1162" i="10"/>
  <c r="G1161" i="10"/>
  <c r="F1161" i="10"/>
  <c r="H1161" i="10" s="1"/>
  <c r="E1161" i="10"/>
  <c r="D1161" i="10"/>
  <c r="C1161" i="10"/>
  <c r="B1161" i="10"/>
  <c r="A1161" i="10"/>
  <c r="G1160" i="10"/>
  <c r="F1160" i="10"/>
  <c r="E1160" i="10"/>
  <c r="H1160" i="10" s="1"/>
  <c r="D1160" i="10"/>
  <c r="C1160" i="10"/>
  <c r="B1160" i="10"/>
  <c r="A1160" i="10"/>
  <c r="G1159" i="10"/>
  <c r="F1159" i="10"/>
  <c r="E1159" i="10"/>
  <c r="H1159" i="10" s="1"/>
  <c r="D1159" i="10"/>
  <c r="C1159" i="10"/>
  <c r="B1159" i="10"/>
  <c r="A1159" i="10"/>
  <c r="G1158" i="10"/>
  <c r="F1158" i="10"/>
  <c r="H1158" i="10" s="1"/>
  <c r="E1158" i="10"/>
  <c r="D1158" i="10"/>
  <c r="C1158" i="10"/>
  <c r="B1158" i="10"/>
  <c r="A1158" i="10"/>
  <c r="G1157" i="10"/>
  <c r="F1157" i="10"/>
  <c r="E1157" i="10"/>
  <c r="H1157" i="10" s="1"/>
  <c r="D1157" i="10"/>
  <c r="C1157" i="10"/>
  <c r="B1157" i="10"/>
  <c r="A1157" i="10"/>
  <c r="G1156" i="10"/>
  <c r="F1156" i="10"/>
  <c r="E1156" i="10"/>
  <c r="H1156" i="10" s="1"/>
  <c r="D1156" i="10"/>
  <c r="C1156" i="10"/>
  <c r="B1156" i="10"/>
  <c r="A1156" i="10"/>
  <c r="G1155" i="10"/>
  <c r="F1155" i="10"/>
  <c r="H1155" i="10" s="1"/>
  <c r="E1155" i="10"/>
  <c r="D1155" i="10"/>
  <c r="C1155" i="10"/>
  <c r="B1155" i="10"/>
  <c r="A1155" i="10"/>
  <c r="G1154" i="10"/>
  <c r="F1154" i="10"/>
  <c r="E1154" i="10"/>
  <c r="D1154" i="10"/>
  <c r="C1154" i="10"/>
  <c r="B1154" i="10"/>
  <c r="A1154" i="10"/>
  <c r="G1153" i="10"/>
  <c r="F1153" i="10"/>
  <c r="E1153" i="10"/>
  <c r="H1153" i="10" s="1"/>
  <c r="D1153" i="10"/>
  <c r="C1153" i="10"/>
  <c r="B1153" i="10"/>
  <c r="A1153" i="10"/>
  <c r="G1152" i="10"/>
  <c r="F1152" i="10"/>
  <c r="H1152" i="10" s="1"/>
  <c r="E1152" i="10"/>
  <c r="D1152" i="10"/>
  <c r="C1152" i="10"/>
  <c r="B1152" i="10"/>
  <c r="A1152" i="10"/>
  <c r="G1151" i="10"/>
  <c r="F1151" i="10"/>
  <c r="E1151" i="10"/>
  <c r="H1151" i="10" s="1"/>
  <c r="D1151" i="10"/>
  <c r="C1151" i="10"/>
  <c r="B1151" i="10"/>
  <c r="A1151" i="10"/>
  <c r="G1150" i="10"/>
  <c r="F1150" i="10"/>
  <c r="E1150" i="10"/>
  <c r="H1150" i="10" s="1"/>
  <c r="D1150" i="10"/>
  <c r="C1150" i="10"/>
  <c r="B1150" i="10"/>
  <c r="A1150" i="10"/>
  <c r="G1149" i="10"/>
  <c r="F1149" i="10"/>
  <c r="H1149" i="10" s="1"/>
  <c r="E1149" i="10"/>
  <c r="D1149" i="10"/>
  <c r="C1149" i="10"/>
  <c r="B1149" i="10"/>
  <c r="A1149" i="10"/>
  <c r="G1148" i="10"/>
  <c r="F1148" i="10"/>
  <c r="E1148" i="10"/>
  <c r="H1148" i="10" s="1"/>
  <c r="D1148" i="10"/>
  <c r="C1148" i="10"/>
  <c r="B1148" i="10"/>
  <c r="A1148" i="10"/>
  <c r="G1147" i="10"/>
  <c r="F1147" i="10"/>
  <c r="E1147" i="10"/>
  <c r="H1147" i="10" s="1"/>
  <c r="D1147" i="10"/>
  <c r="C1147" i="10"/>
  <c r="B1147" i="10"/>
  <c r="A1147" i="10"/>
  <c r="G1146" i="10"/>
  <c r="F1146" i="10"/>
  <c r="H1146" i="10" s="1"/>
  <c r="E1146" i="10"/>
  <c r="D1146" i="10"/>
  <c r="C1146" i="10"/>
  <c r="B1146" i="10"/>
  <c r="A1146" i="10"/>
  <c r="G1145" i="10"/>
  <c r="F1145" i="10"/>
  <c r="E1145" i="10"/>
  <c r="H1145" i="10" s="1"/>
  <c r="D1145" i="10"/>
  <c r="C1145" i="10"/>
  <c r="B1145" i="10"/>
  <c r="A1145" i="10"/>
  <c r="G1144" i="10"/>
  <c r="F1144" i="10"/>
  <c r="E1144" i="10"/>
  <c r="H1144" i="10" s="1"/>
  <c r="D1144" i="10"/>
  <c r="C1144" i="10"/>
  <c r="B1144" i="10"/>
  <c r="A1144" i="10"/>
  <c r="G1143" i="10"/>
  <c r="F1143" i="10"/>
  <c r="H1143" i="10" s="1"/>
  <c r="E1143" i="10"/>
  <c r="D1143" i="10"/>
  <c r="C1143" i="10"/>
  <c r="B1143" i="10"/>
  <c r="A1143" i="10"/>
  <c r="G1142" i="10"/>
  <c r="F1142" i="10"/>
  <c r="E1142" i="10"/>
  <c r="D1142" i="10"/>
  <c r="C1142" i="10"/>
  <c r="B1142" i="10"/>
  <c r="A1142" i="10"/>
  <c r="G1141" i="10"/>
  <c r="F1141" i="10"/>
  <c r="E1141" i="10"/>
  <c r="H1141" i="10" s="1"/>
  <c r="D1141" i="10"/>
  <c r="C1141" i="10"/>
  <c r="B1141" i="10"/>
  <c r="A1141" i="10"/>
  <c r="G1140" i="10"/>
  <c r="F1140" i="10"/>
  <c r="H1140" i="10" s="1"/>
  <c r="E1140" i="10"/>
  <c r="D1140" i="10"/>
  <c r="C1140" i="10"/>
  <c r="B1140" i="10"/>
  <c r="A1140" i="10"/>
  <c r="G1139" i="10"/>
  <c r="F1139" i="10"/>
  <c r="E1139" i="10"/>
  <c r="H1139" i="10" s="1"/>
  <c r="D1139" i="10"/>
  <c r="C1139" i="10"/>
  <c r="B1139" i="10"/>
  <c r="A1139" i="10"/>
  <c r="G1138" i="10"/>
  <c r="F1138" i="10"/>
  <c r="E1138" i="10"/>
  <c r="H1138" i="10" s="1"/>
  <c r="D1138" i="10"/>
  <c r="C1138" i="10"/>
  <c r="B1138" i="10"/>
  <c r="A1138" i="10"/>
  <c r="G1137" i="10"/>
  <c r="F1137" i="10"/>
  <c r="H1137" i="10" s="1"/>
  <c r="E1137" i="10"/>
  <c r="D1137" i="10"/>
  <c r="C1137" i="10"/>
  <c r="B1137" i="10"/>
  <c r="A1137" i="10"/>
  <c r="G1136" i="10"/>
  <c r="F1136" i="10"/>
  <c r="E1136" i="10"/>
  <c r="H1136" i="10" s="1"/>
  <c r="D1136" i="10"/>
  <c r="C1136" i="10"/>
  <c r="B1136" i="10"/>
  <c r="A1136" i="10"/>
  <c r="G1135" i="10"/>
  <c r="F1135" i="10"/>
  <c r="E1135" i="10"/>
  <c r="H1135" i="10" s="1"/>
  <c r="D1135" i="10"/>
  <c r="C1135" i="10"/>
  <c r="B1135" i="10"/>
  <c r="A1135" i="10"/>
  <c r="G1134" i="10"/>
  <c r="F1134" i="10"/>
  <c r="H1134" i="10" s="1"/>
  <c r="E1134" i="10"/>
  <c r="D1134" i="10"/>
  <c r="C1134" i="10"/>
  <c r="B1134" i="10"/>
  <c r="A1134" i="10"/>
  <c r="G1133" i="10"/>
  <c r="F1133" i="10"/>
  <c r="E1133" i="10"/>
  <c r="H1133" i="10" s="1"/>
  <c r="D1133" i="10"/>
  <c r="C1133" i="10"/>
  <c r="B1133" i="10"/>
  <c r="A1133" i="10"/>
  <c r="G1132" i="10"/>
  <c r="F1132" i="10"/>
  <c r="E1132" i="10"/>
  <c r="H1132" i="10" s="1"/>
  <c r="D1132" i="10"/>
  <c r="C1132" i="10"/>
  <c r="B1132" i="10"/>
  <c r="A1132" i="10"/>
  <c r="G1131" i="10"/>
  <c r="F1131" i="10"/>
  <c r="H1131" i="10" s="1"/>
  <c r="E1131" i="10"/>
  <c r="D1131" i="10"/>
  <c r="C1131" i="10"/>
  <c r="B1131" i="10"/>
  <c r="A1131" i="10"/>
  <c r="G1130" i="10"/>
  <c r="F1130" i="10"/>
  <c r="E1130" i="10"/>
  <c r="D1130" i="10"/>
  <c r="C1130" i="10"/>
  <c r="B1130" i="10"/>
  <c r="A1130" i="10"/>
  <c r="G1129" i="10"/>
  <c r="F1129" i="10"/>
  <c r="E1129" i="10"/>
  <c r="H1129" i="10" s="1"/>
  <c r="D1129" i="10"/>
  <c r="C1129" i="10"/>
  <c r="B1129" i="10"/>
  <c r="A1129" i="10"/>
  <c r="G1128" i="10"/>
  <c r="F1128" i="10"/>
  <c r="H1128" i="10" s="1"/>
  <c r="E1128" i="10"/>
  <c r="D1128" i="10"/>
  <c r="C1128" i="10"/>
  <c r="B1128" i="10"/>
  <c r="A1128" i="10"/>
  <c r="G1127" i="10"/>
  <c r="F1127" i="10"/>
  <c r="E1127" i="10"/>
  <c r="H1127" i="10" s="1"/>
  <c r="D1127" i="10"/>
  <c r="C1127" i="10"/>
  <c r="B1127" i="10"/>
  <c r="A1127" i="10"/>
  <c r="G1126" i="10"/>
  <c r="F1126" i="10"/>
  <c r="E1126" i="10"/>
  <c r="H1126" i="10" s="1"/>
  <c r="D1126" i="10"/>
  <c r="C1126" i="10"/>
  <c r="B1126" i="10"/>
  <c r="A1126" i="10"/>
  <c r="G1125" i="10"/>
  <c r="F1125" i="10"/>
  <c r="H1125" i="10" s="1"/>
  <c r="E1125" i="10"/>
  <c r="D1125" i="10"/>
  <c r="C1125" i="10"/>
  <c r="B1125" i="10"/>
  <c r="A1125" i="10"/>
  <c r="G1124" i="10"/>
  <c r="F1124" i="10"/>
  <c r="E1124" i="10"/>
  <c r="H1124" i="10" s="1"/>
  <c r="D1124" i="10"/>
  <c r="C1124" i="10"/>
  <c r="B1124" i="10"/>
  <c r="A1124" i="10"/>
  <c r="G1123" i="10"/>
  <c r="F1123" i="10"/>
  <c r="E1123" i="10"/>
  <c r="H1123" i="10" s="1"/>
  <c r="D1123" i="10"/>
  <c r="C1123" i="10"/>
  <c r="B1123" i="10"/>
  <c r="A1123" i="10"/>
  <c r="G1122" i="10"/>
  <c r="F1122" i="10"/>
  <c r="H1122" i="10" s="1"/>
  <c r="E1122" i="10"/>
  <c r="D1122" i="10"/>
  <c r="C1122" i="10"/>
  <c r="B1122" i="10"/>
  <c r="A1122" i="10"/>
  <c r="G1121" i="10"/>
  <c r="F1121" i="10"/>
  <c r="E1121" i="10"/>
  <c r="H1121" i="10" s="1"/>
  <c r="D1121" i="10"/>
  <c r="C1121" i="10"/>
  <c r="B1121" i="10"/>
  <c r="A1121" i="10"/>
  <c r="G1120" i="10"/>
  <c r="F1120" i="10"/>
  <c r="E1120" i="10"/>
  <c r="H1120" i="10" s="1"/>
  <c r="D1120" i="10"/>
  <c r="C1120" i="10"/>
  <c r="B1120" i="10"/>
  <c r="A1120" i="10"/>
  <c r="G1119" i="10"/>
  <c r="F1119" i="10"/>
  <c r="H1119" i="10" s="1"/>
  <c r="E1119" i="10"/>
  <c r="D1119" i="10"/>
  <c r="C1119" i="10"/>
  <c r="B1119" i="10"/>
  <c r="A1119" i="10"/>
  <c r="G1118" i="10"/>
  <c r="F1118" i="10"/>
  <c r="E1118" i="10"/>
  <c r="D1118" i="10"/>
  <c r="C1118" i="10"/>
  <c r="B1118" i="10"/>
  <c r="A1118" i="10"/>
  <c r="G1117" i="10"/>
  <c r="F1117" i="10"/>
  <c r="E1117" i="10"/>
  <c r="H1117" i="10" s="1"/>
  <c r="D1117" i="10"/>
  <c r="C1117" i="10"/>
  <c r="B1117" i="10"/>
  <c r="A1117" i="10"/>
  <c r="G1116" i="10"/>
  <c r="F1116" i="10"/>
  <c r="H1116" i="10" s="1"/>
  <c r="E1116" i="10"/>
  <c r="D1116" i="10"/>
  <c r="C1116" i="10"/>
  <c r="B1116" i="10"/>
  <c r="A1116" i="10"/>
  <c r="G1115" i="10"/>
  <c r="F1115" i="10"/>
  <c r="E1115" i="10"/>
  <c r="H1115" i="10" s="1"/>
  <c r="D1115" i="10"/>
  <c r="C1115" i="10"/>
  <c r="B1115" i="10"/>
  <c r="A1115" i="10"/>
  <c r="G1114" i="10"/>
  <c r="F1114" i="10"/>
  <c r="E1114" i="10"/>
  <c r="H1114" i="10" s="1"/>
  <c r="D1114" i="10"/>
  <c r="C1114" i="10"/>
  <c r="B1114" i="10"/>
  <c r="A1114" i="10"/>
  <c r="G1113" i="10"/>
  <c r="F1113" i="10"/>
  <c r="H1113" i="10" s="1"/>
  <c r="E1113" i="10"/>
  <c r="D1113" i="10"/>
  <c r="C1113" i="10"/>
  <c r="B1113" i="10"/>
  <c r="A1113" i="10"/>
  <c r="G1112" i="10"/>
  <c r="F1112" i="10"/>
  <c r="E1112" i="10"/>
  <c r="H1112" i="10" s="1"/>
  <c r="D1112" i="10"/>
  <c r="C1112" i="10"/>
  <c r="B1112" i="10"/>
  <c r="A1112" i="10"/>
  <c r="G1111" i="10"/>
  <c r="F1111" i="10"/>
  <c r="E1111" i="10"/>
  <c r="H1111" i="10" s="1"/>
  <c r="D1111" i="10"/>
  <c r="C1111" i="10"/>
  <c r="B1111" i="10"/>
  <c r="A1111" i="10"/>
  <c r="G1110" i="10"/>
  <c r="F1110" i="10"/>
  <c r="H1110" i="10" s="1"/>
  <c r="E1110" i="10"/>
  <c r="D1110" i="10"/>
  <c r="C1110" i="10"/>
  <c r="B1110" i="10"/>
  <c r="A1110" i="10"/>
  <c r="G1109" i="10"/>
  <c r="F1109" i="10"/>
  <c r="E1109" i="10"/>
  <c r="H1109" i="10" s="1"/>
  <c r="D1109" i="10"/>
  <c r="C1109" i="10"/>
  <c r="B1109" i="10"/>
  <c r="A1109" i="10"/>
  <c r="G1108" i="10"/>
  <c r="F1108" i="10"/>
  <c r="E1108" i="10"/>
  <c r="H1108" i="10" s="1"/>
  <c r="D1108" i="10"/>
  <c r="C1108" i="10"/>
  <c r="B1108" i="10"/>
  <c r="A1108" i="10"/>
  <c r="G1107" i="10"/>
  <c r="F1107" i="10"/>
  <c r="H1107" i="10" s="1"/>
  <c r="E1107" i="10"/>
  <c r="D1107" i="10"/>
  <c r="C1107" i="10"/>
  <c r="B1107" i="10"/>
  <c r="A1107" i="10"/>
  <c r="G1106" i="10"/>
  <c r="F1106" i="10"/>
  <c r="E1106" i="10"/>
  <c r="D1106" i="10"/>
  <c r="C1106" i="10"/>
  <c r="B1106" i="10"/>
  <c r="A1106" i="10"/>
  <c r="G1105" i="10"/>
  <c r="F1105" i="10"/>
  <c r="E1105" i="10"/>
  <c r="H1105" i="10" s="1"/>
  <c r="D1105" i="10"/>
  <c r="C1105" i="10"/>
  <c r="B1105" i="10"/>
  <c r="A1105" i="10"/>
  <c r="G1104" i="10"/>
  <c r="F1104" i="10"/>
  <c r="H1104" i="10" s="1"/>
  <c r="E1104" i="10"/>
  <c r="D1104" i="10"/>
  <c r="C1104" i="10"/>
  <c r="B1104" i="10"/>
  <c r="A1104" i="10"/>
  <c r="G1103" i="10"/>
  <c r="F1103" i="10"/>
  <c r="E1103" i="10"/>
  <c r="H1103" i="10" s="1"/>
  <c r="D1103" i="10"/>
  <c r="C1103" i="10"/>
  <c r="B1103" i="10"/>
  <c r="A1103" i="10"/>
  <c r="G1102" i="10"/>
  <c r="F1102" i="10"/>
  <c r="E1102" i="10"/>
  <c r="H1102" i="10" s="1"/>
  <c r="D1102" i="10"/>
  <c r="C1102" i="10"/>
  <c r="B1102" i="10"/>
  <c r="A1102" i="10"/>
  <c r="G1101" i="10"/>
  <c r="F1101" i="10"/>
  <c r="H1101" i="10" s="1"/>
  <c r="E1101" i="10"/>
  <c r="D1101" i="10"/>
  <c r="C1101" i="10"/>
  <c r="B1101" i="10"/>
  <c r="A1101" i="10"/>
  <c r="G1100" i="10"/>
  <c r="F1100" i="10"/>
  <c r="E1100" i="10"/>
  <c r="H1100" i="10" s="1"/>
  <c r="D1100" i="10"/>
  <c r="C1100" i="10"/>
  <c r="B1100" i="10"/>
  <c r="A1100" i="10"/>
  <c r="G1099" i="10"/>
  <c r="F1099" i="10"/>
  <c r="E1099" i="10"/>
  <c r="H1099" i="10" s="1"/>
  <c r="D1099" i="10"/>
  <c r="C1099" i="10"/>
  <c r="B1099" i="10"/>
  <c r="A1099" i="10"/>
  <c r="G1098" i="10"/>
  <c r="F1098" i="10"/>
  <c r="H1098" i="10" s="1"/>
  <c r="E1098" i="10"/>
  <c r="D1098" i="10"/>
  <c r="C1098" i="10"/>
  <c r="B1098" i="10"/>
  <c r="A1098" i="10"/>
  <c r="G1097" i="10"/>
  <c r="F1097" i="10"/>
  <c r="E1097" i="10"/>
  <c r="H1097" i="10" s="1"/>
  <c r="D1097" i="10"/>
  <c r="C1097" i="10"/>
  <c r="B1097" i="10"/>
  <c r="A1097" i="10"/>
  <c r="G1096" i="10"/>
  <c r="F1096" i="10"/>
  <c r="E1096" i="10"/>
  <c r="H1096" i="10" s="1"/>
  <c r="D1096" i="10"/>
  <c r="C1096" i="10"/>
  <c r="B1096" i="10"/>
  <c r="A1096" i="10"/>
  <c r="G1095" i="10"/>
  <c r="F1095" i="10"/>
  <c r="H1095" i="10" s="1"/>
  <c r="E1095" i="10"/>
  <c r="D1095" i="10"/>
  <c r="C1095" i="10"/>
  <c r="B1095" i="10"/>
  <c r="A1095" i="10"/>
  <c r="G1094" i="10"/>
  <c r="F1094" i="10"/>
  <c r="E1094" i="10"/>
  <c r="D1094" i="10"/>
  <c r="C1094" i="10"/>
  <c r="B1094" i="10"/>
  <c r="A1094" i="10"/>
  <c r="G1093" i="10"/>
  <c r="F1093" i="10"/>
  <c r="E1093" i="10"/>
  <c r="H1093" i="10" s="1"/>
  <c r="D1093" i="10"/>
  <c r="C1093" i="10"/>
  <c r="B1093" i="10"/>
  <c r="A1093" i="10"/>
  <c r="G1092" i="10"/>
  <c r="F1092" i="10"/>
  <c r="H1092" i="10" s="1"/>
  <c r="E1092" i="10"/>
  <c r="D1092" i="10"/>
  <c r="C1092" i="10"/>
  <c r="B1092" i="10"/>
  <c r="A1092" i="10"/>
  <c r="G1091" i="10"/>
  <c r="F1091" i="10"/>
  <c r="E1091" i="10"/>
  <c r="H1091" i="10" s="1"/>
  <c r="D1091" i="10"/>
  <c r="C1091" i="10"/>
  <c r="B1091" i="10"/>
  <c r="A1091" i="10"/>
  <c r="G1090" i="10"/>
  <c r="F1090" i="10"/>
  <c r="E1090" i="10"/>
  <c r="H1090" i="10" s="1"/>
  <c r="D1090" i="10"/>
  <c r="C1090" i="10"/>
  <c r="B1090" i="10"/>
  <c r="A1090" i="10"/>
  <c r="G1089" i="10"/>
  <c r="F1089" i="10"/>
  <c r="H1089" i="10" s="1"/>
  <c r="E1089" i="10"/>
  <c r="D1089" i="10"/>
  <c r="C1089" i="10"/>
  <c r="B1089" i="10"/>
  <c r="A1089" i="10"/>
  <c r="G1088" i="10"/>
  <c r="F1088" i="10"/>
  <c r="E1088" i="10"/>
  <c r="H1088" i="10" s="1"/>
  <c r="D1088" i="10"/>
  <c r="C1088" i="10"/>
  <c r="B1088" i="10"/>
  <c r="A1088" i="10"/>
  <c r="G1087" i="10"/>
  <c r="F1087" i="10"/>
  <c r="E1087" i="10"/>
  <c r="H1087" i="10" s="1"/>
  <c r="D1087" i="10"/>
  <c r="C1087" i="10"/>
  <c r="B1087" i="10"/>
  <c r="A1087" i="10"/>
  <c r="G1086" i="10"/>
  <c r="F1086" i="10"/>
  <c r="H1086" i="10" s="1"/>
  <c r="E1086" i="10"/>
  <c r="D1086" i="10"/>
  <c r="C1086" i="10"/>
  <c r="B1086" i="10"/>
  <c r="A1086" i="10"/>
  <c r="G1085" i="10"/>
  <c r="F1085" i="10"/>
  <c r="E1085" i="10"/>
  <c r="H1085" i="10" s="1"/>
  <c r="D1085" i="10"/>
  <c r="C1085" i="10"/>
  <c r="B1085" i="10"/>
  <c r="A1085" i="10"/>
  <c r="G1084" i="10"/>
  <c r="F1084" i="10"/>
  <c r="E1084" i="10"/>
  <c r="H1084" i="10" s="1"/>
  <c r="D1084" i="10"/>
  <c r="C1084" i="10"/>
  <c r="B1084" i="10"/>
  <c r="A1084" i="10"/>
  <c r="G1083" i="10"/>
  <c r="F1083" i="10"/>
  <c r="H1083" i="10" s="1"/>
  <c r="E1083" i="10"/>
  <c r="D1083" i="10"/>
  <c r="C1083" i="10"/>
  <c r="B1083" i="10"/>
  <c r="A1083" i="10"/>
  <c r="G1082" i="10"/>
  <c r="F1082" i="10"/>
  <c r="E1082" i="10"/>
  <c r="D1082" i="10"/>
  <c r="C1082" i="10"/>
  <c r="B1082" i="10"/>
  <c r="A1082" i="10"/>
  <c r="G1081" i="10"/>
  <c r="F1081" i="10"/>
  <c r="E1081" i="10"/>
  <c r="H1081" i="10" s="1"/>
  <c r="D1081" i="10"/>
  <c r="C1081" i="10"/>
  <c r="B1081" i="10"/>
  <c r="A1081" i="10"/>
  <c r="G1080" i="10"/>
  <c r="F1080" i="10"/>
  <c r="H1080" i="10" s="1"/>
  <c r="E1080" i="10"/>
  <c r="D1080" i="10"/>
  <c r="C1080" i="10"/>
  <c r="B1080" i="10"/>
  <c r="A1080" i="10"/>
  <c r="G1079" i="10"/>
  <c r="F1079" i="10"/>
  <c r="E1079" i="10"/>
  <c r="H1079" i="10" s="1"/>
  <c r="D1079" i="10"/>
  <c r="C1079" i="10"/>
  <c r="B1079" i="10"/>
  <c r="A1079" i="10"/>
  <c r="G1078" i="10"/>
  <c r="F1078" i="10"/>
  <c r="E1078" i="10"/>
  <c r="H1078" i="10" s="1"/>
  <c r="D1078" i="10"/>
  <c r="C1078" i="10"/>
  <c r="B1078" i="10"/>
  <c r="A1078" i="10"/>
  <c r="G1077" i="10"/>
  <c r="F1077" i="10"/>
  <c r="H1077" i="10" s="1"/>
  <c r="E1077" i="10"/>
  <c r="D1077" i="10"/>
  <c r="C1077" i="10"/>
  <c r="B1077" i="10"/>
  <c r="A1077" i="10"/>
  <c r="G1076" i="10"/>
  <c r="F1076" i="10"/>
  <c r="E1076" i="10"/>
  <c r="H1076" i="10" s="1"/>
  <c r="D1076" i="10"/>
  <c r="C1076" i="10"/>
  <c r="B1076" i="10"/>
  <c r="A1076" i="10"/>
  <c r="G1075" i="10"/>
  <c r="F1075" i="10"/>
  <c r="E1075" i="10"/>
  <c r="H1075" i="10" s="1"/>
  <c r="D1075" i="10"/>
  <c r="C1075" i="10"/>
  <c r="B1075" i="10"/>
  <c r="A1075" i="10"/>
  <c r="G1074" i="10"/>
  <c r="F1074" i="10"/>
  <c r="H1074" i="10" s="1"/>
  <c r="E1074" i="10"/>
  <c r="D1074" i="10"/>
  <c r="C1074" i="10"/>
  <c r="B1074" i="10"/>
  <c r="A1074" i="10"/>
  <c r="G1073" i="10"/>
  <c r="F1073" i="10"/>
  <c r="E1073" i="10"/>
  <c r="H1073" i="10" s="1"/>
  <c r="D1073" i="10"/>
  <c r="C1073" i="10"/>
  <c r="B1073" i="10"/>
  <c r="A1073" i="10"/>
  <c r="G1072" i="10"/>
  <c r="F1072" i="10"/>
  <c r="E1072" i="10"/>
  <c r="H1072" i="10" s="1"/>
  <c r="D1072" i="10"/>
  <c r="C1072" i="10"/>
  <c r="B1072" i="10"/>
  <c r="A1072" i="10"/>
  <c r="G1071" i="10"/>
  <c r="F1071" i="10"/>
  <c r="H1071" i="10" s="1"/>
  <c r="E1071" i="10"/>
  <c r="D1071" i="10"/>
  <c r="C1071" i="10"/>
  <c r="B1071" i="10"/>
  <c r="A1071" i="10"/>
  <c r="G1070" i="10"/>
  <c r="F1070" i="10"/>
  <c r="E1070" i="10"/>
  <c r="D1070" i="10"/>
  <c r="C1070" i="10"/>
  <c r="B1070" i="10"/>
  <c r="A1070" i="10"/>
  <c r="G1069" i="10"/>
  <c r="F1069" i="10"/>
  <c r="E1069" i="10"/>
  <c r="H1069" i="10" s="1"/>
  <c r="D1069" i="10"/>
  <c r="C1069" i="10"/>
  <c r="B1069" i="10"/>
  <c r="A1069" i="10"/>
  <c r="G1068" i="10"/>
  <c r="F1068" i="10"/>
  <c r="H1068" i="10" s="1"/>
  <c r="E1068" i="10"/>
  <c r="D1068" i="10"/>
  <c r="C1068" i="10"/>
  <c r="B1068" i="10"/>
  <c r="A1068" i="10"/>
  <c r="G1067" i="10"/>
  <c r="F1067" i="10"/>
  <c r="E1067" i="10"/>
  <c r="H1067" i="10" s="1"/>
  <c r="D1067" i="10"/>
  <c r="C1067" i="10"/>
  <c r="B1067" i="10"/>
  <c r="A1067" i="10"/>
  <c r="G1066" i="10"/>
  <c r="F1066" i="10"/>
  <c r="E1066" i="10"/>
  <c r="H1066" i="10" s="1"/>
  <c r="D1066" i="10"/>
  <c r="C1066" i="10"/>
  <c r="B1066" i="10"/>
  <c r="A1066" i="10"/>
  <c r="G1065" i="10"/>
  <c r="F1065" i="10"/>
  <c r="H1065" i="10" s="1"/>
  <c r="E1065" i="10"/>
  <c r="D1065" i="10"/>
  <c r="C1065" i="10"/>
  <c r="B1065" i="10"/>
  <c r="A1065" i="10"/>
  <c r="G1064" i="10"/>
  <c r="F1064" i="10"/>
  <c r="E1064" i="10"/>
  <c r="H1064" i="10" s="1"/>
  <c r="D1064" i="10"/>
  <c r="C1064" i="10"/>
  <c r="B1064" i="10"/>
  <c r="A1064" i="10"/>
  <c r="G1063" i="10"/>
  <c r="F1063" i="10"/>
  <c r="E1063" i="10"/>
  <c r="H1063" i="10" s="1"/>
  <c r="D1063" i="10"/>
  <c r="C1063" i="10"/>
  <c r="B1063" i="10"/>
  <c r="A1063" i="10"/>
  <c r="G1062" i="10"/>
  <c r="F1062" i="10"/>
  <c r="H1062" i="10" s="1"/>
  <c r="E1062" i="10"/>
  <c r="D1062" i="10"/>
  <c r="C1062" i="10"/>
  <c r="B1062" i="10"/>
  <c r="A1062" i="10"/>
  <c r="G1061" i="10"/>
  <c r="F1061" i="10"/>
  <c r="E1061" i="10"/>
  <c r="H1061" i="10" s="1"/>
  <c r="D1061" i="10"/>
  <c r="C1061" i="10"/>
  <c r="B1061" i="10"/>
  <c r="A1061" i="10"/>
  <c r="G1060" i="10"/>
  <c r="F1060" i="10"/>
  <c r="E1060" i="10"/>
  <c r="H1060" i="10" s="1"/>
  <c r="D1060" i="10"/>
  <c r="C1060" i="10"/>
  <c r="B1060" i="10"/>
  <c r="A1060" i="10"/>
  <c r="G1059" i="10"/>
  <c r="F1059" i="10"/>
  <c r="H1059" i="10" s="1"/>
  <c r="E1059" i="10"/>
  <c r="D1059" i="10"/>
  <c r="C1059" i="10"/>
  <c r="B1059" i="10"/>
  <c r="A1059" i="10"/>
  <c r="G1058" i="10"/>
  <c r="F1058" i="10"/>
  <c r="E1058" i="10"/>
  <c r="D1058" i="10"/>
  <c r="C1058" i="10"/>
  <c r="B1058" i="10"/>
  <c r="A1058" i="10"/>
  <c r="G1057" i="10"/>
  <c r="F1057" i="10"/>
  <c r="E1057" i="10"/>
  <c r="H1057" i="10" s="1"/>
  <c r="D1057" i="10"/>
  <c r="C1057" i="10"/>
  <c r="B1057" i="10"/>
  <c r="A1057" i="10"/>
  <c r="G1056" i="10"/>
  <c r="F1056" i="10"/>
  <c r="H1056" i="10" s="1"/>
  <c r="E1056" i="10"/>
  <c r="D1056" i="10"/>
  <c r="C1056" i="10"/>
  <c r="B1056" i="10"/>
  <c r="A1056" i="10"/>
  <c r="G1055" i="10"/>
  <c r="F1055" i="10"/>
  <c r="E1055" i="10"/>
  <c r="H1055" i="10" s="1"/>
  <c r="D1055" i="10"/>
  <c r="C1055" i="10"/>
  <c r="B1055" i="10"/>
  <c r="A1055" i="10"/>
  <c r="G1054" i="10"/>
  <c r="H1054" i="10" s="1"/>
  <c r="F1054" i="10"/>
  <c r="E1054" i="10"/>
  <c r="D1054" i="10"/>
  <c r="C1054" i="10"/>
  <c r="B1054" i="10"/>
  <c r="A1054" i="10"/>
  <c r="G1053" i="10"/>
  <c r="F1053" i="10"/>
  <c r="H1053" i="10" s="1"/>
  <c r="E1053" i="10"/>
  <c r="D1053" i="10"/>
  <c r="C1053" i="10"/>
  <c r="B1053" i="10"/>
  <c r="A1053" i="10"/>
  <c r="G1052" i="10"/>
  <c r="F1052" i="10"/>
  <c r="E1052" i="10"/>
  <c r="H1052" i="10" s="1"/>
  <c r="D1052" i="10"/>
  <c r="C1052" i="10"/>
  <c r="B1052" i="10"/>
  <c r="A1052" i="10"/>
  <c r="G1051" i="10"/>
  <c r="F1051" i="10"/>
  <c r="E1051" i="10"/>
  <c r="H1051" i="10" s="1"/>
  <c r="D1051" i="10"/>
  <c r="C1051" i="10"/>
  <c r="B1051" i="10"/>
  <c r="A1051" i="10"/>
  <c r="G1050" i="10"/>
  <c r="F1050" i="10"/>
  <c r="H1050" i="10" s="1"/>
  <c r="E1050" i="10"/>
  <c r="D1050" i="10"/>
  <c r="C1050" i="10"/>
  <c r="B1050" i="10"/>
  <c r="A1050" i="10"/>
  <c r="G1049" i="10"/>
  <c r="F1049" i="10"/>
  <c r="E1049" i="10"/>
  <c r="D1049" i="10"/>
  <c r="C1049" i="10"/>
  <c r="B1049" i="10"/>
  <c r="A1049" i="10"/>
  <c r="H1048" i="10"/>
  <c r="G1048" i="10"/>
  <c r="F1048" i="10"/>
  <c r="E1048" i="10"/>
  <c r="D1048" i="10"/>
  <c r="C1048" i="10"/>
  <c r="B1048" i="10"/>
  <c r="A1048" i="10"/>
  <c r="G1047" i="10"/>
  <c r="F1047" i="10"/>
  <c r="H1047" i="10" s="1"/>
  <c r="E1047" i="10"/>
  <c r="D1047" i="10"/>
  <c r="C1047" i="10"/>
  <c r="B1047" i="10"/>
  <c r="A1047" i="10"/>
  <c r="G1046" i="10"/>
  <c r="F1046" i="10"/>
  <c r="E1046" i="10"/>
  <c r="H1046" i="10" s="1"/>
  <c r="D1046" i="10"/>
  <c r="C1046" i="10"/>
  <c r="B1046" i="10"/>
  <c r="A1046" i="10"/>
  <c r="G1045" i="10"/>
  <c r="F1045" i="10"/>
  <c r="H1045" i="10" s="1"/>
  <c r="E1045" i="10"/>
  <c r="D1045" i="10"/>
  <c r="C1045" i="10"/>
  <c r="B1045" i="10"/>
  <c r="A1045" i="10"/>
  <c r="G1044" i="10"/>
  <c r="F1044" i="10"/>
  <c r="H1044" i="10" s="1"/>
  <c r="E1044" i="10"/>
  <c r="D1044" i="10"/>
  <c r="C1044" i="10"/>
  <c r="B1044" i="10"/>
  <c r="A1044" i="10"/>
  <c r="G1043" i="10"/>
  <c r="F1043" i="10"/>
  <c r="E1043" i="10"/>
  <c r="D1043" i="10"/>
  <c r="C1043" i="10"/>
  <c r="B1043" i="10"/>
  <c r="A1043" i="10"/>
  <c r="G1042" i="10"/>
  <c r="F1042" i="10"/>
  <c r="E1042" i="10"/>
  <c r="D1042" i="10"/>
  <c r="C1042" i="10"/>
  <c r="B1042" i="10"/>
  <c r="A1042" i="10"/>
  <c r="G1041" i="10"/>
  <c r="F1041" i="10"/>
  <c r="H1041" i="10" s="1"/>
  <c r="E1041" i="10"/>
  <c r="D1041" i="10"/>
  <c r="C1041" i="10"/>
  <c r="B1041" i="10"/>
  <c r="A1041" i="10"/>
  <c r="G1040" i="10"/>
  <c r="F1040" i="10"/>
  <c r="E1040" i="10"/>
  <c r="D1040" i="10"/>
  <c r="C1040" i="10"/>
  <c r="B1040" i="10"/>
  <c r="A1040" i="10"/>
  <c r="G1039" i="10"/>
  <c r="F1039" i="10"/>
  <c r="E1039" i="10"/>
  <c r="H1039" i="10" s="1"/>
  <c r="D1039" i="10"/>
  <c r="C1039" i="10"/>
  <c r="B1039" i="10"/>
  <c r="A1039" i="10"/>
  <c r="G1038" i="10"/>
  <c r="F1038" i="10"/>
  <c r="H1038" i="10" s="1"/>
  <c r="E1038" i="10"/>
  <c r="D1038" i="10"/>
  <c r="C1038" i="10"/>
  <c r="B1038" i="10"/>
  <c r="A1038" i="10"/>
  <c r="G1037" i="10"/>
  <c r="F1037" i="10"/>
  <c r="E1037" i="10"/>
  <c r="D1037" i="10"/>
  <c r="C1037" i="10"/>
  <c r="B1037" i="10"/>
  <c r="A1037" i="10"/>
  <c r="G1036" i="10"/>
  <c r="H1036" i="10" s="1"/>
  <c r="F1036" i="10"/>
  <c r="E1036" i="10"/>
  <c r="D1036" i="10"/>
  <c r="C1036" i="10"/>
  <c r="B1036" i="10"/>
  <c r="A1036" i="10"/>
  <c r="G1035" i="10"/>
  <c r="F1035" i="10"/>
  <c r="H1035" i="10" s="1"/>
  <c r="E1035" i="10"/>
  <c r="D1035" i="10"/>
  <c r="C1035" i="10"/>
  <c r="B1035" i="10"/>
  <c r="A1035" i="10"/>
  <c r="G1034" i="10"/>
  <c r="F1034" i="10"/>
  <c r="E1034" i="10"/>
  <c r="H1034" i="10" s="1"/>
  <c r="D1034" i="10"/>
  <c r="C1034" i="10"/>
  <c r="B1034" i="10"/>
  <c r="A1034" i="10"/>
  <c r="G1033" i="10"/>
  <c r="F1033" i="10"/>
  <c r="E1033" i="10"/>
  <c r="H1033" i="10" s="1"/>
  <c r="D1033" i="10"/>
  <c r="C1033" i="10"/>
  <c r="B1033" i="10"/>
  <c r="A1033" i="10"/>
  <c r="G1032" i="10"/>
  <c r="F1032" i="10"/>
  <c r="H1032" i="10" s="1"/>
  <c r="E1032" i="10"/>
  <c r="D1032" i="10"/>
  <c r="C1032" i="10"/>
  <c r="B1032" i="10"/>
  <c r="A1032" i="10"/>
  <c r="G1031" i="10"/>
  <c r="F1031" i="10"/>
  <c r="E1031" i="10"/>
  <c r="D1031" i="10"/>
  <c r="C1031" i="10"/>
  <c r="B1031" i="10"/>
  <c r="A1031" i="10"/>
  <c r="H1030" i="10"/>
  <c r="G1030" i="10"/>
  <c r="F1030" i="10"/>
  <c r="E1030" i="10"/>
  <c r="D1030" i="10"/>
  <c r="C1030" i="10"/>
  <c r="B1030" i="10"/>
  <c r="A1030" i="10"/>
  <c r="G1029" i="10"/>
  <c r="F1029" i="10"/>
  <c r="H1029" i="10" s="1"/>
  <c r="E1029" i="10"/>
  <c r="D1029" i="10"/>
  <c r="C1029" i="10"/>
  <c r="B1029" i="10"/>
  <c r="A1029" i="10"/>
  <c r="G1028" i="10"/>
  <c r="F1028" i="10"/>
  <c r="E1028" i="10"/>
  <c r="H1028" i="10" s="1"/>
  <c r="D1028" i="10"/>
  <c r="C1028" i="10"/>
  <c r="B1028" i="10"/>
  <c r="A1028" i="10"/>
  <c r="G1027" i="10"/>
  <c r="F1027" i="10"/>
  <c r="H1027" i="10" s="1"/>
  <c r="E1027" i="10"/>
  <c r="D1027" i="10"/>
  <c r="C1027" i="10"/>
  <c r="B1027" i="10"/>
  <c r="A1027" i="10"/>
  <c r="G1026" i="10"/>
  <c r="F1026" i="10"/>
  <c r="H1026" i="10" s="1"/>
  <c r="E1026" i="10"/>
  <c r="D1026" i="10"/>
  <c r="C1026" i="10"/>
  <c r="B1026" i="10"/>
  <c r="A1026" i="10"/>
  <c r="G1025" i="10"/>
  <c r="F1025" i="10"/>
  <c r="E1025" i="10"/>
  <c r="D1025" i="10"/>
  <c r="C1025" i="10"/>
  <c r="B1025" i="10"/>
  <c r="A1025" i="10"/>
  <c r="G1024" i="10"/>
  <c r="F1024" i="10"/>
  <c r="E1024" i="10"/>
  <c r="H1024" i="10" s="1"/>
  <c r="D1024" i="10"/>
  <c r="C1024" i="10"/>
  <c r="B1024" i="10"/>
  <c r="A1024" i="10"/>
  <c r="G1023" i="10"/>
  <c r="F1023" i="10"/>
  <c r="H1023" i="10" s="1"/>
  <c r="E1023" i="10"/>
  <c r="D1023" i="10"/>
  <c r="C1023" i="10"/>
  <c r="B1023" i="10"/>
  <c r="A1023" i="10"/>
  <c r="G1022" i="10"/>
  <c r="F1022" i="10"/>
  <c r="E1022" i="10"/>
  <c r="D1022" i="10"/>
  <c r="C1022" i="10"/>
  <c r="B1022" i="10"/>
  <c r="A1022" i="10"/>
  <c r="G1021" i="10"/>
  <c r="F1021" i="10"/>
  <c r="E1021" i="10"/>
  <c r="H1021" i="10" s="1"/>
  <c r="D1021" i="10"/>
  <c r="C1021" i="10"/>
  <c r="B1021" i="10"/>
  <c r="A1021" i="10"/>
  <c r="G1020" i="10"/>
  <c r="F1020" i="10"/>
  <c r="H1020" i="10" s="1"/>
  <c r="E1020" i="10"/>
  <c r="D1020" i="10"/>
  <c r="C1020" i="10"/>
  <c r="B1020" i="10"/>
  <c r="A1020" i="10"/>
  <c r="G1019" i="10"/>
  <c r="F1019" i="10"/>
  <c r="E1019" i="10"/>
  <c r="D1019" i="10"/>
  <c r="C1019" i="10"/>
  <c r="B1019" i="10"/>
  <c r="A1019" i="10"/>
  <c r="G1018" i="10"/>
  <c r="H1018" i="10" s="1"/>
  <c r="F1018" i="10"/>
  <c r="E1018" i="10"/>
  <c r="D1018" i="10"/>
  <c r="C1018" i="10"/>
  <c r="B1018" i="10"/>
  <c r="A1018" i="10"/>
  <c r="G1017" i="10"/>
  <c r="F1017" i="10"/>
  <c r="H1017" i="10" s="1"/>
  <c r="E1017" i="10"/>
  <c r="D1017" i="10"/>
  <c r="C1017" i="10"/>
  <c r="B1017" i="10"/>
  <c r="A1017" i="10"/>
  <c r="G1016" i="10"/>
  <c r="F1016" i="10"/>
  <c r="E1016" i="10"/>
  <c r="H1016" i="10" s="1"/>
  <c r="D1016" i="10"/>
  <c r="C1016" i="10"/>
  <c r="B1016" i="10"/>
  <c r="A1016" i="10"/>
  <c r="G1015" i="10"/>
  <c r="F1015" i="10"/>
  <c r="E1015" i="10"/>
  <c r="H1015" i="10" s="1"/>
  <c r="D1015" i="10"/>
  <c r="C1015" i="10"/>
  <c r="B1015" i="10"/>
  <c r="A1015" i="10"/>
  <c r="G1014" i="10"/>
  <c r="F1014" i="10"/>
  <c r="H1014" i="10" s="1"/>
  <c r="E1014" i="10"/>
  <c r="D1014" i="10"/>
  <c r="C1014" i="10"/>
  <c r="B1014" i="10"/>
  <c r="A1014" i="10"/>
  <c r="G1013" i="10"/>
  <c r="F1013" i="10"/>
  <c r="E1013" i="10"/>
  <c r="D1013" i="10"/>
  <c r="C1013" i="10"/>
  <c r="B1013" i="10"/>
  <c r="A1013" i="10"/>
  <c r="H1012" i="10"/>
  <c r="G1012" i="10"/>
  <c r="F1012" i="10"/>
  <c r="E1012" i="10"/>
  <c r="D1012" i="10"/>
  <c r="C1012" i="10"/>
  <c r="B1012" i="10"/>
  <c r="A1012" i="10"/>
  <c r="G1011" i="10"/>
  <c r="F1011" i="10"/>
  <c r="H1011" i="10" s="1"/>
  <c r="E1011" i="10"/>
  <c r="D1011" i="10"/>
  <c r="C1011" i="10"/>
  <c r="B1011" i="10"/>
  <c r="A1011" i="10"/>
  <c r="G1010" i="10"/>
  <c r="F1010" i="10"/>
  <c r="E1010" i="10"/>
  <c r="H1010" i="10" s="1"/>
  <c r="D1010" i="10"/>
  <c r="C1010" i="10"/>
  <c r="B1010" i="10"/>
  <c r="A1010" i="10"/>
  <c r="G1009" i="10"/>
  <c r="H1009" i="10" s="1"/>
  <c r="F1009" i="10"/>
  <c r="E1009" i="10"/>
  <c r="D1009" i="10"/>
  <c r="C1009" i="10"/>
  <c r="B1009" i="10"/>
  <c r="A1009" i="10"/>
  <c r="G1008" i="10"/>
  <c r="F1008" i="10"/>
  <c r="H1008" i="10" s="1"/>
  <c r="E1008" i="10"/>
  <c r="D1008" i="10"/>
  <c r="C1008" i="10"/>
  <c r="B1008" i="10"/>
  <c r="A1008" i="10"/>
  <c r="G1007" i="10"/>
  <c r="F1007" i="10"/>
  <c r="E1007" i="10"/>
  <c r="D1007" i="10"/>
  <c r="C1007" i="10"/>
  <c r="B1007" i="10"/>
  <c r="A1007" i="10"/>
  <c r="G1006" i="10"/>
  <c r="F1006" i="10"/>
  <c r="E1006" i="10"/>
  <c r="H1006" i="10" s="1"/>
  <c r="D1006" i="10"/>
  <c r="C1006" i="10"/>
  <c r="B1006" i="10"/>
  <c r="A1006" i="10"/>
  <c r="G1005" i="10"/>
  <c r="F1005" i="10"/>
  <c r="H1005" i="10" s="1"/>
  <c r="E1005" i="10"/>
  <c r="D1005" i="10"/>
  <c r="C1005" i="10"/>
  <c r="B1005" i="10"/>
  <c r="A1005" i="10"/>
  <c r="G1004" i="10"/>
  <c r="F1004" i="10"/>
  <c r="E1004" i="10"/>
  <c r="D1004" i="10"/>
  <c r="C1004" i="10"/>
  <c r="B1004" i="10"/>
  <c r="A1004" i="10"/>
  <c r="G1003" i="10"/>
  <c r="F1003" i="10"/>
  <c r="E1003" i="10"/>
  <c r="H1003" i="10" s="1"/>
  <c r="D1003" i="10"/>
  <c r="C1003" i="10"/>
  <c r="B1003" i="10"/>
  <c r="A1003" i="10"/>
  <c r="G1002" i="10"/>
  <c r="F1002" i="10"/>
  <c r="H1002" i="10" s="1"/>
  <c r="E1002" i="10"/>
  <c r="D1002" i="10"/>
  <c r="C1002" i="10"/>
  <c r="B1002" i="10"/>
  <c r="A1002" i="10"/>
  <c r="G1001" i="10"/>
  <c r="F1001" i="10"/>
  <c r="E1001" i="10"/>
  <c r="H1001" i="10" s="1"/>
  <c r="D1001" i="10"/>
  <c r="C1001" i="10"/>
  <c r="B1001" i="10"/>
  <c r="A1001" i="10"/>
  <c r="G1000" i="10"/>
  <c r="H1000" i="10" s="1"/>
  <c r="F1000" i="10"/>
  <c r="E1000" i="10"/>
  <c r="D1000" i="10"/>
  <c r="C1000" i="10"/>
  <c r="B1000" i="10"/>
  <c r="A1000" i="10"/>
  <c r="G999" i="10"/>
  <c r="F999" i="10"/>
  <c r="H999" i="10" s="1"/>
  <c r="E999" i="10"/>
  <c r="D999" i="10"/>
  <c r="C999" i="10"/>
  <c r="B999" i="10"/>
  <c r="A999" i="10"/>
  <c r="G998" i="10"/>
  <c r="F998" i="10"/>
  <c r="E998" i="10"/>
  <c r="H998" i="10" s="1"/>
  <c r="D998" i="10"/>
  <c r="C998" i="10"/>
  <c r="B998" i="10"/>
  <c r="A998" i="10"/>
  <c r="G997" i="10"/>
  <c r="F997" i="10"/>
  <c r="E997" i="10"/>
  <c r="H997" i="10" s="1"/>
  <c r="D997" i="10"/>
  <c r="C997" i="10"/>
  <c r="B997" i="10"/>
  <c r="A997" i="10"/>
  <c r="G996" i="10"/>
  <c r="F996" i="10"/>
  <c r="H996" i="10" s="1"/>
  <c r="E996" i="10"/>
  <c r="D996" i="10"/>
  <c r="C996" i="10"/>
  <c r="B996" i="10"/>
  <c r="A996" i="10"/>
  <c r="G995" i="10"/>
  <c r="F995" i="10"/>
  <c r="E995" i="10"/>
  <c r="D995" i="10"/>
  <c r="C995" i="10"/>
  <c r="B995" i="10"/>
  <c r="A995" i="10"/>
  <c r="H994" i="10"/>
  <c r="G994" i="10"/>
  <c r="F994" i="10"/>
  <c r="E994" i="10"/>
  <c r="D994" i="10"/>
  <c r="C994" i="10"/>
  <c r="B994" i="10"/>
  <c r="A994" i="10"/>
  <c r="G993" i="10"/>
  <c r="F993" i="10"/>
  <c r="H993" i="10" s="1"/>
  <c r="E993" i="10"/>
  <c r="D993" i="10"/>
  <c r="C993" i="10"/>
  <c r="B993" i="10"/>
  <c r="A993" i="10"/>
  <c r="G992" i="10"/>
  <c r="F992" i="10"/>
  <c r="E992" i="10"/>
  <c r="H992" i="10" s="1"/>
  <c r="D992" i="10"/>
  <c r="C992" i="10"/>
  <c r="B992" i="10"/>
  <c r="A992" i="10"/>
  <c r="G991" i="10"/>
  <c r="F991" i="10"/>
  <c r="H991" i="10" s="1"/>
  <c r="E991" i="10"/>
  <c r="D991" i="10"/>
  <c r="C991" i="10"/>
  <c r="B991" i="10"/>
  <c r="A991" i="10"/>
  <c r="G990" i="10"/>
  <c r="F990" i="10"/>
  <c r="H990" i="10" s="1"/>
  <c r="E990" i="10"/>
  <c r="D990" i="10"/>
  <c r="C990" i="10"/>
  <c r="B990" i="10"/>
  <c r="A990" i="10"/>
  <c r="G989" i="10"/>
  <c r="F989" i="10"/>
  <c r="E989" i="10"/>
  <c r="H989" i="10" s="1"/>
  <c r="D989" i="10"/>
  <c r="C989" i="10"/>
  <c r="B989" i="10"/>
  <c r="A989" i="10"/>
  <c r="H988" i="10"/>
  <c r="G988" i="10"/>
  <c r="F988" i="10"/>
  <c r="E988" i="10"/>
  <c r="D988" i="10"/>
  <c r="C988" i="10"/>
  <c r="B988" i="10"/>
  <c r="A988" i="10"/>
  <c r="H987" i="10"/>
  <c r="G987" i="10"/>
  <c r="F987" i="10"/>
  <c r="E987" i="10"/>
  <c r="D987" i="10"/>
  <c r="C987" i="10"/>
  <c r="B987" i="10"/>
  <c r="A987" i="10"/>
  <c r="G986" i="10"/>
  <c r="F986" i="10"/>
  <c r="E986" i="10"/>
  <c r="D986" i="10"/>
  <c r="C986" i="10"/>
  <c r="B986" i="10"/>
  <c r="A986" i="10"/>
  <c r="G985" i="10"/>
  <c r="F985" i="10"/>
  <c r="E985" i="10"/>
  <c r="D985" i="10"/>
  <c r="C985" i="10"/>
  <c r="B985" i="10"/>
  <c r="A985" i="10"/>
  <c r="H984" i="10"/>
  <c r="G984" i="10"/>
  <c r="F984" i="10"/>
  <c r="E984" i="10"/>
  <c r="D984" i="10"/>
  <c r="C984" i="10"/>
  <c r="B984" i="10"/>
  <c r="A984" i="10"/>
  <c r="G983" i="10"/>
  <c r="F983" i="10"/>
  <c r="E983" i="10"/>
  <c r="D983" i="10"/>
  <c r="C983" i="10"/>
  <c r="B983" i="10"/>
  <c r="A983" i="10"/>
  <c r="G982" i="10"/>
  <c r="F982" i="10"/>
  <c r="E982" i="10"/>
  <c r="D982" i="10"/>
  <c r="C982" i="10"/>
  <c r="B982" i="10"/>
  <c r="A982" i="10"/>
  <c r="G981" i="10"/>
  <c r="F981" i="10"/>
  <c r="H981" i="10" s="1"/>
  <c r="E981" i="10"/>
  <c r="D981" i="10"/>
  <c r="C981" i="10"/>
  <c r="B981" i="10"/>
  <c r="A981" i="10"/>
  <c r="G980" i="10"/>
  <c r="F980" i="10"/>
  <c r="E980" i="10"/>
  <c r="D980" i="10"/>
  <c r="C980" i="10"/>
  <c r="B980" i="10"/>
  <c r="A980" i="10"/>
  <c r="G979" i="10"/>
  <c r="F979" i="10"/>
  <c r="E979" i="10"/>
  <c r="H979" i="10" s="1"/>
  <c r="D979" i="10"/>
  <c r="C979" i="10"/>
  <c r="B979" i="10"/>
  <c r="A979" i="10"/>
  <c r="G978" i="10"/>
  <c r="F978" i="10"/>
  <c r="H978" i="10" s="1"/>
  <c r="E978" i="10"/>
  <c r="D978" i="10"/>
  <c r="C978" i="10"/>
  <c r="B978" i="10"/>
  <c r="A978" i="10"/>
  <c r="G977" i="10"/>
  <c r="F977" i="10"/>
  <c r="E977" i="10"/>
  <c r="H977" i="10" s="1"/>
  <c r="D977" i="10"/>
  <c r="C977" i="10"/>
  <c r="B977" i="10"/>
  <c r="A977" i="10"/>
  <c r="H976" i="10"/>
  <c r="G976" i="10"/>
  <c r="F976" i="10"/>
  <c r="E976" i="10"/>
  <c r="D976" i="10"/>
  <c r="C976" i="10"/>
  <c r="B976" i="10"/>
  <c r="A976" i="10"/>
  <c r="G975" i="10"/>
  <c r="F975" i="10"/>
  <c r="H975" i="10" s="1"/>
  <c r="E975" i="10"/>
  <c r="D975" i="10"/>
  <c r="C975" i="10"/>
  <c r="B975" i="10"/>
  <c r="A975" i="10"/>
  <c r="G974" i="10"/>
  <c r="F974" i="10"/>
  <c r="E974" i="10"/>
  <c r="D974" i="10"/>
  <c r="C974" i="10"/>
  <c r="B974" i="10"/>
  <c r="A974" i="10"/>
  <c r="G973" i="10"/>
  <c r="H973" i="10" s="1"/>
  <c r="F973" i="10"/>
  <c r="E973" i="10"/>
  <c r="D973" i="10"/>
  <c r="C973" i="10"/>
  <c r="B973" i="10"/>
  <c r="A973" i="10"/>
  <c r="H972" i="10"/>
  <c r="G972" i="10"/>
  <c r="F972" i="10"/>
  <c r="E972" i="10"/>
  <c r="D972" i="10"/>
  <c r="C972" i="10"/>
  <c r="B972" i="10"/>
  <c r="A972" i="10"/>
  <c r="G971" i="10"/>
  <c r="F971" i="10"/>
  <c r="E971" i="10"/>
  <c r="H971" i="10" s="1"/>
  <c r="D971" i="10"/>
  <c r="C971" i="10"/>
  <c r="B971" i="10"/>
  <c r="A971" i="10"/>
  <c r="G970" i="10"/>
  <c r="F970" i="10"/>
  <c r="E970" i="10"/>
  <c r="H970" i="10" s="1"/>
  <c r="D970" i="10"/>
  <c r="C970" i="10"/>
  <c r="B970" i="10"/>
  <c r="A970" i="10"/>
  <c r="H969" i="10"/>
  <c r="G969" i="10"/>
  <c r="F969" i="10"/>
  <c r="E969" i="10"/>
  <c r="D969" i="10"/>
  <c r="C969" i="10"/>
  <c r="B969" i="10"/>
  <c r="A969" i="10"/>
  <c r="G968" i="10"/>
  <c r="F968" i="10"/>
  <c r="E968" i="10"/>
  <c r="H968" i="10" s="1"/>
  <c r="D968" i="10"/>
  <c r="C968" i="10"/>
  <c r="B968" i="10"/>
  <c r="A968" i="10"/>
  <c r="G967" i="10"/>
  <c r="F967" i="10"/>
  <c r="E967" i="10"/>
  <c r="H967" i="10" s="1"/>
  <c r="D967" i="10"/>
  <c r="C967" i="10"/>
  <c r="B967" i="10"/>
  <c r="A967" i="10"/>
  <c r="G966" i="10"/>
  <c r="F966" i="10"/>
  <c r="H966" i="10" s="1"/>
  <c r="E966" i="10"/>
  <c r="D966" i="10"/>
  <c r="C966" i="10"/>
  <c r="B966" i="10"/>
  <c r="A966" i="10"/>
  <c r="G965" i="10"/>
  <c r="F965" i="10"/>
  <c r="E965" i="10"/>
  <c r="H965" i="10" s="1"/>
  <c r="D965" i="10"/>
  <c r="C965" i="10"/>
  <c r="B965" i="10"/>
  <c r="A965" i="10"/>
  <c r="G964" i="10"/>
  <c r="F964" i="10"/>
  <c r="E964" i="10"/>
  <c r="H964" i="10" s="1"/>
  <c r="D964" i="10"/>
  <c r="C964" i="10"/>
  <c r="B964" i="10"/>
  <c r="A964" i="10"/>
  <c r="G963" i="10"/>
  <c r="F963" i="10"/>
  <c r="H963" i="10" s="1"/>
  <c r="E963" i="10"/>
  <c r="D963" i="10"/>
  <c r="C963" i="10"/>
  <c r="B963" i="10"/>
  <c r="A963" i="10"/>
  <c r="G962" i="10"/>
  <c r="F962" i="10"/>
  <c r="E962" i="10"/>
  <c r="D962" i="10"/>
  <c r="C962" i="10"/>
  <c r="B962" i="10"/>
  <c r="A962" i="10"/>
  <c r="H961" i="10"/>
  <c r="G961" i="10"/>
  <c r="F961" i="10"/>
  <c r="E961" i="10"/>
  <c r="D961" i="10"/>
  <c r="C961" i="10"/>
  <c r="B961" i="10"/>
  <c r="A961" i="10"/>
  <c r="G960" i="10"/>
  <c r="F960" i="10"/>
  <c r="H960" i="10" s="1"/>
  <c r="E960" i="10"/>
  <c r="D960" i="10"/>
  <c r="C960" i="10"/>
  <c r="B960" i="10"/>
  <c r="A960" i="10"/>
  <c r="G959" i="10"/>
  <c r="F959" i="10"/>
  <c r="E959" i="10"/>
  <c r="D959" i="10"/>
  <c r="C959" i="10"/>
  <c r="B959" i="10"/>
  <c r="A959" i="10"/>
  <c r="G958" i="10"/>
  <c r="H958" i="10" s="1"/>
  <c r="F958" i="10"/>
  <c r="E958" i="10"/>
  <c r="D958" i="10"/>
  <c r="C958" i="10"/>
  <c r="B958" i="10"/>
  <c r="A958" i="10"/>
  <c r="G957" i="10"/>
  <c r="F957" i="10"/>
  <c r="H957" i="10" s="1"/>
  <c r="E957" i="10"/>
  <c r="D957" i="10"/>
  <c r="C957" i="10"/>
  <c r="B957" i="10"/>
  <c r="A957" i="10"/>
  <c r="G956" i="10"/>
  <c r="F956" i="10"/>
  <c r="E956" i="10"/>
  <c r="H956" i="10" s="1"/>
  <c r="D956" i="10"/>
  <c r="C956" i="10"/>
  <c r="B956" i="10"/>
  <c r="A956" i="10"/>
  <c r="G955" i="10"/>
  <c r="H955" i="10" s="1"/>
  <c r="F955" i="10"/>
  <c r="E955" i="10"/>
  <c r="D955" i="10"/>
  <c r="C955" i="10"/>
  <c r="B955" i="10"/>
  <c r="A955" i="10"/>
  <c r="G954" i="10"/>
  <c r="F954" i="10"/>
  <c r="H954" i="10" s="1"/>
  <c r="E954" i="10"/>
  <c r="D954" i="10"/>
  <c r="C954" i="10"/>
  <c r="B954" i="10"/>
  <c r="A954" i="10"/>
  <c r="G953" i="10"/>
  <c r="F953" i="10"/>
  <c r="E953" i="10"/>
  <c r="H953" i="10" s="1"/>
  <c r="D953" i="10"/>
  <c r="C953" i="10"/>
  <c r="B953" i="10"/>
  <c r="A953" i="10"/>
  <c r="G952" i="10"/>
  <c r="F952" i="10"/>
  <c r="E952" i="10"/>
  <c r="H952" i="10" s="1"/>
  <c r="D952" i="10"/>
  <c r="C952" i="10"/>
  <c r="B952" i="10"/>
  <c r="A952" i="10"/>
  <c r="H951" i="10"/>
  <c r="G951" i="10"/>
  <c r="F951" i="10"/>
  <c r="E951" i="10"/>
  <c r="D951" i="10"/>
  <c r="C951" i="10"/>
  <c r="B951" i="10"/>
  <c r="A951" i="10"/>
  <c r="G950" i="10"/>
  <c r="F950" i="10"/>
  <c r="E950" i="10"/>
  <c r="D950" i="10"/>
  <c r="C950" i="10"/>
  <c r="B950" i="10"/>
  <c r="A950" i="10"/>
  <c r="G949" i="10"/>
  <c r="F949" i="10"/>
  <c r="E949" i="10"/>
  <c r="H949" i="10" s="1"/>
  <c r="D949" i="10"/>
  <c r="C949" i="10"/>
  <c r="B949" i="10"/>
  <c r="A949" i="10"/>
  <c r="G948" i="10"/>
  <c r="H948" i="10" s="1"/>
  <c r="F948" i="10"/>
  <c r="E948" i="10"/>
  <c r="D948" i="10"/>
  <c r="C948" i="10"/>
  <c r="B948" i="10"/>
  <c r="A948" i="10"/>
  <c r="G947" i="10"/>
  <c r="F947" i="10"/>
  <c r="E947" i="10"/>
  <c r="D947" i="10"/>
  <c r="C947" i="10"/>
  <c r="B947" i="10"/>
  <c r="A947" i="10"/>
  <c r="G946" i="10"/>
  <c r="F946" i="10"/>
  <c r="E946" i="10"/>
  <c r="H946" i="10" s="1"/>
  <c r="D946" i="10"/>
  <c r="C946" i="10"/>
  <c r="B946" i="10"/>
  <c r="A946" i="10"/>
  <c r="G945" i="10"/>
  <c r="F945" i="10"/>
  <c r="H945" i="10" s="1"/>
  <c r="E945" i="10"/>
  <c r="D945" i="10"/>
  <c r="C945" i="10"/>
  <c r="B945" i="10"/>
  <c r="A945" i="10"/>
  <c r="G944" i="10"/>
  <c r="F944" i="10"/>
  <c r="E944" i="10"/>
  <c r="D944" i="10"/>
  <c r="C944" i="10"/>
  <c r="B944" i="10"/>
  <c r="A944" i="10"/>
  <c r="G943" i="10"/>
  <c r="F943" i="10"/>
  <c r="E943" i="10"/>
  <c r="H943" i="10" s="1"/>
  <c r="D943" i="10"/>
  <c r="C943" i="10"/>
  <c r="B943" i="10"/>
  <c r="A943" i="10"/>
  <c r="G942" i="10"/>
  <c r="F942" i="10"/>
  <c r="H942" i="10" s="1"/>
  <c r="E942" i="10"/>
  <c r="D942" i="10"/>
  <c r="C942" i="10"/>
  <c r="B942" i="10"/>
  <c r="A942" i="10"/>
  <c r="G941" i="10"/>
  <c r="F941" i="10"/>
  <c r="E941" i="10"/>
  <c r="D941" i="10"/>
  <c r="C941" i="10"/>
  <c r="B941" i="10"/>
  <c r="A941" i="10"/>
  <c r="H940" i="10"/>
  <c r="G940" i="10"/>
  <c r="F940" i="10"/>
  <c r="E940" i="10"/>
  <c r="D940" i="10"/>
  <c r="C940" i="10"/>
  <c r="B940" i="10"/>
  <c r="A940" i="10"/>
  <c r="G939" i="10"/>
  <c r="F939" i="10"/>
  <c r="H939" i="10" s="1"/>
  <c r="E939" i="10"/>
  <c r="D939" i="10"/>
  <c r="C939" i="10"/>
  <c r="B939" i="10"/>
  <c r="A939" i="10"/>
  <c r="G938" i="10"/>
  <c r="F938" i="10"/>
  <c r="E938" i="10"/>
  <c r="H938" i="10" s="1"/>
  <c r="D938" i="10"/>
  <c r="C938" i="10"/>
  <c r="B938" i="10"/>
  <c r="A938" i="10"/>
  <c r="G937" i="10"/>
  <c r="H937" i="10" s="1"/>
  <c r="F937" i="10"/>
  <c r="E937" i="10"/>
  <c r="D937" i="10"/>
  <c r="C937" i="10"/>
  <c r="B937" i="10"/>
  <c r="A937" i="10"/>
  <c r="H936" i="10"/>
  <c r="G936" i="10"/>
  <c r="F936" i="10"/>
  <c r="E936" i="10"/>
  <c r="D936" i="10"/>
  <c r="C936" i="10"/>
  <c r="B936" i="10"/>
  <c r="A936" i="10"/>
  <c r="G935" i="10"/>
  <c r="F935" i="10"/>
  <c r="E935" i="10"/>
  <c r="H935" i="10" s="1"/>
  <c r="D935" i="10"/>
  <c r="C935" i="10"/>
  <c r="B935" i="10"/>
  <c r="A935" i="10"/>
  <c r="G934" i="10"/>
  <c r="F934" i="10"/>
  <c r="E934" i="10"/>
  <c r="D934" i="10"/>
  <c r="C934" i="10"/>
  <c r="B934" i="10"/>
  <c r="A934" i="10"/>
  <c r="G933" i="10"/>
  <c r="H933" i="10" s="1"/>
  <c r="F933" i="10"/>
  <c r="E933" i="10"/>
  <c r="D933" i="10"/>
  <c r="C933" i="10"/>
  <c r="B933" i="10"/>
  <c r="A933" i="10"/>
  <c r="G932" i="10"/>
  <c r="F932" i="10"/>
  <c r="E932" i="10"/>
  <c r="D932" i="10"/>
  <c r="C932" i="10"/>
  <c r="B932" i="10"/>
  <c r="A932" i="10"/>
  <c r="G931" i="10"/>
  <c r="F931" i="10"/>
  <c r="E931" i="10"/>
  <c r="H931" i="10" s="1"/>
  <c r="D931" i="10"/>
  <c r="C931" i="10"/>
  <c r="B931" i="10"/>
  <c r="A931" i="10"/>
  <c r="G930" i="10"/>
  <c r="H930" i="10" s="1"/>
  <c r="F930" i="10"/>
  <c r="E930" i="10"/>
  <c r="D930" i="10"/>
  <c r="C930" i="10"/>
  <c r="B930" i="10"/>
  <c r="A930" i="10"/>
  <c r="G929" i="10"/>
  <c r="F929" i="10"/>
  <c r="E929" i="10"/>
  <c r="H929" i="10" s="1"/>
  <c r="D929" i="10"/>
  <c r="C929" i="10"/>
  <c r="B929" i="10"/>
  <c r="A929" i="10"/>
  <c r="G928" i="10"/>
  <c r="F928" i="10"/>
  <c r="E928" i="10"/>
  <c r="H928" i="10" s="1"/>
  <c r="D928" i="10"/>
  <c r="C928" i="10"/>
  <c r="B928" i="10"/>
  <c r="A928" i="10"/>
  <c r="H927" i="10"/>
  <c r="G927" i="10"/>
  <c r="F927" i="10"/>
  <c r="E927" i="10"/>
  <c r="D927" i="10"/>
  <c r="C927" i="10"/>
  <c r="B927" i="10"/>
  <c r="A927" i="10"/>
  <c r="G926" i="10"/>
  <c r="F926" i="10"/>
  <c r="E926" i="10"/>
  <c r="H926" i="10" s="1"/>
  <c r="D926" i="10"/>
  <c r="C926" i="10"/>
  <c r="B926" i="10"/>
  <c r="A926" i="10"/>
  <c r="G925" i="10"/>
  <c r="F925" i="10"/>
  <c r="E925" i="10"/>
  <c r="H925" i="10" s="1"/>
  <c r="D925" i="10"/>
  <c r="C925" i="10"/>
  <c r="B925" i="10"/>
  <c r="A925" i="10"/>
  <c r="H924" i="10"/>
  <c r="G924" i="10"/>
  <c r="F924" i="10"/>
  <c r="E924" i="10"/>
  <c r="D924" i="10"/>
  <c r="C924" i="10"/>
  <c r="B924" i="10"/>
  <c r="A924" i="10"/>
  <c r="G923" i="10"/>
  <c r="F923" i="10"/>
  <c r="E923" i="10"/>
  <c r="D923" i="10"/>
  <c r="C923" i="10"/>
  <c r="B923" i="10"/>
  <c r="A923" i="10"/>
  <c r="G922" i="10"/>
  <c r="F922" i="10"/>
  <c r="E922" i="10"/>
  <c r="H922" i="10" s="1"/>
  <c r="D922" i="10"/>
  <c r="C922" i="10"/>
  <c r="B922" i="10"/>
  <c r="A922" i="10"/>
  <c r="G921" i="10"/>
  <c r="H921" i="10" s="1"/>
  <c r="F921" i="10"/>
  <c r="E921" i="10"/>
  <c r="D921" i="10"/>
  <c r="C921" i="10"/>
  <c r="B921" i="10"/>
  <c r="A921" i="10"/>
  <c r="G920" i="10"/>
  <c r="F920" i="10"/>
  <c r="E920" i="10"/>
  <c r="D920" i="10"/>
  <c r="C920" i="10"/>
  <c r="B920" i="10"/>
  <c r="A920" i="10"/>
  <c r="G919" i="10"/>
  <c r="F919" i="10"/>
  <c r="E919" i="10"/>
  <c r="D919" i="10"/>
  <c r="C919" i="10"/>
  <c r="B919" i="10"/>
  <c r="A919" i="10"/>
  <c r="H918" i="10"/>
  <c r="G918" i="10"/>
  <c r="F918" i="10"/>
  <c r="E918" i="10"/>
  <c r="D918" i="10"/>
  <c r="C918" i="10"/>
  <c r="B918" i="10"/>
  <c r="A918" i="10"/>
  <c r="G917" i="10"/>
  <c r="F917" i="10"/>
  <c r="E917" i="10"/>
  <c r="H917" i="10" s="1"/>
  <c r="D917" i="10"/>
  <c r="C917" i="10"/>
  <c r="B917" i="10"/>
  <c r="A917" i="10"/>
  <c r="G916" i="10"/>
  <c r="F916" i="10"/>
  <c r="E916" i="10"/>
  <c r="D916" i="10"/>
  <c r="C916" i="10"/>
  <c r="B916" i="10"/>
  <c r="A916" i="10"/>
  <c r="G915" i="10"/>
  <c r="H915" i="10" s="1"/>
  <c r="F915" i="10"/>
  <c r="E915" i="10"/>
  <c r="D915" i="10"/>
  <c r="C915" i="10"/>
  <c r="B915" i="10"/>
  <c r="A915" i="10"/>
  <c r="G914" i="10"/>
  <c r="F914" i="10"/>
  <c r="E914" i="10"/>
  <c r="D914" i="10"/>
  <c r="C914" i="10"/>
  <c r="B914" i="10"/>
  <c r="A914" i="10"/>
  <c r="G913" i="10"/>
  <c r="F913" i="10"/>
  <c r="E913" i="10"/>
  <c r="H913" i="10" s="1"/>
  <c r="D913" i="10"/>
  <c r="C913" i="10"/>
  <c r="B913" i="10"/>
  <c r="A913" i="10"/>
  <c r="H912" i="10"/>
  <c r="G912" i="10"/>
  <c r="F912" i="10"/>
  <c r="E912" i="10"/>
  <c r="D912" i="10"/>
  <c r="C912" i="10"/>
  <c r="B912" i="10"/>
  <c r="A912" i="10"/>
  <c r="G911" i="10"/>
  <c r="F911" i="10"/>
  <c r="E911" i="10"/>
  <c r="H911" i="10" s="1"/>
  <c r="D911" i="10"/>
  <c r="C911" i="10"/>
  <c r="B911" i="10"/>
  <c r="A911" i="10"/>
  <c r="G910" i="10"/>
  <c r="F910" i="10"/>
  <c r="E910" i="10"/>
  <c r="D910" i="10"/>
  <c r="C910" i="10"/>
  <c r="B910" i="10"/>
  <c r="A910" i="10"/>
  <c r="H909" i="10"/>
  <c r="G909" i="10"/>
  <c r="F909" i="10"/>
  <c r="E909" i="10"/>
  <c r="D909" i="10"/>
  <c r="C909" i="10"/>
  <c r="B909" i="10"/>
  <c r="A909" i="10"/>
  <c r="G908" i="10"/>
  <c r="F908" i="10"/>
  <c r="E908" i="10"/>
  <c r="H908" i="10" s="1"/>
  <c r="D908" i="10"/>
  <c r="C908" i="10"/>
  <c r="B908" i="10"/>
  <c r="A908" i="10"/>
  <c r="G907" i="10"/>
  <c r="F907" i="10"/>
  <c r="E907" i="10"/>
  <c r="H907" i="10" s="1"/>
  <c r="D907" i="10"/>
  <c r="C907" i="10"/>
  <c r="B907" i="10"/>
  <c r="A907" i="10"/>
  <c r="H906" i="10"/>
  <c r="G906" i="10"/>
  <c r="F906" i="10"/>
  <c r="E906" i="10"/>
  <c r="D906" i="10"/>
  <c r="C906" i="10"/>
  <c r="B906" i="10"/>
  <c r="A906" i="10"/>
  <c r="G905" i="10"/>
  <c r="F905" i="10"/>
  <c r="E905" i="10"/>
  <c r="D905" i="10"/>
  <c r="C905" i="10"/>
  <c r="B905" i="10"/>
  <c r="A905" i="10"/>
  <c r="G904" i="10"/>
  <c r="F904" i="10"/>
  <c r="E904" i="10"/>
  <c r="D904" i="10"/>
  <c r="C904" i="10"/>
  <c r="B904" i="10"/>
  <c r="A904" i="10"/>
  <c r="G903" i="10"/>
  <c r="H903" i="10" s="1"/>
  <c r="F903" i="10"/>
  <c r="E903" i="10"/>
  <c r="D903" i="10"/>
  <c r="C903" i="10"/>
  <c r="B903" i="10"/>
  <c r="A903" i="10"/>
  <c r="G902" i="10"/>
  <c r="F902" i="10"/>
  <c r="E902" i="10"/>
  <c r="H902" i="10" s="1"/>
  <c r="D902" i="10"/>
  <c r="C902" i="10"/>
  <c r="B902" i="10"/>
  <c r="A902" i="10"/>
  <c r="G901" i="10"/>
  <c r="F901" i="10"/>
  <c r="E901" i="10"/>
  <c r="D901" i="10"/>
  <c r="C901" i="10"/>
  <c r="B901" i="10"/>
  <c r="A901" i="10"/>
  <c r="G900" i="10"/>
  <c r="H900" i="10" s="1"/>
  <c r="F900" i="10"/>
  <c r="E900" i="10"/>
  <c r="D900" i="10"/>
  <c r="C900" i="10"/>
  <c r="B900" i="10"/>
  <c r="A900" i="10"/>
  <c r="G899" i="10"/>
  <c r="F899" i="10"/>
  <c r="E899" i="10"/>
  <c r="H899" i="10" s="1"/>
  <c r="D899" i="10"/>
  <c r="C899" i="10"/>
  <c r="B899" i="10"/>
  <c r="A899" i="10"/>
  <c r="G898" i="10"/>
  <c r="F898" i="10"/>
  <c r="E898" i="10"/>
  <c r="D898" i="10"/>
  <c r="C898" i="10"/>
  <c r="B898" i="10"/>
  <c r="A898" i="10"/>
  <c r="G897" i="10"/>
  <c r="H897" i="10" s="1"/>
  <c r="F897" i="10"/>
  <c r="E897" i="10"/>
  <c r="D897" i="10"/>
  <c r="C897" i="10"/>
  <c r="B897" i="10"/>
  <c r="A897" i="10"/>
  <c r="G896" i="10"/>
  <c r="F896" i="10"/>
  <c r="E896" i="10"/>
  <c r="H896" i="10" s="1"/>
  <c r="D896" i="10"/>
  <c r="C896" i="10"/>
  <c r="B896" i="10"/>
  <c r="A896" i="10"/>
  <c r="G895" i="10"/>
  <c r="F895" i="10"/>
  <c r="E895" i="10"/>
  <c r="D895" i="10"/>
  <c r="C895" i="10"/>
  <c r="B895" i="10"/>
  <c r="A895" i="10"/>
  <c r="H894" i="10"/>
  <c r="G894" i="10"/>
  <c r="F894" i="10"/>
  <c r="E894" i="10"/>
  <c r="D894" i="10"/>
  <c r="C894" i="10"/>
  <c r="B894" i="10"/>
  <c r="A894" i="10"/>
  <c r="G893" i="10"/>
  <c r="F893" i="10"/>
  <c r="E893" i="10"/>
  <c r="H893" i="10" s="1"/>
  <c r="D893" i="10"/>
  <c r="C893" i="10"/>
  <c r="B893" i="10"/>
  <c r="A893" i="10"/>
  <c r="G892" i="10"/>
  <c r="F892" i="10"/>
  <c r="E892" i="10"/>
  <c r="H892" i="10" s="1"/>
  <c r="D892" i="10"/>
  <c r="C892" i="10"/>
  <c r="B892" i="10"/>
  <c r="A892" i="10"/>
  <c r="H891" i="10"/>
  <c r="G891" i="10"/>
  <c r="F891" i="10"/>
  <c r="E891" i="10"/>
  <c r="D891" i="10"/>
  <c r="C891" i="10"/>
  <c r="B891" i="10"/>
  <c r="A891" i="10"/>
  <c r="G890" i="10"/>
  <c r="F890" i="10"/>
  <c r="E890" i="10"/>
  <c r="H890" i="10" s="1"/>
  <c r="D890" i="10"/>
  <c r="C890" i="10"/>
  <c r="B890" i="10"/>
  <c r="A890" i="10"/>
  <c r="G889" i="10"/>
  <c r="F889" i="10"/>
  <c r="E889" i="10"/>
  <c r="H889" i="10" s="1"/>
  <c r="D889" i="10"/>
  <c r="C889" i="10"/>
  <c r="B889" i="10"/>
  <c r="A889" i="10"/>
  <c r="H888" i="10"/>
  <c r="G888" i="10"/>
  <c r="F888" i="10"/>
  <c r="E888" i="10"/>
  <c r="D888" i="10"/>
  <c r="C888" i="10"/>
  <c r="B888" i="10"/>
  <c r="A888" i="10"/>
  <c r="G887" i="10"/>
  <c r="F887" i="10"/>
  <c r="E887" i="10"/>
  <c r="D887" i="10"/>
  <c r="C887" i="10"/>
  <c r="B887" i="10"/>
  <c r="A887" i="10"/>
  <c r="G886" i="10"/>
  <c r="F886" i="10"/>
  <c r="E886" i="10"/>
  <c r="D886" i="10"/>
  <c r="C886" i="10"/>
  <c r="B886" i="10"/>
  <c r="A886" i="10"/>
  <c r="G885" i="10"/>
  <c r="H885" i="10" s="1"/>
  <c r="F885" i="10"/>
  <c r="E885" i="10"/>
  <c r="D885" i="10"/>
  <c r="C885" i="10"/>
  <c r="B885" i="10"/>
  <c r="A885" i="10"/>
  <c r="G884" i="10"/>
  <c r="F884" i="10"/>
  <c r="E884" i="10"/>
  <c r="H884" i="10" s="1"/>
  <c r="D884" i="10"/>
  <c r="C884" i="10"/>
  <c r="B884" i="10"/>
  <c r="A884" i="10"/>
  <c r="G883" i="10"/>
  <c r="F883" i="10"/>
  <c r="E883" i="10"/>
  <c r="D883" i="10"/>
  <c r="C883" i="10"/>
  <c r="B883" i="10"/>
  <c r="A883" i="10"/>
  <c r="G882" i="10"/>
  <c r="H882" i="10" s="1"/>
  <c r="F882" i="10"/>
  <c r="E882" i="10"/>
  <c r="D882" i="10"/>
  <c r="C882" i="10"/>
  <c r="B882" i="10"/>
  <c r="A882" i="10"/>
  <c r="G881" i="10"/>
  <c r="F881" i="10"/>
  <c r="E881" i="10"/>
  <c r="H881" i="10" s="1"/>
  <c r="D881" i="10"/>
  <c r="C881" i="10"/>
  <c r="B881" i="10"/>
  <c r="A881" i="10"/>
  <c r="G880" i="10"/>
  <c r="F880" i="10"/>
  <c r="E880" i="10"/>
  <c r="D880" i="10"/>
  <c r="C880" i="10"/>
  <c r="B880" i="10"/>
  <c r="A880" i="10"/>
  <c r="G879" i="10"/>
  <c r="H879" i="10" s="1"/>
  <c r="F879" i="10"/>
  <c r="E879" i="10"/>
  <c r="D879" i="10"/>
  <c r="C879" i="10"/>
  <c r="B879" i="10"/>
  <c r="A879" i="10"/>
  <c r="G878" i="10"/>
  <c r="F878" i="10"/>
  <c r="E878" i="10"/>
  <c r="D878" i="10"/>
  <c r="C878" i="10"/>
  <c r="B878" i="10"/>
  <c r="A878" i="10"/>
  <c r="G877" i="10"/>
  <c r="F877" i="10"/>
  <c r="E877" i="10"/>
  <c r="D877" i="10"/>
  <c r="C877" i="10"/>
  <c r="B877" i="10"/>
  <c r="A877" i="10"/>
  <c r="H876" i="10"/>
  <c r="G876" i="10"/>
  <c r="F876" i="10"/>
  <c r="E876" i="10"/>
  <c r="D876" i="10"/>
  <c r="C876" i="10"/>
  <c r="B876" i="10"/>
  <c r="A876" i="10"/>
  <c r="G875" i="10"/>
  <c r="F875" i="10"/>
  <c r="E875" i="10"/>
  <c r="H875" i="10" s="1"/>
  <c r="D875" i="10"/>
  <c r="C875" i="10"/>
  <c r="B875" i="10"/>
  <c r="A875" i="10"/>
  <c r="G874" i="10"/>
  <c r="F874" i="10"/>
  <c r="E874" i="10"/>
  <c r="H874" i="10" s="1"/>
  <c r="D874" i="10"/>
  <c r="C874" i="10"/>
  <c r="B874" i="10"/>
  <c r="A874" i="10"/>
  <c r="H873" i="10"/>
  <c r="G873" i="10"/>
  <c r="F873" i="10"/>
  <c r="E873" i="10"/>
  <c r="D873" i="10"/>
  <c r="C873" i="10"/>
  <c r="B873" i="10"/>
  <c r="A873" i="10"/>
  <c r="G872" i="10"/>
  <c r="F872" i="10"/>
  <c r="E872" i="10"/>
  <c r="H872" i="10" s="1"/>
  <c r="D872" i="10"/>
  <c r="C872" i="10"/>
  <c r="B872" i="10"/>
  <c r="A872" i="10"/>
  <c r="G871" i="10"/>
  <c r="F871" i="10"/>
  <c r="E871" i="10"/>
  <c r="H871" i="10" s="1"/>
  <c r="D871" i="10"/>
  <c r="C871" i="10"/>
  <c r="B871" i="10"/>
  <c r="A871" i="10"/>
  <c r="H870" i="10"/>
  <c r="G870" i="10"/>
  <c r="F870" i="10"/>
  <c r="E870" i="10"/>
  <c r="D870" i="10"/>
  <c r="C870" i="10"/>
  <c r="B870" i="10"/>
  <c r="A870" i="10"/>
  <c r="G869" i="10"/>
  <c r="F869" i="10"/>
  <c r="E869" i="10"/>
  <c r="D869" i="10"/>
  <c r="C869" i="10"/>
  <c r="B869" i="10"/>
  <c r="A869" i="10"/>
  <c r="G868" i="10"/>
  <c r="F868" i="10"/>
  <c r="E868" i="10"/>
  <c r="D868" i="10"/>
  <c r="C868" i="10"/>
  <c r="B868" i="10"/>
  <c r="A868" i="10"/>
  <c r="G867" i="10"/>
  <c r="H867" i="10" s="1"/>
  <c r="F867" i="10"/>
  <c r="E867" i="10"/>
  <c r="D867" i="10"/>
  <c r="C867" i="10"/>
  <c r="B867" i="10"/>
  <c r="A867" i="10"/>
  <c r="G866" i="10"/>
  <c r="F866" i="10"/>
  <c r="E866" i="10"/>
  <c r="H866" i="10" s="1"/>
  <c r="D866" i="10"/>
  <c r="C866" i="10"/>
  <c r="B866" i="10"/>
  <c r="A866" i="10"/>
  <c r="G865" i="10"/>
  <c r="F865" i="10"/>
  <c r="E865" i="10"/>
  <c r="D865" i="10"/>
  <c r="C865" i="10"/>
  <c r="B865" i="10"/>
  <c r="A865" i="10"/>
  <c r="H864" i="10"/>
  <c r="G864" i="10"/>
  <c r="F864" i="10"/>
  <c r="E864" i="10"/>
  <c r="D864" i="10"/>
  <c r="C864" i="10"/>
  <c r="B864" i="10"/>
  <c r="A864" i="10"/>
  <c r="G863" i="10"/>
  <c r="F863" i="10"/>
  <c r="E863" i="10"/>
  <c r="H863" i="10" s="1"/>
  <c r="D863" i="10"/>
  <c r="C863" i="10"/>
  <c r="B863" i="10"/>
  <c r="A863" i="10"/>
  <c r="G862" i="10"/>
  <c r="F862" i="10"/>
  <c r="E862" i="10"/>
  <c r="D862" i="10"/>
  <c r="C862" i="10"/>
  <c r="B862" i="10"/>
  <c r="A862" i="10"/>
  <c r="G861" i="10"/>
  <c r="H861" i="10" s="1"/>
  <c r="F861" i="10"/>
  <c r="E861" i="10"/>
  <c r="D861" i="10"/>
  <c r="C861" i="10"/>
  <c r="B861" i="10"/>
  <c r="A861" i="10"/>
  <c r="G860" i="10"/>
  <c r="F860" i="10"/>
  <c r="E860" i="10"/>
  <c r="D860" i="10"/>
  <c r="C860" i="10"/>
  <c r="B860" i="10"/>
  <c r="A860" i="10"/>
  <c r="G859" i="10"/>
  <c r="F859" i="10"/>
  <c r="E859" i="10"/>
  <c r="D859" i="10"/>
  <c r="C859" i="10"/>
  <c r="B859" i="10"/>
  <c r="A859" i="10"/>
  <c r="H858" i="10"/>
  <c r="G858" i="10"/>
  <c r="F858" i="10"/>
  <c r="E858" i="10"/>
  <c r="D858" i="10"/>
  <c r="C858" i="10"/>
  <c r="B858" i="10"/>
  <c r="A858" i="10"/>
  <c r="G857" i="10"/>
  <c r="F857" i="10"/>
  <c r="E857" i="10"/>
  <c r="H857" i="10" s="1"/>
  <c r="D857" i="10"/>
  <c r="C857" i="10"/>
  <c r="B857" i="10"/>
  <c r="A857" i="10"/>
  <c r="G856" i="10"/>
  <c r="F856" i="10"/>
  <c r="E856" i="10"/>
  <c r="H856" i="10" s="1"/>
  <c r="D856" i="10"/>
  <c r="C856" i="10"/>
  <c r="B856" i="10"/>
  <c r="A856" i="10"/>
  <c r="H855" i="10"/>
  <c r="G855" i="10"/>
  <c r="F855" i="10"/>
  <c r="E855" i="10"/>
  <c r="D855" i="10"/>
  <c r="C855" i="10"/>
  <c r="B855" i="10"/>
  <c r="A855" i="10"/>
  <c r="G854" i="10"/>
  <c r="F854" i="10"/>
  <c r="E854" i="10"/>
  <c r="H854" i="10" s="1"/>
  <c r="D854" i="10"/>
  <c r="C854" i="10"/>
  <c r="B854" i="10"/>
  <c r="A854" i="10"/>
  <c r="G853" i="10"/>
  <c r="F853" i="10"/>
  <c r="E853" i="10"/>
  <c r="H853" i="10" s="1"/>
  <c r="D853" i="10"/>
  <c r="C853" i="10"/>
  <c r="B853" i="10"/>
  <c r="A853" i="10"/>
  <c r="H852" i="10"/>
  <c r="G852" i="10"/>
  <c r="F852" i="10"/>
  <c r="E852" i="10"/>
  <c r="D852" i="10"/>
  <c r="C852" i="10"/>
  <c r="B852" i="10"/>
  <c r="A852" i="10"/>
  <c r="G851" i="10"/>
  <c r="F851" i="10"/>
  <c r="E851" i="10"/>
  <c r="D851" i="10"/>
  <c r="C851" i="10"/>
  <c r="B851" i="10"/>
  <c r="A851" i="10"/>
  <c r="G850" i="10"/>
  <c r="F850" i="10"/>
  <c r="E850" i="10"/>
  <c r="D850" i="10"/>
  <c r="C850" i="10"/>
  <c r="B850" i="10"/>
  <c r="A850" i="10"/>
  <c r="G849" i="10"/>
  <c r="H849" i="10" s="1"/>
  <c r="F849" i="10"/>
  <c r="E849" i="10"/>
  <c r="D849" i="10"/>
  <c r="C849" i="10"/>
  <c r="B849" i="10"/>
  <c r="A849" i="10"/>
  <c r="G848" i="10"/>
  <c r="F848" i="10"/>
  <c r="E848" i="10"/>
  <c r="H848" i="10" s="1"/>
  <c r="D848" i="10"/>
  <c r="C848" i="10"/>
  <c r="B848" i="10"/>
  <c r="A848" i="10"/>
  <c r="G847" i="10"/>
  <c r="F847" i="10"/>
  <c r="E847" i="10"/>
  <c r="D847" i="10"/>
  <c r="C847" i="10"/>
  <c r="B847" i="10"/>
  <c r="A847" i="10"/>
  <c r="H846" i="10"/>
  <c r="G846" i="10"/>
  <c r="F846" i="10"/>
  <c r="E846" i="10"/>
  <c r="D846" i="10"/>
  <c r="C846" i="10"/>
  <c r="B846" i="10"/>
  <c r="A846" i="10"/>
  <c r="G845" i="10"/>
  <c r="F845" i="10"/>
  <c r="E845" i="10"/>
  <c r="H845" i="10" s="1"/>
  <c r="D845" i="10"/>
  <c r="C845" i="10"/>
  <c r="B845" i="10"/>
  <c r="A845" i="10"/>
  <c r="G844" i="10"/>
  <c r="F844" i="10"/>
  <c r="E844" i="10"/>
  <c r="D844" i="10"/>
  <c r="C844" i="10"/>
  <c r="B844" i="10"/>
  <c r="A844" i="10"/>
  <c r="G843" i="10"/>
  <c r="H843" i="10" s="1"/>
  <c r="F843" i="10"/>
  <c r="E843" i="10"/>
  <c r="D843" i="10"/>
  <c r="C843" i="10"/>
  <c r="B843" i="10"/>
  <c r="A843" i="10"/>
  <c r="G842" i="10"/>
  <c r="F842" i="10"/>
  <c r="E842" i="10"/>
  <c r="D842" i="10"/>
  <c r="C842" i="10"/>
  <c r="B842" i="10"/>
  <c r="A842" i="10"/>
  <c r="G841" i="10"/>
  <c r="F841" i="10"/>
  <c r="E841" i="10"/>
  <c r="D841" i="10"/>
  <c r="C841" i="10"/>
  <c r="B841" i="10"/>
  <c r="A841" i="10"/>
  <c r="H840" i="10"/>
  <c r="G840" i="10"/>
  <c r="F840" i="10"/>
  <c r="E840" i="10"/>
  <c r="D840" i="10"/>
  <c r="C840" i="10"/>
  <c r="B840" i="10"/>
  <c r="A840" i="10"/>
  <c r="G839" i="10"/>
  <c r="F839" i="10"/>
  <c r="E839" i="10"/>
  <c r="H839" i="10" s="1"/>
  <c r="D839" i="10"/>
  <c r="C839" i="10"/>
  <c r="B839" i="10"/>
  <c r="A839" i="10"/>
  <c r="G838" i="10"/>
  <c r="F838" i="10"/>
  <c r="E838" i="10"/>
  <c r="D838" i="10"/>
  <c r="C838" i="10"/>
  <c r="B838" i="10"/>
  <c r="A838" i="10"/>
  <c r="H837" i="10"/>
  <c r="G837" i="10"/>
  <c r="F837" i="10"/>
  <c r="E837" i="10"/>
  <c r="D837" i="10"/>
  <c r="C837" i="10"/>
  <c r="B837" i="10"/>
  <c r="A837" i="10"/>
  <c r="G836" i="10"/>
  <c r="F836" i="10"/>
  <c r="E836" i="10"/>
  <c r="H836" i="10" s="1"/>
  <c r="D836" i="10"/>
  <c r="C836" i="10"/>
  <c r="B836" i="10"/>
  <c r="A836" i="10"/>
  <c r="G835" i="10"/>
  <c r="F835" i="10"/>
  <c r="E835" i="10"/>
  <c r="H835" i="10" s="1"/>
  <c r="D835" i="10"/>
  <c r="C835" i="10"/>
  <c r="B835" i="10"/>
  <c r="A835" i="10"/>
  <c r="H834" i="10"/>
  <c r="G834" i="10"/>
  <c r="F834" i="10"/>
  <c r="E834" i="10"/>
  <c r="D834" i="10"/>
  <c r="C834" i="10"/>
  <c r="B834" i="10"/>
  <c r="A834" i="10"/>
  <c r="G833" i="10"/>
  <c r="F833" i="10"/>
  <c r="E833" i="10"/>
  <c r="D833" i="10"/>
  <c r="C833" i="10"/>
  <c r="B833" i="10"/>
  <c r="A833" i="10"/>
  <c r="G832" i="10"/>
  <c r="F832" i="10"/>
  <c r="E832" i="10"/>
  <c r="D832" i="10"/>
  <c r="C832" i="10"/>
  <c r="B832" i="10"/>
  <c r="A832" i="10"/>
  <c r="G831" i="10"/>
  <c r="H831" i="10" s="1"/>
  <c r="F831" i="10"/>
  <c r="E831" i="10"/>
  <c r="D831" i="10"/>
  <c r="C831" i="10"/>
  <c r="B831" i="10"/>
  <c r="A831" i="10"/>
  <c r="G830" i="10"/>
  <c r="F830" i="10"/>
  <c r="E830" i="10"/>
  <c r="H830" i="10" s="1"/>
  <c r="D830" i="10"/>
  <c r="C830" i="10"/>
  <c r="B830" i="10"/>
  <c r="A830" i="10"/>
  <c r="G829" i="10"/>
  <c r="F829" i="10"/>
  <c r="E829" i="10"/>
  <c r="D829" i="10"/>
  <c r="C829" i="10"/>
  <c r="B829" i="10"/>
  <c r="A829" i="10"/>
  <c r="G828" i="10"/>
  <c r="H828" i="10" s="1"/>
  <c r="F828" i="10"/>
  <c r="E828" i="10"/>
  <c r="D828" i="10"/>
  <c r="C828" i="10"/>
  <c r="B828" i="10"/>
  <c r="A828" i="10"/>
  <c r="G827" i="10"/>
  <c r="F827" i="10"/>
  <c r="E827" i="10"/>
  <c r="H827" i="10" s="1"/>
  <c r="D827" i="10"/>
  <c r="C827" i="10"/>
  <c r="B827" i="10"/>
  <c r="A827" i="10"/>
  <c r="G826" i="10"/>
  <c r="F826" i="10"/>
  <c r="E826" i="10"/>
  <c r="D826" i="10"/>
  <c r="C826" i="10"/>
  <c r="B826" i="10"/>
  <c r="A826" i="10"/>
  <c r="G825" i="10"/>
  <c r="H825" i="10" s="1"/>
  <c r="F825" i="10"/>
  <c r="E825" i="10"/>
  <c r="D825" i="10"/>
  <c r="C825" i="10"/>
  <c r="B825" i="10"/>
  <c r="A825" i="10"/>
  <c r="G824" i="10"/>
  <c r="F824" i="10"/>
  <c r="E824" i="10"/>
  <c r="D824" i="10"/>
  <c r="C824" i="10"/>
  <c r="B824" i="10"/>
  <c r="A824" i="10"/>
  <c r="G823" i="10"/>
  <c r="F823" i="10"/>
  <c r="E823" i="10"/>
  <c r="D823" i="10"/>
  <c r="C823" i="10"/>
  <c r="B823" i="10"/>
  <c r="A823" i="10"/>
  <c r="H822" i="10"/>
  <c r="G822" i="10"/>
  <c r="F822" i="10"/>
  <c r="E822" i="10"/>
  <c r="D822" i="10"/>
  <c r="C822" i="10"/>
  <c r="B822" i="10"/>
  <c r="A822" i="10"/>
  <c r="G821" i="10"/>
  <c r="F821" i="10"/>
  <c r="E821" i="10"/>
  <c r="H821" i="10" s="1"/>
  <c r="D821" i="10"/>
  <c r="C821" i="10"/>
  <c r="B821" i="10"/>
  <c r="A821" i="10"/>
  <c r="G820" i="10"/>
  <c r="F820" i="10"/>
  <c r="E820" i="10"/>
  <c r="H820" i="10" s="1"/>
  <c r="D820" i="10"/>
  <c r="C820" i="10"/>
  <c r="B820" i="10"/>
  <c r="A820" i="10"/>
  <c r="H819" i="10"/>
  <c r="G819" i="10"/>
  <c r="F819" i="10"/>
  <c r="E819" i="10"/>
  <c r="D819" i="10"/>
  <c r="C819" i="10"/>
  <c r="B819" i="10"/>
  <c r="A819" i="10"/>
  <c r="G818" i="10"/>
  <c r="F818" i="10"/>
  <c r="E818" i="10"/>
  <c r="H818" i="10" s="1"/>
  <c r="D818" i="10"/>
  <c r="C818" i="10"/>
  <c r="B818" i="10"/>
  <c r="A818" i="10"/>
  <c r="G817" i="10"/>
  <c r="F817" i="10"/>
  <c r="E817" i="10"/>
  <c r="H817" i="10" s="1"/>
  <c r="D817" i="10"/>
  <c r="C817" i="10"/>
  <c r="B817" i="10"/>
  <c r="A817" i="10"/>
  <c r="H816" i="10"/>
  <c r="G816" i="10"/>
  <c r="F816" i="10"/>
  <c r="E816" i="10"/>
  <c r="D816" i="10"/>
  <c r="C816" i="10"/>
  <c r="B816" i="10"/>
  <c r="A816" i="10"/>
  <c r="G815" i="10"/>
  <c r="F815" i="10"/>
  <c r="E815" i="10"/>
  <c r="D815" i="10"/>
  <c r="C815" i="10"/>
  <c r="B815" i="10"/>
  <c r="A815" i="10"/>
  <c r="G814" i="10"/>
  <c r="F814" i="10"/>
  <c r="E814" i="10"/>
  <c r="D814" i="10"/>
  <c r="C814" i="10"/>
  <c r="B814" i="10"/>
  <c r="A814" i="10"/>
  <c r="G813" i="10"/>
  <c r="H813" i="10" s="1"/>
  <c r="F813" i="10"/>
  <c r="E813" i="10"/>
  <c r="D813" i="10"/>
  <c r="C813" i="10"/>
  <c r="B813" i="10"/>
  <c r="A813" i="10"/>
  <c r="G812" i="10"/>
  <c r="F812" i="10"/>
  <c r="E812" i="10"/>
  <c r="D812" i="10"/>
  <c r="C812" i="10"/>
  <c r="B812" i="10"/>
  <c r="A812" i="10"/>
  <c r="G811" i="10"/>
  <c r="F811" i="10"/>
  <c r="E811" i="10"/>
  <c r="D811" i="10"/>
  <c r="C811" i="10"/>
  <c r="B811" i="10"/>
  <c r="A811" i="10"/>
  <c r="G810" i="10"/>
  <c r="H810" i="10" s="1"/>
  <c r="F810" i="10"/>
  <c r="E810" i="10"/>
  <c r="D810" i="10"/>
  <c r="C810" i="10"/>
  <c r="B810" i="10"/>
  <c r="A810" i="10"/>
  <c r="G809" i="10"/>
  <c r="F809" i="10"/>
  <c r="E809" i="10"/>
  <c r="H809" i="10" s="1"/>
  <c r="D809" i="10"/>
  <c r="C809" i="10"/>
  <c r="B809" i="10"/>
  <c r="A809" i="10"/>
  <c r="G808" i="10"/>
  <c r="F808" i="10"/>
  <c r="E808" i="10"/>
  <c r="D808" i="10"/>
  <c r="C808" i="10"/>
  <c r="B808" i="10"/>
  <c r="A808" i="10"/>
  <c r="H807" i="10"/>
  <c r="G807" i="10"/>
  <c r="F807" i="10"/>
  <c r="E807" i="10"/>
  <c r="D807" i="10"/>
  <c r="C807" i="10"/>
  <c r="B807" i="10"/>
  <c r="A807" i="10"/>
  <c r="G806" i="10"/>
  <c r="F806" i="10"/>
  <c r="E806" i="10"/>
  <c r="D806" i="10"/>
  <c r="C806" i="10"/>
  <c r="B806" i="10"/>
  <c r="A806" i="10"/>
  <c r="G805" i="10"/>
  <c r="F805" i="10"/>
  <c r="E805" i="10"/>
  <c r="D805" i="10"/>
  <c r="C805" i="10"/>
  <c r="B805" i="10"/>
  <c r="A805" i="10"/>
  <c r="H804" i="10"/>
  <c r="G804" i="10"/>
  <c r="F804" i="10"/>
  <c r="E804" i="10"/>
  <c r="D804" i="10"/>
  <c r="C804" i="10"/>
  <c r="B804" i="10"/>
  <c r="A804" i="10"/>
  <c r="G803" i="10"/>
  <c r="F803" i="10"/>
  <c r="E803" i="10"/>
  <c r="H803" i="10" s="1"/>
  <c r="D803" i="10"/>
  <c r="C803" i="10"/>
  <c r="B803" i="10"/>
  <c r="A803" i="10"/>
  <c r="G802" i="10"/>
  <c r="F802" i="10"/>
  <c r="E802" i="10"/>
  <c r="H802" i="10" s="1"/>
  <c r="D802" i="10"/>
  <c r="C802" i="10"/>
  <c r="B802" i="10"/>
  <c r="A802" i="10"/>
  <c r="H801" i="10"/>
  <c r="G801" i="10"/>
  <c r="F801" i="10"/>
  <c r="E801" i="10"/>
  <c r="D801" i="10"/>
  <c r="C801" i="10"/>
  <c r="B801" i="10"/>
  <c r="A801" i="10"/>
  <c r="G800" i="10"/>
  <c r="F800" i="10"/>
  <c r="E800" i="10"/>
  <c r="H800" i="10" s="1"/>
  <c r="D800" i="10"/>
  <c r="C800" i="10"/>
  <c r="B800" i="10"/>
  <c r="A800" i="10"/>
  <c r="G799" i="10"/>
  <c r="F799" i="10"/>
  <c r="E799" i="10"/>
  <c r="D799" i="10"/>
  <c r="C799" i="10"/>
  <c r="B799" i="10"/>
  <c r="A799" i="10"/>
  <c r="H798" i="10"/>
  <c r="G798" i="10"/>
  <c r="F798" i="10"/>
  <c r="E798" i="10"/>
  <c r="D798" i="10"/>
  <c r="C798" i="10"/>
  <c r="B798" i="10"/>
  <c r="A798" i="10"/>
  <c r="G797" i="10"/>
  <c r="F797" i="10"/>
  <c r="E797" i="10"/>
  <c r="D797" i="10"/>
  <c r="C797" i="10"/>
  <c r="B797" i="10"/>
  <c r="A797" i="10"/>
  <c r="G796" i="10"/>
  <c r="F796" i="10"/>
  <c r="E796" i="10"/>
  <c r="D796" i="10"/>
  <c r="C796" i="10"/>
  <c r="B796" i="10"/>
  <c r="A796" i="10"/>
  <c r="G795" i="10"/>
  <c r="H795" i="10" s="1"/>
  <c r="F795" i="10"/>
  <c r="E795" i="10"/>
  <c r="D795" i="10"/>
  <c r="C795" i="10"/>
  <c r="B795" i="10"/>
  <c r="A795" i="10"/>
  <c r="G794" i="10"/>
  <c r="F794" i="10"/>
  <c r="E794" i="10"/>
  <c r="D794" i="10"/>
  <c r="C794" i="10"/>
  <c r="B794" i="10"/>
  <c r="A794" i="10"/>
  <c r="G793" i="10"/>
  <c r="F793" i="10"/>
  <c r="E793" i="10"/>
  <c r="D793" i="10"/>
  <c r="C793" i="10"/>
  <c r="B793" i="10"/>
  <c r="A793" i="10"/>
  <c r="G792" i="10"/>
  <c r="H792" i="10" s="1"/>
  <c r="F792" i="10"/>
  <c r="E792" i="10"/>
  <c r="D792" i="10"/>
  <c r="C792" i="10"/>
  <c r="B792" i="10"/>
  <c r="A792" i="10"/>
  <c r="G791" i="10"/>
  <c r="F791" i="10"/>
  <c r="E791" i="10"/>
  <c r="H791" i="10" s="1"/>
  <c r="D791" i="10"/>
  <c r="C791" i="10"/>
  <c r="B791" i="10"/>
  <c r="A791" i="10"/>
  <c r="G790" i="10"/>
  <c r="F790" i="10"/>
  <c r="E790" i="10"/>
  <c r="D790" i="10"/>
  <c r="C790" i="10"/>
  <c r="B790" i="10"/>
  <c r="A790" i="10"/>
  <c r="H789" i="10"/>
  <c r="G789" i="10"/>
  <c r="F789" i="10"/>
  <c r="E789" i="10"/>
  <c r="D789" i="10"/>
  <c r="C789" i="10"/>
  <c r="B789" i="10"/>
  <c r="A789" i="10"/>
  <c r="G788" i="10"/>
  <c r="F788" i="10"/>
  <c r="E788" i="10"/>
  <c r="D788" i="10"/>
  <c r="C788" i="10"/>
  <c r="B788" i="10"/>
  <c r="A788" i="10"/>
  <c r="G787" i="10"/>
  <c r="F787" i="10"/>
  <c r="E787" i="10"/>
  <c r="D787" i="10"/>
  <c r="C787" i="10"/>
  <c r="B787" i="10"/>
  <c r="A787" i="10"/>
  <c r="H786" i="10"/>
  <c r="G786" i="10"/>
  <c r="F786" i="10"/>
  <c r="E786" i="10"/>
  <c r="D786" i="10"/>
  <c r="C786" i="10"/>
  <c r="B786" i="10"/>
  <c r="A786" i="10"/>
  <c r="G785" i="10"/>
  <c r="F785" i="10"/>
  <c r="E785" i="10"/>
  <c r="H785" i="10" s="1"/>
  <c r="D785" i="10"/>
  <c r="C785" i="10"/>
  <c r="B785" i="10"/>
  <c r="A785" i="10"/>
  <c r="G784" i="10"/>
  <c r="F784" i="10"/>
  <c r="E784" i="10"/>
  <c r="D784" i="10"/>
  <c r="C784" i="10"/>
  <c r="B784" i="10"/>
  <c r="A784" i="10"/>
  <c r="H783" i="10"/>
  <c r="G783" i="10"/>
  <c r="F783" i="10"/>
  <c r="E783" i="10"/>
  <c r="D783" i="10"/>
  <c r="C783" i="10"/>
  <c r="B783" i="10"/>
  <c r="A783" i="10"/>
  <c r="G782" i="10"/>
  <c r="F782" i="10"/>
  <c r="E782" i="10"/>
  <c r="H782" i="10" s="1"/>
  <c r="D782" i="10"/>
  <c r="C782" i="10"/>
  <c r="B782" i="10"/>
  <c r="A782" i="10"/>
  <c r="G781" i="10"/>
  <c r="F781" i="10"/>
  <c r="E781" i="10"/>
  <c r="D781" i="10"/>
  <c r="C781" i="10"/>
  <c r="B781" i="10"/>
  <c r="A781" i="10"/>
  <c r="H780" i="10"/>
  <c r="G780" i="10"/>
  <c r="F780" i="10"/>
  <c r="E780" i="10"/>
  <c r="D780" i="10"/>
  <c r="C780" i="10"/>
  <c r="B780" i="10"/>
  <c r="A780" i="10"/>
  <c r="G779" i="10"/>
  <c r="F779" i="10"/>
  <c r="E779" i="10"/>
  <c r="D779" i="10"/>
  <c r="C779" i="10"/>
  <c r="B779" i="10"/>
  <c r="A779" i="10"/>
  <c r="G778" i="10"/>
  <c r="F778" i="10"/>
  <c r="H778" i="10" s="1"/>
  <c r="E778" i="10"/>
  <c r="D778" i="10"/>
  <c r="C778" i="10"/>
  <c r="B778" i="10"/>
  <c r="A778" i="10"/>
  <c r="G777" i="10"/>
  <c r="H777" i="10" s="1"/>
  <c r="F777" i="10"/>
  <c r="E777" i="10"/>
  <c r="D777" i="10"/>
  <c r="C777" i="10"/>
  <c r="B777" i="10"/>
  <c r="A777" i="10"/>
  <c r="G776" i="10"/>
  <c r="F776" i="10"/>
  <c r="E776" i="10"/>
  <c r="D776" i="10"/>
  <c r="C776" i="10"/>
  <c r="B776" i="10"/>
  <c r="A776" i="10"/>
  <c r="G775" i="10"/>
  <c r="F775" i="10"/>
  <c r="H775" i="10" s="1"/>
  <c r="E775" i="10"/>
  <c r="D775" i="10"/>
  <c r="C775" i="10"/>
  <c r="B775" i="10"/>
  <c r="A775" i="10"/>
  <c r="H774" i="10"/>
  <c r="G774" i="10"/>
  <c r="F774" i="10"/>
  <c r="E774" i="10"/>
  <c r="D774" i="10"/>
  <c r="C774" i="10"/>
  <c r="B774" i="10"/>
  <c r="A774" i="10"/>
  <c r="G773" i="10"/>
  <c r="F773" i="10"/>
  <c r="E773" i="10"/>
  <c r="H773" i="10" s="1"/>
  <c r="D773" i="10"/>
  <c r="C773" i="10"/>
  <c r="B773" i="10"/>
  <c r="A773" i="10"/>
  <c r="G772" i="10"/>
  <c r="F772" i="10"/>
  <c r="H772" i="10" s="1"/>
  <c r="E772" i="10"/>
  <c r="D772" i="10"/>
  <c r="C772" i="10"/>
  <c r="B772" i="10"/>
  <c r="A772" i="10"/>
  <c r="H771" i="10"/>
  <c r="G771" i="10"/>
  <c r="F771" i="10"/>
  <c r="E771" i="10"/>
  <c r="D771" i="10"/>
  <c r="C771" i="10"/>
  <c r="B771" i="10"/>
  <c r="A771" i="10"/>
  <c r="G770" i="10"/>
  <c r="F770" i="10"/>
  <c r="E770" i="10"/>
  <c r="D770" i="10"/>
  <c r="C770" i="10"/>
  <c r="B770" i="10"/>
  <c r="A770" i="10"/>
  <c r="G769" i="10"/>
  <c r="F769" i="10"/>
  <c r="E769" i="10"/>
  <c r="D769" i="10"/>
  <c r="C769" i="10"/>
  <c r="B769" i="10"/>
  <c r="A769" i="10"/>
  <c r="H768" i="10"/>
  <c r="G768" i="10"/>
  <c r="F768" i="10"/>
  <c r="E768" i="10"/>
  <c r="D768" i="10"/>
  <c r="C768" i="10"/>
  <c r="B768" i="10"/>
  <c r="A768" i="10"/>
  <c r="G767" i="10"/>
  <c r="F767" i="10"/>
  <c r="E767" i="10"/>
  <c r="H767" i="10" s="1"/>
  <c r="D767" i="10"/>
  <c r="C767" i="10"/>
  <c r="B767" i="10"/>
  <c r="A767" i="10"/>
  <c r="G766" i="10"/>
  <c r="F766" i="10"/>
  <c r="E766" i="10"/>
  <c r="D766" i="10"/>
  <c r="C766" i="10"/>
  <c r="B766" i="10"/>
  <c r="A766" i="10"/>
  <c r="H765" i="10"/>
  <c r="G765" i="10"/>
  <c r="F765" i="10"/>
  <c r="E765" i="10"/>
  <c r="D765" i="10"/>
  <c r="C765" i="10"/>
  <c r="B765" i="10"/>
  <c r="A765" i="10"/>
  <c r="G764" i="10"/>
  <c r="F764" i="10"/>
  <c r="E764" i="10"/>
  <c r="H764" i="10" s="1"/>
  <c r="D764" i="10"/>
  <c r="C764" i="10"/>
  <c r="B764" i="10"/>
  <c r="A764" i="10"/>
  <c r="G763" i="10"/>
  <c r="F763" i="10"/>
  <c r="E763" i="10"/>
  <c r="D763" i="10"/>
  <c r="C763" i="10"/>
  <c r="B763" i="10"/>
  <c r="A763" i="10"/>
  <c r="H762" i="10"/>
  <c r="G762" i="10"/>
  <c r="F762" i="10"/>
  <c r="E762" i="10"/>
  <c r="D762" i="10"/>
  <c r="C762" i="10"/>
  <c r="B762" i="10"/>
  <c r="A762" i="10"/>
  <c r="G761" i="10"/>
  <c r="F761" i="10"/>
  <c r="E761" i="10"/>
  <c r="D761" i="10"/>
  <c r="C761" i="10"/>
  <c r="B761" i="10"/>
  <c r="A761" i="10"/>
  <c r="G760" i="10"/>
  <c r="F760" i="10"/>
  <c r="E760" i="10"/>
  <c r="D760" i="10"/>
  <c r="C760" i="10"/>
  <c r="B760" i="10"/>
  <c r="A760" i="10"/>
  <c r="G759" i="10"/>
  <c r="H759" i="10" s="1"/>
  <c r="F759" i="10"/>
  <c r="E759" i="10"/>
  <c r="D759" i="10"/>
  <c r="C759" i="10"/>
  <c r="B759" i="10"/>
  <c r="A759" i="10"/>
  <c r="G758" i="10"/>
  <c r="F758" i="10"/>
  <c r="E758" i="10"/>
  <c r="D758" i="10"/>
  <c r="C758" i="10"/>
  <c r="B758" i="10"/>
  <c r="A758" i="10"/>
  <c r="G757" i="10"/>
  <c r="F757" i="10"/>
  <c r="H757" i="10" s="1"/>
  <c r="E757" i="10"/>
  <c r="D757" i="10"/>
  <c r="C757" i="10"/>
  <c r="B757" i="10"/>
  <c r="A757" i="10"/>
  <c r="H756" i="10"/>
  <c r="G756" i="10"/>
  <c r="F756" i="10"/>
  <c r="E756" i="10"/>
  <c r="D756" i="10"/>
  <c r="C756" i="10"/>
  <c r="B756" i="10"/>
  <c r="A756" i="10"/>
  <c r="G755" i="10"/>
  <c r="F755" i="10"/>
  <c r="E755" i="10"/>
  <c r="H755" i="10" s="1"/>
  <c r="D755" i="10"/>
  <c r="C755" i="10"/>
  <c r="B755" i="10"/>
  <c r="A755" i="10"/>
  <c r="G754" i="10"/>
  <c r="F754" i="10"/>
  <c r="H754" i="10" s="1"/>
  <c r="E754" i="10"/>
  <c r="D754" i="10"/>
  <c r="C754" i="10"/>
  <c r="B754" i="10"/>
  <c r="A754" i="10"/>
  <c r="G753" i="10"/>
  <c r="H753" i="10" s="1"/>
  <c r="F753" i="10"/>
  <c r="E753" i="10"/>
  <c r="D753" i="10"/>
  <c r="C753" i="10"/>
  <c r="B753" i="10"/>
  <c r="A753" i="10"/>
  <c r="G752" i="10"/>
  <c r="F752" i="10"/>
  <c r="E752" i="10"/>
  <c r="D752" i="10"/>
  <c r="C752" i="10"/>
  <c r="B752" i="10"/>
  <c r="A752" i="10"/>
  <c r="G751" i="10"/>
  <c r="F751" i="10"/>
  <c r="E751" i="10"/>
  <c r="D751" i="10"/>
  <c r="C751" i="10"/>
  <c r="B751" i="10"/>
  <c r="A751" i="10"/>
  <c r="H750" i="10"/>
  <c r="G750" i="10"/>
  <c r="F750" i="10"/>
  <c r="E750" i="10"/>
  <c r="D750" i="10"/>
  <c r="C750" i="10"/>
  <c r="B750" i="10"/>
  <c r="A750" i="10"/>
  <c r="G749" i="10"/>
  <c r="F749" i="10"/>
  <c r="H749" i="10" s="1"/>
  <c r="E749" i="10"/>
  <c r="D749" i="10"/>
  <c r="C749" i="10"/>
  <c r="B749" i="10"/>
  <c r="A749" i="10"/>
  <c r="G748" i="10"/>
  <c r="F748" i="10"/>
  <c r="E748" i="10"/>
  <c r="D748" i="10"/>
  <c r="C748" i="10"/>
  <c r="B748" i="10"/>
  <c r="A748" i="10"/>
  <c r="G747" i="10"/>
  <c r="H747" i="10" s="1"/>
  <c r="F747" i="10"/>
  <c r="E747" i="10"/>
  <c r="D747" i="10"/>
  <c r="C747" i="10"/>
  <c r="B747" i="10"/>
  <c r="A747" i="10"/>
  <c r="G746" i="10"/>
  <c r="F746" i="10"/>
  <c r="E746" i="10"/>
  <c r="H746" i="10" s="1"/>
  <c r="D746" i="10"/>
  <c r="C746" i="10"/>
  <c r="B746" i="10"/>
  <c r="A746" i="10"/>
  <c r="G745" i="10"/>
  <c r="F745" i="10"/>
  <c r="E745" i="10"/>
  <c r="H745" i="10" s="1"/>
  <c r="D745" i="10"/>
  <c r="C745" i="10"/>
  <c r="B745" i="10"/>
  <c r="A745" i="10"/>
  <c r="H744" i="10"/>
  <c r="G744" i="10"/>
  <c r="F744" i="10"/>
  <c r="E744" i="10"/>
  <c r="D744" i="10"/>
  <c r="C744" i="10"/>
  <c r="B744" i="10"/>
  <c r="A744" i="10"/>
  <c r="G743" i="10"/>
  <c r="F743" i="10"/>
  <c r="E743" i="10"/>
  <c r="H743" i="10" s="1"/>
  <c r="D743" i="10"/>
  <c r="C743" i="10"/>
  <c r="B743" i="10"/>
  <c r="A743" i="10"/>
  <c r="G742" i="10"/>
  <c r="F742" i="10"/>
  <c r="H742" i="10" s="1"/>
  <c r="E742" i="10"/>
  <c r="D742" i="10"/>
  <c r="C742" i="10"/>
  <c r="B742" i="10"/>
  <c r="A742" i="10"/>
  <c r="G741" i="10"/>
  <c r="H741" i="10" s="1"/>
  <c r="F741" i="10"/>
  <c r="E741" i="10"/>
  <c r="D741" i="10"/>
  <c r="C741" i="10"/>
  <c r="B741" i="10"/>
  <c r="A741" i="10"/>
  <c r="H740" i="10"/>
  <c r="G740" i="10"/>
  <c r="F740" i="10"/>
  <c r="E740" i="10"/>
  <c r="D740" i="10"/>
  <c r="C740" i="10"/>
  <c r="B740" i="10"/>
  <c r="A740" i="10"/>
  <c r="G739" i="10"/>
  <c r="F739" i="10"/>
  <c r="H739" i="10" s="1"/>
  <c r="E739" i="10"/>
  <c r="D739" i="10"/>
  <c r="C739" i="10"/>
  <c r="B739" i="10"/>
  <c r="A739" i="10"/>
  <c r="H738" i="10"/>
  <c r="G738" i="10"/>
  <c r="F738" i="10"/>
  <c r="E738" i="10"/>
  <c r="D738" i="10"/>
  <c r="C738" i="10"/>
  <c r="B738" i="10"/>
  <c r="A738" i="10"/>
  <c r="H737" i="10"/>
  <c r="G737" i="10"/>
  <c r="F737" i="10"/>
  <c r="E737" i="10"/>
  <c r="D737" i="10"/>
  <c r="C737" i="10"/>
  <c r="B737" i="10"/>
  <c r="A737" i="10"/>
  <c r="G736" i="10"/>
  <c r="F736" i="10"/>
  <c r="E736" i="10"/>
  <c r="D736" i="10"/>
  <c r="C736" i="10"/>
  <c r="B736" i="10"/>
  <c r="A736" i="10"/>
  <c r="G735" i="10"/>
  <c r="H735" i="10" s="1"/>
  <c r="F735" i="10"/>
  <c r="E735" i="10"/>
  <c r="D735" i="10"/>
  <c r="C735" i="10"/>
  <c r="B735" i="10"/>
  <c r="A735" i="10"/>
  <c r="H734" i="10"/>
  <c r="G734" i="10"/>
  <c r="F734" i="10"/>
  <c r="E734" i="10"/>
  <c r="D734" i="10"/>
  <c r="C734" i="10"/>
  <c r="B734" i="10"/>
  <c r="A734" i="10"/>
  <c r="G733" i="10"/>
  <c r="F733" i="10"/>
  <c r="H733" i="10" s="1"/>
  <c r="E733" i="10"/>
  <c r="D733" i="10"/>
  <c r="C733" i="10"/>
  <c r="B733" i="10"/>
  <c r="A733" i="10"/>
  <c r="G732" i="10"/>
  <c r="H732" i="10" s="1"/>
  <c r="F732" i="10"/>
  <c r="E732" i="10"/>
  <c r="D732" i="10"/>
  <c r="C732" i="10"/>
  <c r="B732" i="10"/>
  <c r="A732" i="10"/>
  <c r="G731" i="10"/>
  <c r="F731" i="10"/>
  <c r="H731" i="10" s="1"/>
  <c r="E731" i="10"/>
  <c r="D731" i="10"/>
  <c r="C731" i="10"/>
  <c r="B731" i="10"/>
  <c r="A731" i="10"/>
  <c r="G730" i="10"/>
  <c r="F730" i="10"/>
  <c r="E730" i="10"/>
  <c r="D730" i="10"/>
  <c r="C730" i="10"/>
  <c r="B730" i="10"/>
  <c r="A730" i="10"/>
  <c r="H729" i="10"/>
  <c r="G729" i="10"/>
  <c r="F729" i="10"/>
  <c r="E729" i="10"/>
  <c r="D729" i="10"/>
  <c r="C729" i="10"/>
  <c r="B729" i="10"/>
  <c r="A729" i="10"/>
  <c r="G728" i="10"/>
  <c r="F728" i="10"/>
  <c r="E728" i="10"/>
  <c r="H728" i="10" s="1"/>
  <c r="D728" i="10"/>
  <c r="C728" i="10"/>
  <c r="B728" i="10"/>
  <c r="A728" i="10"/>
  <c r="G727" i="10"/>
  <c r="F727" i="10"/>
  <c r="H727" i="10" s="1"/>
  <c r="E727" i="10"/>
  <c r="D727" i="10"/>
  <c r="C727" i="10"/>
  <c r="B727" i="10"/>
  <c r="A727" i="10"/>
  <c r="G726" i="10"/>
  <c r="H726" i="10" s="1"/>
  <c r="F726" i="10"/>
  <c r="E726" i="10"/>
  <c r="D726" i="10"/>
  <c r="C726" i="10"/>
  <c r="B726" i="10"/>
  <c r="A726" i="10"/>
  <c r="G725" i="10"/>
  <c r="F725" i="10"/>
  <c r="E725" i="10"/>
  <c r="D725" i="10"/>
  <c r="C725" i="10"/>
  <c r="B725" i="10"/>
  <c r="A725" i="10"/>
  <c r="G724" i="10"/>
  <c r="F724" i="10"/>
  <c r="E724" i="10"/>
  <c r="D724" i="10"/>
  <c r="C724" i="10"/>
  <c r="B724" i="10"/>
  <c r="A724" i="10"/>
  <c r="G723" i="10"/>
  <c r="H723" i="10" s="1"/>
  <c r="F723" i="10"/>
  <c r="E723" i="10"/>
  <c r="D723" i="10"/>
  <c r="C723" i="10"/>
  <c r="B723" i="10"/>
  <c r="A723" i="10"/>
  <c r="G722" i="10"/>
  <c r="F722" i="10"/>
  <c r="E722" i="10"/>
  <c r="H722" i="10" s="1"/>
  <c r="D722" i="10"/>
  <c r="C722" i="10"/>
  <c r="B722" i="10"/>
  <c r="A722" i="10"/>
  <c r="G721" i="10"/>
  <c r="F721" i="10"/>
  <c r="H721" i="10" s="1"/>
  <c r="E721" i="10"/>
  <c r="D721" i="10"/>
  <c r="C721" i="10"/>
  <c r="B721" i="10"/>
  <c r="A721" i="10"/>
  <c r="H720" i="10"/>
  <c r="G720" i="10"/>
  <c r="F720" i="10"/>
  <c r="E720" i="10"/>
  <c r="D720" i="10"/>
  <c r="C720" i="10"/>
  <c r="B720" i="10"/>
  <c r="A720" i="10"/>
  <c r="H719" i="10"/>
  <c r="G719" i="10"/>
  <c r="F719" i="10"/>
  <c r="E719" i="10"/>
  <c r="D719" i="10"/>
  <c r="C719" i="10"/>
  <c r="B719" i="10"/>
  <c r="A719" i="10"/>
  <c r="G718" i="10"/>
  <c r="F718" i="10"/>
  <c r="H718" i="10" s="1"/>
  <c r="E718" i="10"/>
  <c r="D718" i="10"/>
  <c r="C718" i="10"/>
  <c r="B718" i="10"/>
  <c r="A718" i="10"/>
  <c r="G717" i="10"/>
  <c r="F717" i="10"/>
  <c r="E717" i="10"/>
  <c r="D717" i="10"/>
  <c r="C717" i="10"/>
  <c r="B717" i="10"/>
  <c r="A717" i="10"/>
  <c r="G716" i="10"/>
  <c r="F716" i="10"/>
  <c r="E716" i="10"/>
  <c r="H716" i="10" s="1"/>
  <c r="D716" i="10"/>
  <c r="C716" i="10"/>
  <c r="B716" i="10"/>
  <c r="A716" i="10"/>
  <c r="G715" i="10"/>
  <c r="F715" i="10"/>
  <c r="E715" i="10"/>
  <c r="D715" i="10"/>
  <c r="C715" i="10"/>
  <c r="B715" i="10"/>
  <c r="A715" i="10"/>
  <c r="G714" i="10"/>
  <c r="F714" i="10"/>
  <c r="E714" i="10"/>
  <c r="H714" i="10" s="1"/>
  <c r="D714" i="10"/>
  <c r="C714" i="10"/>
  <c r="B714" i="10"/>
  <c r="A714" i="10"/>
  <c r="G713" i="10"/>
  <c r="F713" i="10"/>
  <c r="H713" i="10" s="1"/>
  <c r="E713" i="10"/>
  <c r="D713" i="10"/>
  <c r="C713" i="10"/>
  <c r="B713" i="10"/>
  <c r="A713" i="10"/>
  <c r="G712" i="10"/>
  <c r="F712" i="10"/>
  <c r="E712" i="10"/>
  <c r="D712" i="10"/>
  <c r="C712" i="10"/>
  <c r="B712" i="10"/>
  <c r="A712" i="10"/>
  <c r="G711" i="10"/>
  <c r="F711" i="10"/>
  <c r="E711" i="10"/>
  <c r="H711" i="10" s="1"/>
  <c r="D711" i="10"/>
  <c r="C711" i="10"/>
  <c r="B711" i="10"/>
  <c r="A711" i="10"/>
  <c r="G710" i="10"/>
  <c r="F710" i="10"/>
  <c r="E710" i="10"/>
  <c r="H710" i="10" s="1"/>
  <c r="D710" i="10"/>
  <c r="C710" i="10"/>
  <c r="B710" i="10"/>
  <c r="A710" i="10"/>
  <c r="G709" i="10"/>
  <c r="F709" i="10"/>
  <c r="E709" i="10"/>
  <c r="D709" i="10"/>
  <c r="C709" i="10"/>
  <c r="B709" i="10"/>
  <c r="A709" i="10"/>
  <c r="H708" i="10"/>
  <c r="G708" i="10"/>
  <c r="F708" i="10"/>
  <c r="E708" i="10"/>
  <c r="D708" i="10"/>
  <c r="C708" i="10"/>
  <c r="B708" i="10"/>
  <c r="A708" i="10"/>
  <c r="G707" i="10"/>
  <c r="F707" i="10"/>
  <c r="E707" i="10"/>
  <c r="H707" i="10" s="1"/>
  <c r="D707" i="10"/>
  <c r="C707" i="10"/>
  <c r="B707" i="10"/>
  <c r="A707" i="10"/>
  <c r="G706" i="10"/>
  <c r="F706" i="10"/>
  <c r="E706" i="10"/>
  <c r="D706" i="10"/>
  <c r="C706" i="10"/>
  <c r="B706" i="10"/>
  <c r="A706" i="10"/>
  <c r="G705" i="10"/>
  <c r="F705" i="10"/>
  <c r="E705" i="10"/>
  <c r="D705" i="10"/>
  <c r="C705" i="10"/>
  <c r="B705" i="10"/>
  <c r="A705" i="10"/>
  <c r="H704" i="10"/>
  <c r="G704" i="10"/>
  <c r="F704" i="10"/>
  <c r="E704" i="10"/>
  <c r="D704" i="10"/>
  <c r="C704" i="10"/>
  <c r="B704" i="10"/>
  <c r="A704" i="10"/>
  <c r="G703" i="10"/>
  <c r="F703" i="10"/>
  <c r="H703" i="10" s="1"/>
  <c r="E703" i="10"/>
  <c r="D703" i="10"/>
  <c r="C703" i="10"/>
  <c r="B703" i="10"/>
  <c r="A703" i="10"/>
  <c r="G702" i="10"/>
  <c r="F702" i="10"/>
  <c r="E702" i="10"/>
  <c r="D702" i="10"/>
  <c r="C702" i="10"/>
  <c r="B702" i="10"/>
  <c r="A702" i="10"/>
  <c r="H701" i="10"/>
  <c r="G701" i="10"/>
  <c r="F701" i="10"/>
  <c r="E701" i="10"/>
  <c r="D701" i="10"/>
  <c r="C701" i="10"/>
  <c r="B701" i="10"/>
  <c r="A701" i="10"/>
  <c r="G700" i="10"/>
  <c r="F700" i="10"/>
  <c r="E700" i="10"/>
  <c r="D700" i="10"/>
  <c r="C700" i="10"/>
  <c r="B700" i="10"/>
  <c r="A700" i="10"/>
  <c r="G699" i="10"/>
  <c r="F699" i="10"/>
  <c r="E699" i="10"/>
  <c r="H699" i="10" s="1"/>
  <c r="D699" i="10"/>
  <c r="C699" i="10"/>
  <c r="B699" i="10"/>
  <c r="A699" i="10"/>
  <c r="H698" i="10"/>
  <c r="G698" i="10"/>
  <c r="F698" i="10"/>
  <c r="E698" i="10"/>
  <c r="D698" i="10"/>
  <c r="C698" i="10"/>
  <c r="B698" i="10"/>
  <c r="A698" i="10"/>
  <c r="G697" i="10"/>
  <c r="F697" i="10"/>
  <c r="H697" i="10" s="1"/>
  <c r="E697" i="10"/>
  <c r="D697" i="10"/>
  <c r="C697" i="10"/>
  <c r="B697" i="10"/>
  <c r="A697" i="10"/>
  <c r="G696" i="10"/>
  <c r="F696" i="10"/>
  <c r="E696" i="10"/>
  <c r="H696" i="10" s="1"/>
  <c r="D696" i="10"/>
  <c r="C696" i="10"/>
  <c r="B696" i="10"/>
  <c r="A696" i="10"/>
  <c r="H695" i="10"/>
  <c r="G695" i="10"/>
  <c r="F695" i="10"/>
  <c r="E695" i="10"/>
  <c r="D695" i="10"/>
  <c r="C695" i="10"/>
  <c r="B695" i="10"/>
  <c r="A695" i="10"/>
  <c r="G694" i="10"/>
  <c r="F694" i="10"/>
  <c r="E694" i="10"/>
  <c r="D694" i="10"/>
  <c r="C694" i="10"/>
  <c r="B694" i="10"/>
  <c r="A694" i="10"/>
  <c r="G693" i="10"/>
  <c r="F693" i="10"/>
  <c r="E693" i="10"/>
  <c r="D693" i="10"/>
  <c r="C693" i="10"/>
  <c r="B693" i="10"/>
  <c r="A693" i="10"/>
  <c r="H692" i="10"/>
  <c r="G692" i="10"/>
  <c r="F692" i="10"/>
  <c r="E692" i="10"/>
  <c r="D692" i="10"/>
  <c r="C692" i="10"/>
  <c r="B692" i="10"/>
  <c r="A692" i="10"/>
  <c r="G691" i="10"/>
  <c r="F691" i="10"/>
  <c r="E691" i="10"/>
  <c r="D691" i="10"/>
  <c r="C691" i="10"/>
  <c r="B691" i="10"/>
  <c r="A691" i="10"/>
  <c r="G690" i="10"/>
  <c r="F690" i="10"/>
  <c r="E690" i="10"/>
  <c r="H690" i="10" s="1"/>
  <c r="D690" i="10"/>
  <c r="C690" i="10"/>
  <c r="B690" i="10"/>
  <c r="A690" i="10"/>
  <c r="H689" i="10"/>
  <c r="G689" i="10"/>
  <c r="F689" i="10"/>
  <c r="E689" i="10"/>
  <c r="D689" i="10"/>
  <c r="C689" i="10"/>
  <c r="B689" i="10"/>
  <c r="A689" i="10"/>
  <c r="G688" i="10"/>
  <c r="F688" i="10"/>
  <c r="E688" i="10"/>
  <c r="D688" i="10"/>
  <c r="C688" i="10"/>
  <c r="B688" i="10"/>
  <c r="A688" i="10"/>
  <c r="G687" i="10"/>
  <c r="F687" i="10"/>
  <c r="E687" i="10"/>
  <c r="D687" i="10"/>
  <c r="C687" i="10"/>
  <c r="B687" i="10"/>
  <c r="A687" i="10"/>
  <c r="H686" i="10"/>
  <c r="G686" i="10"/>
  <c r="F686" i="10"/>
  <c r="E686" i="10"/>
  <c r="D686" i="10"/>
  <c r="C686" i="10"/>
  <c r="B686" i="10"/>
  <c r="A686" i="10"/>
  <c r="G685" i="10"/>
  <c r="F685" i="10"/>
  <c r="H685" i="10" s="1"/>
  <c r="E685" i="10"/>
  <c r="D685" i="10"/>
  <c r="C685" i="10"/>
  <c r="B685" i="10"/>
  <c r="A685" i="10"/>
  <c r="G684" i="10"/>
  <c r="F684" i="10"/>
  <c r="E684" i="10"/>
  <c r="D684" i="10"/>
  <c r="C684" i="10"/>
  <c r="B684" i="10"/>
  <c r="A684" i="10"/>
  <c r="H683" i="10"/>
  <c r="G683" i="10"/>
  <c r="F683" i="10"/>
  <c r="E683" i="10"/>
  <c r="D683" i="10"/>
  <c r="C683" i="10"/>
  <c r="B683" i="10"/>
  <c r="A683" i="10"/>
  <c r="G682" i="10"/>
  <c r="F682" i="10"/>
  <c r="E682" i="10"/>
  <c r="D682" i="10"/>
  <c r="C682" i="10"/>
  <c r="B682" i="10"/>
  <c r="A682" i="10"/>
  <c r="G681" i="10"/>
  <c r="F681" i="10"/>
  <c r="E681" i="10"/>
  <c r="H681" i="10" s="1"/>
  <c r="D681" i="10"/>
  <c r="C681" i="10"/>
  <c r="B681" i="10"/>
  <c r="A681" i="10"/>
  <c r="G680" i="10"/>
  <c r="F680" i="10"/>
  <c r="E680" i="10"/>
  <c r="H680" i="10" s="1"/>
  <c r="D680" i="10"/>
  <c r="C680" i="10"/>
  <c r="B680" i="10"/>
  <c r="A680" i="10"/>
  <c r="G679" i="10"/>
  <c r="F679" i="10"/>
  <c r="E679" i="10"/>
  <c r="D679" i="10"/>
  <c r="C679" i="10"/>
  <c r="B679" i="10"/>
  <c r="A679" i="10"/>
  <c r="G678" i="10"/>
  <c r="F678" i="10"/>
  <c r="E678" i="10"/>
  <c r="H678" i="10" s="1"/>
  <c r="D678" i="10"/>
  <c r="C678" i="10"/>
  <c r="B678" i="10"/>
  <c r="A678" i="10"/>
  <c r="H677" i="10"/>
  <c r="G677" i="10"/>
  <c r="F677" i="10"/>
  <c r="E677" i="10"/>
  <c r="D677" i="10"/>
  <c r="C677" i="10"/>
  <c r="B677" i="10"/>
  <c r="A677" i="10"/>
  <c r="G676" i="10"/>
  <c r="F676" i="10"/>
  <c r="H676" i="10" s="1"/>
  <c r="E676" i="10"/>
  <c r="D676" i="10"/>
  <c r="C676" i="10"/>
  <c r="B676" i="10"/>
  <c r="A676" i="10"/>
  <c r="G675" i="10"/>
  <c r="F675" i="10"/>
  <c r="E675" i="10"/>
  <c r="D675" i="10"/>
  <c r="C675" i="10"/>
  <c r="B675" i="10"/>
  <c r="A675" i="10"/>
  <c r="H674" i="10"/>
  <c r="G674" i="10"/>
  <c r="F674" i="10"/>
  <c r="E674" i="10"/>
  <c r="D674" i="10"/>
  <c r="C674" i="10"/>
  <c r="B674" i="10"/>
  <c r="A674" i="10"/>
  <c r="G673" i="10"/>
  <c r="F673" i="10"/>
  <c r="E673" i="10"/>
  <c r="D673" i="10"/>
  <c r="C673" i="10"/>
  <c r="B673" i="10"/>
  <c r="A673" i="10"/>
  <c r="G672" i="10"/>
  <c r="F672" i="10"/>
  <c r="E672" i="10"/>
  <c r="H672" i="10" s="1"/>
  <c r="D672" i="10"/>
  <c r="C672" i="10"/>
  <c r="B672" i="10"/>
  <c r="A672" i="10"/>
  <c r="H671" i="10"/>
  <c r="G671" i="10"/>
  <c r="F671" i="10"/>
  <c r="E671" i="10"/>
  <c r="D671" i="10"/>
  <c r="C671" i="10"/>
  <c r="B671" i="10"/>
  <c r="A671" i="10"/>
  <c r="G670" i="10"/>
  <c r="F670" i="10"/>
  <c r="E670" i="10"/>
  <c r="D670" i="10"/>
  <c r="C670" i="10"/>
  <c r="B670" i="10"/>
  <c r="A670" i="10"/>
  <c r="G669" i="10"/>
  <c r="F669" i="10"/>
  <c r="E669" i="10"/>
  <c r="D669" i="10"/>
  <c r="C669" i="10"/>
  <c r="B669" i="10"/>
  <c r="A669" i="10"/>
  <c r="G668" i="10"/>
  <c r="F668" i="10"/>
  <c r="E668" i="10"/>
  <c r="H668" i="10" s="1"/>
  <c r="D668" i="10"/>
  <c r="C668" i="10"/>
  <c r="B668" i="10"/>
  <c r="A668" i="10"/>
  <c r="G667" i="10"/>
  <c r="F667" i="10"/>
  <c r="H667" i="10" s="1"/>
  <c r="E667" i="10"/>
  <c r="D667" i="10"/>
  <c r="C667" i="10"/>
  <c r="B667" i="10"/>
  <c r="A667" i="10"/>
  <c r="G666" i="10"/>
  <c r="F666" i="10"/>
  <c r="E666" i="10"/>
  <c r="H666" i="10" s="1"/>
  <c r="D666" i="10"/>
  <c r="C666" i="10"/>
  <c r="B666" i="10"/>
  <c r="A666" i="10"/>
  <c r="H665" i="10"/>
  <c r="G665" i="10"/>
  <c r="F665" i="10"/>
  <c r="E665" i="10"/>
  <c r="D665" i="10"/>
  <c r="C665" i="10"/>
  <c r="B665" i="10"/>
  <c r="A665" i="10"/>
  <c r="G664" i="10"/>
  <c r="F664" i="10"/>
  <c r="E664" i="10"/>
  <c r="D664" i="10"/>
  <c r="C664" i="10"/>
  <c r="B664" i="10"/>
  <c r="A664" i="10"/>
  <c r="G663" i="10"/>
  <c r="F663" i="10"/>
  <c r="E663" i="10"/>
  <c r="H663" i="10" s="1"/>
  <c r="D663" i="10"/>
  <c r="C663" i="10"/>
  <c r="B663" i="10"/>
  <c r="A663" i="10"/>
  <c r="G662" i="10"/>
  <c r="F662" i="10"/>
  <c r="E662" i="10"/>
  <c r="H662" i="10" s="1"/>
  <c r="D662" i="10"/>
  <c r="C662" i="10"/>
  <c r="B662" i="10"/>
  <c r="A662" i="10"/>
  <c r="G661" i="10"/>
  <c r="F661" i="10"/>
  <c r="E661" i="10"/>
  <c r="D661" i="10"/>
  <c r="C661" i="10"/>
  <c r="B661" i="10"/>
  <c r="A661" i="10"/>
  <c r="G660" i="10"/>
  <c r="F660" i="10"/>
  <c r="E660" i="10"/>
  <c r="H660" i="10" s="1"/>
  <c r="D660" i="10"/>
  <c r="C660" i="10"/>
  <c r="B660" i="10"/>
  <c r="A660" i="10"/>
  <c r="H659" i="10"/>
  <c r="G659" i="10"/>
  <c r="F659" i="10"/>
  <c r="E659" i="10"/>
  <c r="D659" i="10"/>
  <c r="C659" i="10"/>
  <c r="B659" i="10"/>
  <c r="A659" i="10"/>
  <c r="G658" i="10"/>
  <c r="F658" i="10"/>
  <c r="E658" i="10"/>
  <c r="H658" i="10" s="1"/>
  <c r="D658" i="10"/>
  <c r="C658" i="10"/>
  <c r="B658" i="10"/>
  <c r="A658" i="10"/>
  <c r="G657" i="10"/>
  <c r="F657" i="10"/>
  <c r="E657" i="10"/>
  <c r="D657" i="10"/>
  <c r="C657" i="10"/>
  <c r="B657" i="10"/>
  <c r="A657" i="10"/>
  <c r="H656" i="10"/>
  <c r="G656" i="10"/>
  <c r="F656" i="10"/>
  <c r="E656" i="10"/>
  <c r="D656" i="10"/>
  <c r="C656" i="10"/>
  <c r="B656" i="10"/>
  <c r="A656" i="10"/>
  <c r="G655" i="10"/>
  <c r="F655" i="10"/>
  <c r="E655" i="10"/>
  <c r="H655" i="10" s="1"/>
  <c r="D655" i="10"/>
  <c r="C655" i="10"/>
  <c r="B655" i="10"/>
  <c r="A655" i="10"/>
  <c r="G654" i="10"/>
  <c r="F654" i="10"/>
  <c r="E654" i="10"/>
  <c r="H654" i="10" s="1"/>
  <c r="D654" i="10"/>
  <c r="C654" i="10"/>
  <c r="B654" i="10"/>
  <c r="A654" i="10"/>
  <c r="G653" i="10"/>
  <c r="F653" i="10"/>
  <c r="E653" i="10"/>
  <c r="H653" i="10" s="1"/>
  <c r="D653" i="10"/>
  <c r="C653" i="10"/>
  <c r="B653" i="10"/>
  <c r="A653" i="10"/>
  <c r="G652" i="10"/>
  <c r="F652" i="10"/>
  <c r="E652" i="10"/>
  <c r="D652" i="10"/>
  <c r="C652" i="10"/>
  <c r="B652" i="10"/>
  <c r="A652" i="10"/>
  <c r="G651" i="10"/>
  <c r="F651" i="10"/>
  <c r="E651" i="10"/>
  <c r="D651" i="10"/>
  <c r="C651" i="10"/>
  <c r="B651" i="10"/>
  <c r="A651" i="10"/>
  <c r="G650" i="10"/>
  <c r="F650" i="10"/>
  <c r="E650" i="10"/>
  <c r="H650" i="10" s="1"/>
  <c r="D650" i="10"/>
  <c r="C650" i="10"/>
  <c r="B650" i="10"/>
  <c r="A650" i="10"/>
  <c r="G649" i="10"/>
  <c r="F649" i="10"/>
  <c r="E649" i="10"/>
  <c r="D649" i="10"/>
  <c r="C649" i="10"/>
  <c r="B649" i="10"/>
  <c r="A649" i="10"/>
  <c r="G648" i="10"/>
  <c r="F648" i="10"/>
  <c r="E648" i="10"/>
  <c r="H648" i="10" s="1"/>
  <c r="D648" i="10"/>
  <c r="C648" i="10"/>
  <c r="B648" i="10"/>
  <c r="A648" i="10"/>
  <c r="H647" i="10"/>
  <c r="G647" i="10"/>
  <c r="F647" i="10"/>
  <c r="E647" i="10"/>
  <c r="D647" i="10"/>
  <c r="C647" i="10"/>
  <c r="B647" i="10"/>
  <c r="A647" i="10"/>
  <c r="G646" i="10"/>
  <c r="F646" i="10"/>
  <c r="E646" i="10"/>
  <c r="D646" i="10"/>
  <c r="C646" i="10"/>
  <c r="B646" i="10"/>
  <c r="A646" i="10"/>
  <c r="G645" i="10"/>
  <c r="F645" i="10"/>
  <c r="E645" i="10"/>
  <c r="H645" i="10" s="1"/>
  <c r="D645" i="10"/>
  <c r="C645" i="10"/>
  <c r="B645" i="10"/>
  <c r="A645" i="10"/>
  <c r="G644" i="10"/>
  <c r="F644" i="10"/>
  <c r="E644" i="10"/>
  <c r="H644" i="10" s="1"/>
  <c r="D644" i="10"/>
  <c r="C644" i="10"/>
  <c r="B644" i="10"/>
  <c r="A644" i="10"/>
  <c r="G643" i="10"/>
  <c r="F643" i="10"/>
  <c r="E643" i="10"/>
  <c r="D643" i="10"/>
  <c r="C643" i="10"/>
  <c r="B643" i="10"/>
  <c r="A643" i="10"/>
  <c r="G642" i="10"/>
  <c r="F642" i="10"/>
  <c r="E642" i="10"/>
  <c r="H642" i="10" s="1"/>
  <c r="D642" i="10"/>
  <c r="C642" i="10"/>
  <c r="B642" i="10"/>
  <c r="A642" i="10"/>
  <c r="H641" i="10"/>
  <c r="G641" i="10"/>
  <c r="F641" i="10"/>
  <c r="E641" i="10"/>
  <c r="D641" i="10"/>
  <c r="C641" i="10"/>
  <c r="B641" i="10"/>
  <c r="A641" i="10"/>
  <c r="G640" i="10"/>
  <c r="F640" i="10"/>
  <c r="E640" i="10"/>
  <c r="D640" i="10"/>
  <c r="C640" i="10"/>
  <c r="B640" i="10"/>
  <c r="A640" i="10"/>
  <c r="G639" i="10"/>
  <c r="F639" i="10"/>
  <c r="E639" i="10"/>
  <c r="D639" i="10"/>
  <c r="C639" i="10"/>
  <c r="B639" i="10"/>
  <c r="A639" i="10"/>
  <c r="H638" i="10"/>
  <c r="G638" i="10"/>
  <c r="F638" i="10"/>
  <c r="E638" i="10"/>
  <c r="D638" i="10"/>
  <c r="C638" i="10"/>
  <c r="B638" i="10"/>
  <c r="A638" i="10"/>
  <c r="G637" i="10"/>
  <c r="F637" i="10"/>
  <c r="E637" i="10"/>
  <c r="H637" i="10" s="1"/>
  <c r="D637" i="10"/>
  <c r="C637" i="10"/>
  <c r="B637" i="10"/>
  <c r="A637" i="10"/>
  <c r="G636" i="10"/>
  <c r="F636" i="10"/>
  <c r="E636" i="10"/>
  <c r="H636" i="10" s="1"/>
  <c r="D636" i="10"/>
  <c r="C636" i="10"/>
  <c r="B636" i="10"/>
  <c r="A636" i="10"/>
  <c r="G635" i="10"/>
  <c r="F635" i="10"/>
  <c r="E635" i="10"/>
  <c r="H635" i="10" s="1"/>
  <c r="D635" i="10"/>
  <c r="C635" i="10"/>
  <c r="B635" i="10"/>
  <c r="A635" i="10"/>
  <c r="G634" i="10"/>
  <c r="F634" i="10"/>
  <c r="E634" i="10"/>
  <c r="D634" i="10"/>
  <c r="C634" i="10"/>
  <c r="B634" i="10"/>
  <c r="A634" i="10"/>
  <c r="G633" i="10"/>
  <c r="F633" i="10"/>
  <c r="E633" i="10"/>
  <c r="D633" i="10"/>
  <c r="C633" i="10"/>
  <c r="B633" i="10"/>
  <c r="A633" i="10"/>
  <c r="G632" i="10"/>
  <c r="F632" i="10"/>
  <c r="E632" i="10"/>
  <c r="H632" i="10" s="1"/>
  <c r="D632" i="10"/>
  <c r="C632" i="10"/>
  <c r="B632" i="10"/>
  <c r="A632" i="10"/>
  <c r="G631" i="10"/>
  <c r="F631" i="10"/>
  <c r="E631" i="10"/>
  <c r="D631" i="10"/>
  <c r="C631" i="10"/>
  <c r="B631" i="10"/>
  <c r="A631" i="10"/>
  <c r="G630" i="10"/>
  <c r="F630" i="10"/>
  <c r="E630" i="10"/>
  <c r="H630" i="10" s="1"/>
  <c r="D630" i="10"/>
  <c r="C630" i="10"/>
  <c r="B630" i="10"/>
  <c r="A630" i="10"/>
  <c r="H629" i="10"/>
  <c r="G629" i="10"/>
  <c r="F629" i="10"/>
  <c r="E629" i="10"/>
  <c r="D629" i="10"/>
  <c r="C629" i="10"/>
  <c r="B629" i="10"/>
  <c r="A629" i="10"/>
  <c r="G628" i="10"/>
  <c r="F628" i="10"/>
  <c r="E628" i="10"/>
  <c r="D628" i="10"/>
  <c r="C628" i="10"/>
  <c r="B628" i="10"/>
  <c r="A628" i="10"/>
  <c r="G627" i="10"/>
  <c r="F627" i="10"/>
  <c r="E627" i="10"/>
  <c r="H627" i="10" s="1"/>
  <c r="D627" i="10"/>
  <c r="C627" i="10"/>
  <c r="B627" i="10"/>
  <c r="A627" i="10"/>
  <c r="G626" i="10"/>
  <c r="F626" i="10"/>
  <c r="E626" i="10"/>
  <c r="H626" i="10" s="1"/>
  <c r="D626" i="10"/>
  <c r="C626" i="10"/>
  <c r="B626" i="10"/>
  <c r="A626" i="10"/>
  <c r="G625" i="10"/>
  <c r="F625" i="10"/>
  <c r="E625" i="10"/>
  <c r="D625" i="10"/>
  <c r="C625" i="10"/>
  <c r="B625" i="10"/>
  <c r="A625" i="10"/>
  <c r="G624" i="10"/>
  <c r="F624" i="10"/>
  <c r="E624" i="10"/>
  <c r="H624" i="10" s="1"/>
  <c r="D624" i="10"/>
  <c r="C624" i="10"/>
  <c r="B624" i="10"/>
  <c r="A624" i="10"/>
  <c r="H623" i="10"/>
  <c r="G623" i="10"/>
  <c r="F623" i="10"/>
  <c r="E623" i="10"/>
  <c r="D623" i="10"/>
  <c r="C623" i="10"/>
  <c r="B623" i="10"/>
  <c r="A623" i="10"/>
  <c r="G622" i="10"/>
  <c r="F622" i="10"/>
  <c r="E622" i="10"/>
  <c r="H622" i="10" s="1"/>
  <c r="D622" i="10"/>
  <c r="C622" i="10"/>
  <c r="B622" i="10"/>
  <c r="A622" i="10"/>
  <c r="G621" i="10"/>
  <c r="F621" i="10"/>
  <c r="E621" i="10"/>
  <c r="D621" i="10"/>
  <c r="C621" i="10"/>
  <c r="B621" i="10"/>
  <c r="A621" i="10"/>
  <c r="H620" i="10"/>
  <c r="G620" i="10"/>
  <c r="F620" i="10"/>
  <c r="E620" i="10"/>
  <c r="D620" i="10"/>
  <c r="C620" i="10"/>
  <c r="B620" i="10"/>
  <c r="A620" i="10"/>
  <c r="G619" i="10"/>
  <c r="F619" i="10"/>
  <c r="E619" i="10"/>
  <c r="H619" i="10" s="1"/>
  <c r="D619" i="10"/>
  <c r="C619" i="10"/>
  <c r="B619" i="10"/>
  <c r="A619" i="10"/>
  <c r="G618" i="10"/>
  <c r="F618" i="10"/>
  <c r="E618" i="10"/>
  <c r="H618" i="10" s="1"/>
  <c r="D618" i="10"/>
  <c r="C618" i="10"/>
  <c r="B618" i="10"/>
  <c r="A618" i="10"/>
  <c r="G617" i="10"/>
  <c r="F617" i="10"/>
  <c r="E617" i="10"/>
  <c r="H617" i="10" s="1"/>
  <c r="D617" i="10"/>
  <c r="C617" i="10"/>
  <c r="B617" i="10"/>
  <c r="A617" i="10"/>
  <c r="G616" i="10"/>
  <c r="F616" i="10"/>
  <c r="E616" i="10"/>
  <c r="D616" i="10"/>
  <c r="C616" i="10"/>
  <c r="B616" i="10"/>
  <c r="A616" i="10"/>
  <c r="G615" i="10"/>
  <c r="F615" i="10"/>
  <c r="E615" i="10"/>
  <c r="D615" i="10"/>
  <c r="C615" i="10"/>
  <c r="B615" i="10"/>
  <c r="A615" i="10"/>
  <c r="G614" i="10"/>
  <c r="F614" i="10"/>
  <c r="E614" i="10"/>
  <c r="H614" i="10" s="1"/>
  <c r="D614" i="10"/>
  <c r="C614" i="10"/>
  <c r="B614" i="10"/>
  <c r="A614" i="10"/>
  <c r="G613" i="10"/>
  <c r="F613" i="10"/>
  <c r="E613" i="10"/>
  <c r="D613" i="10"/>
  <c r="C613" i="10"/>
  <c r="B613" i="10"/>
  <c r="A613" i="10"/>
  <c r="G612" i="10"/>
  <c r="F612" i="10"/>
  <c r="E612" i="10"/>
  <c r="H612" i="10" s="1"/>
  <c r="D612" i="10"/>
  <c r="C612" i="10"/>
  <c r="B612" i="10"/>
  <c r="A612" i="10"/>
  <c r="H611" i="10"/>
  <c r="G611" i="10"/>
  <c r="F611" i="10"/>
  <c r="E611" i="10"/>
  <c r="D611" i="10"/>
  <c r="C611" i="10"/>
  <c r="B611" i="10"/>
  <c r="A611" i="10"/>
  <c r="G610" i="10"/>
  <c r="F610" i="10"/>
  <c r="E610" i="10"/>
  <c r="D610" i="10"/>
  <c r="C610" i="10"/>
  <c r="B610" i="10"/>
  <c r="A610" i="10"/>
  <c r="G609" i="10"/>
  <c r="F609" i="10"/>
  <c r="E609" i="10"/>
  <c r="H609" i="10" s="1"/>
  <c r="D609" i="10"/>
  <c r="C609" i="10"/>
  <c r="B609" i="10"/>
  <c r="A609" i="10"/>
  <c r="G608" i="10"/>
  <c r="F608" i="10"/>
  <c r="E608" i="10"/>
  <c r="H608" i="10" s="1"/>
  <c r="D608" i="10"/>
  <c r="C608" i="10"/>
  <c r="B608" i="10"/>
  <c r="A608" i="10"/>
  <c r="G607" i="10"/>
  <c r="F607" i="10"/>
  <c r="E607" i="10"/>
  <c r="D607" i="10"/>
  <c r="C607" i="10"/>
  <c r="B607" i="10"/>
  <c r="A607" i="10"/>
  <c r="G606" i="10"/>
  <c r="F606" i="10"/>
  <c r="E606" i="10"/>
  <c r="H606" i="10" s="1"/>
  <c r="D606" i="10"/>
  <c r="C606" i="10"/>
  <c r="B606" i="10"/>
  <c r="A606" i="10"/>
  <c r="H605" i="10"/>
  <c r="G605" i="10"/>
  <c r="F605" i="10"/>
  <c r="E605" i="10"/>
  <c r="D605" i="10"/>
  <c r="C605" i="10"/>
  <c r="B605" i="10"/>
  <c r="A605" i="10"/>
  <c r="G604" i="10"/>
  <c r="F604" i="10"/>
  <c r="E604" i="10"/>
  <c r="H604" i="10" s="1"/>
  <c r="D604" i="10"/>
  <c r="C604" i="10"/>
  <c r="B604" i="10"/>
  <c r="A604" i="10"/>
  <c r="G603" i="10"/>
  <c r="F603" i="10"/>
  <c r="E603" i="10"/>
  <c r="D603" i="10"/>
  <c r="C603" i="10"/>
  <c r="B603" i="10"/>
  <c r="A603" i="10"/>
  <c r="H602" i="10"/>
  <c r="G602" i="10"/>
  <c r="F602" i="10"/>
  <c r="E602" i="10"/>
  <c r="D602" i="10"/>
  <c r="C602" i="10"/>
  <c r="B602" i="10"/>
  <c r="A602" i="10"/>
  <c r="G601" i="10"/>
  <c r="F601" i="10"/>
  <c r="E601" i="10"/>
  <c r="H601" i="10" s="1"/>
  <c r="D601" i="10"/>
  <c r="C601" i="10"/>
  <c r="B601" i="10"/>
  <c r="A601" i="10"/>
  <c r="G600" i="10"/>
  <c r="F600" i="10"/>
  <c r="E600" i="10"/>
  <c r="H600" i="10" s="1"/>
  <c r="D600" i="10"/>
  <c r="C600" i="10"/>
  <c r="B600" i="10"/>
  <c r="A600" i="10"/>
  <c r="G599" i="10"/>
  <c r="F599" i="10"/>
  <c r="E599" i="10"/>
  <c r="H599" i="10" s="1"/>
  <c r="D599" i="10"/>
  <c r="C599" i="10"/>
  <c r="B599" i="10"/>
  <c r="A599" i="10"/>
  <c r="G598" i="10"/>
  <c r="F598" i="10"/>
  <c r="E598" i="10"/>
  <c r="D598" i="10"/>
  <c r="C598" i="10"/>
  <c r="B598" i="10"/>
  <c r="A598" i="10"/>
  <c r="G597" i="10"/>
  <c r="F597" i="10"/>
  <c r="E597" i="10"/>
  <c r="D597" i="10"/>
  <c r="C597" i="10"/>
  <c r="B597" i="10"/>
  <c r="A597" i="10"/>
  <c r="G596" i="10"/>
  <c r="F596" i="10"/>
  <c r="E596" i="10"/>
  <c r="H596" i="10" s="1"/>
  <c r="D596" i="10"/>
  <c r="C596" i="10"/>
  <c r="B596" i="10"/>
  <c r="A596" i="10"/>
  <c r="G595" i="10"/>
  <c r="F595" i="10"/>
  <c r="E595" i="10"/>
  <c r="D595" i="10"/>
  <c r="C595" i="10"/>
  <c r="B595" i="10"/>
  <c r="A595" i="10"/>
  <c r="G594" i="10"/>
  <c r="F594" i="10"/>
  <c r="E594" i="10"/>
  <c r="H594" i="10" s="1"/>
  <c r="D594" i="10"/>
  <c r="C594" i="10"/>
  <c r="B594" i="10"/>
  <c r="A594" i="10"/>
  <c r="H593" i="10"/>
  <c r="G593" i="10"/>
  <c r="F593" i="10"/>
  <c r="E593" i="10"/>
  <c r="D593" i="10"/>
  <c r="C593" i="10"/>
  <c r="B593" i="10"/>
  <c r="A593" i="10"/>
  <c r="G592" i="10"/>
  <c r="F592" i="10"/>
  <c r="E592" i="10"/>
  <c r="D592" i="10"/>
  <c r="C592" i="10"/>
  <c r="B592" i="10"/>
  <c r="A592" i="10"/>
  <c r="G591" i="10"/>
  <c r="F591" i="10"/>
  <c r="E591" i="10"/>
  <c r="H591" i="10" s="1"/>
  <c r="D591" i="10"/>
  <c r="C591" i="10"/>
  <c r="B591" i="10"/>
  <c r="A591" i="10"/>
  <c r="G590" i="10"/>
  <c r="F590" i="10"/>
  <c r="E590" i="10"/>
  <c r="H590" i="10" s="1"/>
  <c r="D590" i="10"/>
  <c r="C590" i="10"/>
  <c r="B590" i="10"/>
  <c r="A590" i="10"/>
  <c r="G589" i="10"/>
  <c r="F589" i="10"/>
  <c r="E589" i="10"/>
  <c r="H589" i="10" s="1"/>
  <c r="D589" i="10"/>
  <c r="C589" i="10"/>
  <c r="B589" i="10"/>
  <c r="A589" i="10"/>
  <c r="G588" i="10"/>
  <c r="F588" i="10"/>
  <c r="E588" i="10"/>
  <c r="H588" i="10" s="1"/>
  <c r="D588" i="10"/>
  <c r="C588" i="10"/>
  <c r="B588" i="10"/>
  <c r="A588" i="10"/>
  <c r="H587" i="10"/>
  <c r="G587" i="10"/>
  <c r="F587" i="10"/>
  <c r="E587" i="10"/>
  <c r="D587" i="10"/>
  <c r="C587" i="10"/>
  <c r="B587" i="10"/>
  <c r="A587" i="10"/>
  <c r="G586" i="10"/>
  <c r="F586" i="10"/>
  <c r="E586" i="10"/>
  <c r="D586" i="10"/>
  <c r="C586" i="10"/>
  <c r="B586" i="10"/>
  <c r="A586" i="10"/>
  <c r="G585" i="10"/>
  <c r="F585" i="10"/>
  <c r="E585" i="10"/>
  <c r="D585" i="10"/>
  <c r="C585" i="10"/>
  <c r="B585" i="10"/>
  <c r="A585" i="10"/>
  <c r="H584" i="10"/>
  <c r="G584" i="10"/>
  <c r="F584" i="10"/>
  <c r="E584" i="10"/>
  <c r="D584" i="10"/>
  <c r="C584" i="10"/>
  <c r="B584" i="10"/>
  <c r="A584" i="10"/>
  <c r="G583" i="10"/>
  <c r="F583" i="10"/>
  <c r="E583" i="10"/>
  <c r="H583" i="10" s="1"/>
  <c r="D583" i="10"/>
  <c r="C583" i="10"/>
  <c r="B583" i="10"/>
  <c r="A583" i="10"/>
  <c r="G582" i="10"/>
  <c r="F582" i="10"/>
  <c r="E582" i="10"/>
  <c r="H582" i="10" s="1"/>
  <c r="D582" i="10"/>
  <c r="C582" i="10"/>
  <c r="B582" i="10"/>
  <c r="A582" i="10"/>
  <c r="H581" i="10"/>
  <c r="G581" i="10"/>
  <c r="F581" i="10"/>
  <c r="E581" i="10"/>
  <c r="D581" i="10"/>
  <c r="C581" i="10"/>
  <c r="B581" i="10"/>
  <c r="A581" i="10"/>
  <c r="G580" i="10"/>
  <c r="F580" i="10"/>
  <c r="E580" i="10"/>
  <c r="D580" i="10"/>
  <c r="C580" i="10"/>
  <c r="B580" i="10"/>
  <c r="A580" i="10"/>
  <c r="G579" i="10"/>
  <c r="F579" i="10"/>
  <c r="E579" i="10"/>
  <c r="D579" i="10"/>
  <c r="C579" i="10"/>
  <c r="B579" i="10"/>
  <c r="A579" i="10"/>
  <c r="G578" i="10"/>
  <c r="F578" i="10"/>
  <c r="E578" i="10"/>
  <c r="H578" i="10" s="1"/>
  <c r="D578" i="10"/>
  <c r="C578" i="10"/>
  <c r="B578" i="10"/>
  <c r="A578" i="10"/>
  <c r="G577" i="10"/>
  <c r="F577" i="10"/>
  <c r="E577" i="10"/>
  <c r="D577" i="10"/>
  <c r="C577" i="10"/>
  <c r="B577" i="10"/>
  <c r="A577" i="10"/>
  <c r="G576" i="10"/>
  <c r="F576" i="10"/>
  <c r="E576" i="10"/>
  <c r="D576" i="10"/>
  <c r="C576" i="10"/>
  <c r="B576" i="10"/>
  <c r="A576" i="10"/>
  <c r="H575" i="10"/>
  <c r="G575" i="10"/>
  <c r="F575" i="10"/>
  <c r="E575" i="10"/>
  <c r="D575" i="10"/>
  <c r="C575" i="10"/>
  <c r="B575" i="10"/>
  <c r="A575" i="10"/>
  <c r="G574" i="10"/>
  <c r="F574" i="10"/>
  <c r="E574" i="10"/>
  <c r="D574" i="10"/>
  <c r="C574" i="10"/>
  <c r="B574" i="10"/>
  <c r="A574" i="10"/>
  <c r="G573" i="10"/>
  <c r="F573" i="10"/>
  <c r="E573" i="10"/>
  <c r="H573" i="10" s="1"/>
  <c r="D573" i="10"/>
  <c r="C573" i="10"/>
  <c r="B573" i="10"/>
  <c r="A573" i="10"/>
  <c r="G572" i="10"/>
  <c r="F572" i="10"/>
  <c r="E572" i="10"/>
  <c r="H572" i="10" s="1"/>
  <c r="D572" i="10"/>
  <c r="C572" i="10"/>
  <c r="B572" i="10"/>
  <c r="A572" i="10"/>
  <c r="G571" i="10"/>
  <c r="F571" i="10"/>
  <c r="E571" i="10"/>
  <c r="D571" i="10"/>
  <c r="C571" i="10"/>
  <c r="B571" i="10"/>
  <c r="A571" i="10"/>
  <c r="G570" i="10"/>
  <c r="F570" i="10"/>
  <c r="E570" i="10"/>
  <c r="H570" i="10" s="1"/>
  <c r="D570" i="10"/>
  <c r="C570" i="10"/>
  <c r="B570" i="10"/>
  <c r="A570" i="10"/>
  <c r="H569" i="10"/>
  <c r="G569" i="10"/>
  <c r="F569" i="10"/>
  <c r="E569" i="10"/>
  <c r="D569" i="10"/>
  <c r="C569" i="10"/>
  <c r="B569" i="10"/>
  <c r="A569" i="10"/>
  <c r="G568" i="10"/>
  <c r="F568" i="10"/>
  <c r="E568" i="10"/>
  <c r="H568" i="10" s="1"/>
  <c r="D568" i="10"/>
  <c r="C568" i="10"/>
  <c r="B568" i="10"/>
  <c r="A568" i="10"/>
  <c r="G567" i="10"/>
  <c r="F567" i="10"/>
  <c r="E567" i="10"/>
  <c r="D567" i="10"/>
  <c r="C567" i="10"/>
  <c r="B567" i="10"/>
  <c r="A567" i="10"/>
  <c r="H566" i="10"/>
  <c r="G566" i="10"/>
  <c r="F566" i="10"/>
  <c r="E566" i="10"/>
  <c r="D566" i="10"/>
  <c r="C566" i="10"/>
  <c r="B566" i="10"/>
  <c r="A566" i="10"/>
  <c r="G565" i="10"/>
  <c r="F565" i="10"/>
  <c r="E565" i="10"/>
  <c r="H565" i="10" s="1"/>
  <c r="D565" i="10"/>
  <c r="C565" i="10"/>
  <c r="B565" i="10"/>
  <c r="A565" i="10"/>
  <c r="G564" i="10"/>
  <c r="F564" i="10"/>
  <c r="E564" i="10"/>
  <c r="H564" i="10" s="1"/>
  <c r="D564" i="10"/>
  <c r="C564" i="10"/>
  <c r="B564" i="10"/>
  <c r="A564" i="10"/>
  <c r="H563" i="10"/>
  <c r="G563" i="10"/>
  <c r="F563" i="10"/>
  <c r="E563" i="10"/>
  <c r="D563" i="10"/>
  <c r="C563" i="10"/>
  <c r="B563" i="10"/>
  <c r="A563" i="10"/>
  <c r="G562" i="10"/>
  <c r="F562" i="10"/>
  <c r="E562" i="10"/>
  <c r="D562" i="10"/>
  <c r="C562" i="10"/>
  <c r="B562" i="10"/>
  <c r="A562" i="10"/>
  <c r="G561" i="10"/>
  <c r="F561" i="10"/>
  <c r="E561" i="10"/>
  <c r="D561" i="10"/>
  <c r="C561" i="10"/>
  <c r="B561" i="10"/>
  <c r="A561" i="10"/>
  <c r="G560" i="10"/>
  <c r="F560" i="10"/>
  <c r="E560" i="10"/>
  <c r="H560" i="10" s="1"/>
  <c r="D560" i="10"/>
  <c r="C560" i="10"/>
  <c r="B560" i="10"/>
  <c r="A560" i="10"/>
  <c r="G559" i="10"/>
  <c r="F559" i="10"/>
  <c r="E559" i="10"/>
  <c r="D559" i="10"/>
  <c r="C559" i="10"/>
  <c r="B559" i="10"/>
  <c r="A559" i="10"/>
  <c r="G558" i="10"/>
  <c r="F558" i="10"/>
  <c r="E558" i="10"/>
  <c r="H558" i="10" s="1"/>
  <c r="D558" i="10"/>
  <c r="C558" i="10"/>
  <c r="B558" i="10"/>
  <c r="A558" i="10"/>
  <c r="H557" i="10"/>
  <c r="G557" i="10"/>
  <c r="F557" i="10"/>
  <c r="E557" i="10"/>
  <c r="D557" i="10"/>
  <c r="C557" i="10"/>
  <c r="B557" i="10"/>
  <c r="A557" i="10"/>
  <c r="G556" i="10"/>
  <c r="F556" i="10"/>
  <c r="E556" i="10"/>
  <c r="D556" i="10"/>
  <c r="C556" i="10"/>
  <c r="B556" i="10"/>
  <c r="A556" i="10"/>
  <c r="G555" i="10"/>
  <c r="F555" i="10"/>
  <c r="E555" i="10"/>
  <c r="H555" i="10" s="1"/>
  <c r="D555" i="10"/>
  <c r="C555" i="10"/>
  <c r="B555" i="10"/>
  <c r="A555" i="10"/>
  <c r="G554" i="10"/>
  <c r="F554" i="10"/>
  <c r="E554" i="10"/>
  <c r="H554" i="10" s="1"/>
  <c r="D554" i="10"/>
  <c r="C554" i="10"/>
  <c r="B554" i="10"/>
  <c r="A554" i="10"/>
  <c r="G553" i="10"/>
  <c r="F553" i="10"/>
  <c r="E553" i="10"/>
  <c r="H553" i="10" s="1"/>
  <c r="D553" i="10"/>
  <c r="C553" i="10"/>
  <c r="B553" i="10"/>
  <c r="A553" i="10"/>
  <c r="G552" i="10"/>
  <c r="F552" i="10"/>
  <c r="E552" i="10"/>
  <c r="H552" i="10" s="1"/>
  <c r="D552" i="10"/>
  <c r="C552" i="10"/>
  <c r="B552" i="10"/>
  <c r="A552" i="10"/>
  <c r="H551" i="10"/>
  <c r="G551" i="10"/>
  <c r="F551" i="10"/>
  <c r="E551" i="10"/>
  <c r="D551" i="10"/>
  <c r="C551" i="10"/>
  <c r="B551" i="10"/>
  <c r="A551" i="10"/>
  <c r="G550" i="10"/>
  <c r="F550" i="10"/>
  <c r="E550" i="10"/>
  <c r="H550" i="10" s="1"/>
  <c r="D550" i="10"/>
  <c r="C550" i="10"/>
  <c r="B550" i="10"/>
  <c r="A550" i="10"/>
  <c r="G549" i="10"/>
  <c r="F549" i="10"/>
  <c r="E549" i="10"/>
  <c r="D549" i="10"/>
  <c r="C549" i="10"/>
  <c r="B549" i="10"/>
  <c r="A549" i="10"/>
  <c r="H548" i="10"/>
  <c r="G548" i="10"/>
  <c r="F548" i="10"/>
  <c r="E548" i="10"/>
  <c r="D548" i="10"/>
  <c r="C548" i="10"/>
  <c r="B548" i="10"/>
  <c r="A548" i="10"/>
  <c r="G547" i="10"/>
  <c r="F547" i="10"/>
  <c r="E547" i="10"/>
  <c r="H547" i="10" s="1"/>
  <c r="D547" i="10"/>
  <c r="C547" i="10"/>
  <c r="B547" i="10"/>
  <c r="A547" i="10"/>
  <c r="G546" i="10"/>
  <c r="F546" i="10"/>
  <c r="E546" i="10"/>
  <c r="H546" i="10" s="1"/>
  <c r="D546" i="10"/>
  <c r="C546" i="10"/>
  <c r="B546" i="10"/>
  <c r="A546" i="10"/>
  <c r="G545" i="10"/>
  <c r="F545" i="10"/>
  <c r="E545" i="10"/>
  <c r="H545" i="10" s="1"/>
  <c r="D545" i="10"/>
  <c r="C545" i="10"/>
  <c r="B545" i="10"/>
  <c r="A545" i="10"/>
  <c r="G544" i="10"/>
  <c r="F544" i="10"/>
  <c r="E544" i="10"/>
  <c r="D544" i="10"/>
  <c r="C544" i="10"/>
  <c r="B544" i="10"/>
  <c r="A544" i="10"/>
  <c r="G543" i="10"/>
  <c r="F543" i="10"/>
  <c r="E543" i="10"/>
  <c r="D543" i="10"/>
  <c r="C543" i="10"/>
  <c r="B543" i="10"/>
  <c r="A543" i="10"/>
  <c r="G542" i="10"/>
  <c r="F542" i="10"/>
  <c r="E542" i="10"/>
  <c r="H542" i="10" s="1"/>
  <c r="D542" i="10"/>
  <c r="C542" i="10"/>
  <c r="B542" i="10"/>
  <c r="A542" i="10"/>
  <c r="G541" i="10"/>
  <c r="F541" i="10"/>
  <c r="E541" i="10"/>
  <c r="D541" i="10"/>
  <c r="C541" i="10"/>
  <c r="B541" i="10"/>
  <c r="A541" i="10"/>
  <c r="G540" i="10"/>
  <c r="F540" i="10"/>
  <c r="E540" i="10"/>
  <c r="H540" i="10" s="1"/>
  <c r="D540" i="10"/>
  <c r="C540" i="10"/>
  <c r="B540" i="10"/>
  <c r="A540" i="10"/>
  <c r="H539" i="10"/>
  <c r="G539" i="10"/>
  <c r="F539" i="10"/>
  <c r="E539" i="10"/>
  <c r="D539" i="10"/>
  <c r="C539" i="10"/>
  <c r="B539" i="10"/>
  <c r="A539" i="10"/>
  <c r="G538" i="10"/>
  <c r="F538" i="10"/>
  <c r="E538" i="10"/>
  <c r="D538" i="10"/>
  <c r="C538" i="10"/>
  <c r="B538" i="10"/>
  <c r="A538" i="10"/>
  <c r="G537" i="10"/>
  <c r="F537" i="10"/>
  <c r="E537" i="10"/>
  <c r="D537" i="10"/>
  <c r="C537" i="10"/>
  <c r="B537" i="10"/>
  <c r="A537" i="10"/>
  <c r="G536" i="10"/>
  <c r="F536" i="10"/>
  <c r="E536" i="10"/>
  <c r="H536" i="10" s="1"/>
  <c r="D536" i="10"/>
  <c r="C536" i="10"/>
  <c r="B536" i="10"/>
  <c r="A536" i="10"/>
  <c r="G535" i="10"/>
  <c r="F535" i="10"/>
  <c r="E535" i="10"/>
  <c r="H535" i="10" s="1"/>
  <c r="D535" i="10"/>
  <c r="C535" i="10"/>
  <c r="B535" i="10"/>
  <c r="A535" i="10"/>
  <c r="G534" i="10"/>
  <c r="F534" i="10"/>
  <c r="E534" i="10"/>
  <c r="H534" i="10" s="1"/>
  <c r="D534" i="10"/>
  <c r="C534" i="10"/>
  <c r="B534" i="10"/>
  <c r="A534" i="10"/>
  <c r="H533" i="10"/>
  <c r="G533" i="10"/>
  <c r="F533" i="10"/>
  <c r="E533" i="10"/>
  <c r="D533" i="10"/>
  <c r="C533" i="10"/>
  <c r="B533" i="10"/>
  <c r="A533" i="10"/>
  <c r="G532" i="10"/>
  <c r="F532" i="10"/>
  <c r="E532" i="10"/>
  <c r="D532" i="10"/>
  <c r="C532" i="10"/>
  <c r="B532" i="10"/>
  <c r="A532" i="10"/>
  <c r="G531" i="10"/>
  <c r="F531" i="10"/>
  <c r="E531" i="10"/>
  <c r="D531" i="10"/>
  <c r="C531" i="10"/>
  <c r="B531" i="10"/>
  <c r="A531" i="10"/>
  <c r="H530" i="10"/>
  <c r="G530" i="10"/>
  <c r="F530" i="10"/>
  <c r="E530" i="10"/>
  <c r="D530" i="10"/>
  <c r="C530" i="10"/>
  <c r="B530" i="10"/>
  <c r="A530" i="10"/>
  <c r="G529" i="10"/>
  <c r="F529" i="10"/>
  <c r="E529" i="10"/>
  <c r="H529" i="10" s="1"/>
  <c r="D529" i="10"/>
  <c r="C529" i="10"/>
  <c r="B529" i="10"/>
  <c r="A529" i="10"/>
  <c r="G528" i="10"/>
  <c r="F528" i="10"/>
  <c r="E528" i="10"/>
  <c r="H528" i="10" s="1"/>
  <c r="D528" i="10"/>
  <c r="C528" i="10"/>
  <c r="B528" i="10"/>
  <c r="A528" i="10"/>
  <c r="G527" i="10"/>
  <c r="F527" i="10"/>
  <c r="E527" i="10"/>
  <c r="H527" i="10" s="1"/>
  <c r="D527" i="10"/>
  <c r="C527" i="10"/>
  <c r="B527" i="10"/>
  <c r="A527" i="10"/>
  <c r="G526" i="10"/>
  <c r="F526" i="10"/>
  <c r="E526" i="10"/>
  <c r="D526" i="10"/>
  <c r="C526" i="10"/>
  <c r="B526" i="10"/>
  <c r="A526" i="10"/>
  <c r="G525" i="10"/>
  <c r="F525" i="10"/>
  <c r="E525" i="10"/>
  <c r="D525" i="10"/>
  <c r="C525" i="10"/>
  <c r="B525" i="10"/>
  <c r="A525" i="10"/>
  <c r="G524" i="10"/>
  <c r="F524" i="10"/>
  <c r="E524" i="10"/>
  <c r="H524" i="10" s="1"/>
  <c r="D524" i="10"/>
  <c r="C524" i="10"/>
  <c r="B524" i="10"/>
  <c r="A524" i="10"/>
  <c r="G523" i="10"/>
  <c r="F523" i="10"/>
  <c r="E523" i="10"/>
  <c r="D523" i="10"/>
  <c r="C523" i="10"/>
  <c r="B523" i="10"/>
  <c r="A523" i="10"/>
  <c r="G522" i="10"/>
  <c r="F522" i="10"/>
  <c r="E522" i="10"/>
  <c r="D522" i="10"/>
  <c r="C522" i="10"/>
  <c r="B522" i="10"/>
  <c r="A522" i="10"/>
  <c r="H521" i="10"/>
  <c r="G521" i="10"/>
  <c r="F521" i="10"/>
  <c r="E521" i="10"/>
  <c r="D521" i="10"/>
  <c r="C521" i="10"/>
  <c r="B521" i="10"/>
  <c r="A521" i="10"/>
  <c r="G520" i="10"/>
  <c r="F520" i="10"/>
  <c r="E520" i="10"/>
  <c r="D520" i="10"/>
  <c r="C520" i="10"/>
  <c r="B520" i="10"/>
  <c r="A520" i="10"/>
  <c r="G519" i="10"/>
  <c r="F519" i="10"/>
  <c r="E519" i="10"/>
  <c r="H519" i="10" s="1"/>
  <c r="D519" i="10"/>
  <c r="C519" i="10"/>
  <c r="B519" i="10"/>
  <c r="A519" i="10"/>
  <c r="G518" i="10"/>
  <c r="F518" i="10"/>
  <c r="E518" i="10"/>
  <c r="H518" i="10" s="1"/>
  <c r="D518" i="10"/>
  <c r="C518" i="10"/>
  <c r="B518" i="10"/>
  <c r="A518" i="10"/>
  <c r="G517" i="10"/>
  <c r="F517" i="10"/>
  <c r="E517" i="10"/>
  <c r="D517" i="10"/>
  <c r="C517" i="10"/>
  <c r="B517" i="10"/>
  <c r="A517" i="10"/>
  <c r="G516" i="10"/>
  <c r="F516" i="10"/>
  <c r="E516" i="10"/>
  <c r="H516" i="10" s="1"/>
  <c r="D516" i="10"/>
  <c r="C516" i="10"/>
  <c r="B516" i="10"/>
  <c r="A516" i="10"/>
  <c r="G515" i="10"/>
  <c r="F515" i="10"/>
  <c r="E515" i="10"/>
  <c r="H515" i="10" s="1"/>
  <c r="D515" i="10"/>
  <c r="C515" i="10"/>
  <c r="B515" i="10"/>
  <c r="A515" i="10"/>
  <c r="G514" i="10"/>
  <c r="F514" i="10"/>
  <c r="E514" i="10"/>
  <c r="H514" i="10" s="1"/>
  <c r="D514" i="10"/>
  <c r="C514" i="10"/>
  <c r="B514" i="10"/>
  <c r="A514" i="10"/>
  <c r="G513" i="10"/>
  <c r="F513" i="10"/>
  <c r="E513" i="10"/>
  <c r="D513" i="10"/>
  <c r="C513" i="10"/>
  <c r="B513" i="10"/>
  <c r="A513" i="10"/>
  <c r="H512" i="10"/>
  <c r="G512" i="10"/>
  <c r="F512" i="10"/>
  <c r="E512" i="10"/>
  <c r="D512" i="10"/>
  <c r="C512" i="10"/>
  <c r="B512" i="10"/>
  <c r="A512" i="10"/>
  <c r="G511" i="10"/>
  <c r="F511" i="10"/>
  <c r="E511" i="10"/>
  <c r="H511" i="10" s="1"/>
  <c r="D511" i="10"/>
  <c r="C511" i="10"/>
  <c r="B511" i="10"/>
  <c r="A511" i="10"/>
  <c r="G510" i="10"/>
  <c r="F510" i="10"/>
  <c r="E510" i="10"/>
  <c r="H510" i="10" s="1"/>
  <c r="D510" i="10"/>
  <c r="C510" i="10"/>
  <c r="B510" i="10"/>
  <c r="A510" i="10"/>
  <c r="G509" i="10"/>
  <c r="F509" i="10"/>
  <c r="E509" i="10"/>
  <c r="H509" i="10" s="1"/>
  <c r="D509" i="10"/>
  <c r="C509" i="10"/>
  <c r="B509" i="10"/>
  <c r="A509" i="10"/>
  <c r="G508" i="10"/>
  <c r="F508" i="10"/>
  <c r="E508" i="10"/>
  <c r="D508" i="10"/>
  <c r="C508" i="10"/>
  <c r="B508" i="10"/>
  <c r="A508" i="10"/>
  <c r="G507" i="10"/>
  <c r="F507" i="10"/>
  <c r="E507" i="10"/>
  <c r="D507" i="10"/>
  <c r="C507" i="10"/>
  <c r="B507" i="10"/>
  <c r="A507" i="10"/>
  <c r="G506" i="10"/>
  <c r="F506" i="10"/>
  <c r="E506" i="10"/>
  <c r="H506" i="10" s="1"/>
  <c r="D506" i="10"/>
  <c r="C506" i="10"/>
  <c r="B506" i="10"/>
  <c r="A506" i="10"/>
  <c r="G505" i="10"/>
  <c r="F505" i="10"/>
  <c r="E505" i="10"/>
  <c r="H505" i="10" s="1"/>
  <c r="D505" i="10"/>
  <c r="C505" i="10"/>
  <c r="B505" i="10"/>
  <c r="A505" i="10"/>
  <c r="G504" i="10"/>
  <c r="F504" i="10"/>
  <c r="E504" i="10"/>
  <c r="H504" i="10" s="1"/>
  <c r="D504" i="10"/>
  <c r="C504" i="10"/>
  <c r="B504" i="10"/>
  <c r="A504" i="10"/>
  <c r="H503" i="10"/>
  <c r="G503" i="10"/>
  <c r="F503" i="10"/>
  <c r="E503" i="10"/>
  <c r="D503" i="10"/>
  <c r="C503" i="10"/>
  <c r="B503" i="10"/>
  <c r="A503" i="10"/>
  <c r="G502" i="10"/>
  <c r="F502" i="10"/>
  <c r="E502" i="10"/>
  <c r="D502" i="10"/>
  <c r="C502" i="10"/>
  <c r="B502" i="10"/>
  <c r="A502" i="10"/>
  <c r="G501" i="10"/>
  <c r="F501" i="10"/>
  <c r="E501" i="10"/>
  <c r="H501" i="10" s="1"/>
  <c r="D501" i="10"/>
  <c r="C501" i="10"/>
  <c r="B501" i="10"/>
  <c r="A501" i="10"/>
  <c r="G500" i="10"/>
  <c r="F500" i="10"/>
  <c r="E500" i="10"/>
  <c r="H500" i="10" s="1"/>
  <c r="D500" i="10"/>
  <c r="C500" i="10"/>
  <c r="B500" i="10"/>
  <c r="A500" i="10"/>
  <c r="G499" i="10"/>
  <c r="F499" i="10"/>
  <c r="E499" i="10"/>
  <c r="H499" i="10" s="1"/>
  <c r="D499" i="10"/>
  <c r="C499" i="10"/>
  <c r="B499" i="10"/>
  <c r="A499" i="10"/>
  <c r="G498" i="10"/>
  <c r="F498" i="10"/>
  <c r="E498" i="10"/>
  <c r="H498" i="10" s="1"/>
  <c r="D498" i="10"/>
  <c r="C498" i="10"/>
  <c r="B498" i="10"/>
  <c r="A498" i="10"/>
  <c r="G497" i="10"/>
  <c r="F497" i="10"/>
  <c r="E497" i="10"/>
  <c r="H497" i="10" s="1"/>
  <c r="D497" i="10"/>
  <c r="C497" i="10"/>
  <c r="B497" i="10"/>
  <c r="A497" i="10"/>
  <c r="G496" i="10"/>
  <c r="F496" i="10"/>
  <c r="E496" i="10"/>
  <c r="H496" i="10" s="1"/>
  <c r="D496" i="10"/>
  <c r="C496" i="10"/>
  <c r="B496" i="10"/>
  <c r="A496" i="10"/>
  <c r="G495" i="10"/>
  <c r="F495" i="10"/>
  <c r="E495" i="10"/>
  <c r="D495" i="10"/>
  <c r="C495" i="10"/>
  <c r="B495" i="10"/>
  <c r="A495" i="10"/>
  <c r="H494" i="10"/>
  <c r="G494" i="10"/>
  <c r="F494" i="10"/>
  <c r="E494" i="10"/>
  <c r="D494" i="10"/>
  <c r="C494" i="10"/>
  <c r="B494" i="10"/>
  <c r="A494" i="10"/>
  <c r="G493" i="10"/>
  <c r="F493" i="10"/>
  <c r="E493" i="10"/>
  <c r="H493" i="10" s="1"/>
  <c r="D493" i="10"/>
  <c r="C493" i="10"/>
  <c r="B493" i="10"/>
  <c r="A493" i="10"/>
  <c r="G492" i="10"/>
  <c r="F492" i="10"/>
  <c r="E492" i="10"/>
  <c r="H492" i="10" s="1"/>
  <c r="D492" i="10"/>
  <c r="C492" i="10"/>
  <c r="B492" i="10"/>
  <c r="A492" i="10"/>
  <c r="H491" i="10"/>
  <c r="G491" i="10"/>
  <c r="F491" i="10"/>
  <c r="E491" i="10"/>
  <c r="D491" i="10"/>
  <c r="C491" i="10"/>
  <c r="B491" i="10"/>
  <c r="A491" i="10"/>
  <c r="G490" i="10"/>
  <c r="F490" i="10"/>
  <c r="E490" i="10"/>
  <c r="D490" i="10"/>
  <c r="C490" i="10"/>
  <c r="B490" i="10"/>
  <c r="A490" i="10"/>
  <c r="G489" i="10"/>
  <c r="F489" i="10"/>
  <c r="E489" i="10"/>
  <c r="H489" i="10" s="1"/>
  <c r="D489" i="10"/>
  <c r="C489" i="10"/>
  <c r="B489" i="10"/>
  <c r="A489" i="10"/>
  <c r="H488" i="10"/>
  <c r="G488" i="10"/>
  <c r="F488" i="10"/>
  <c r="E488" i="10"/>
  <c r="D488" i="10"/>
  <c r="C488" i="10"/>
  <c r="B488" i="10"/>
  <c r="A488" i="10"/>
  <c r="G487" i="10"/>
  <c r="F487" i="10"/>
  <c r="E487" i="10"/>
  <c r="D487" i="10"/>
  <c r="C487" i="10"/>
  <c r="B487" i="10"/>
  <c r="A487" i="10"/>
  <c r="G486" i="10"/>
  <c r="F486" i="10"/>
  <c r="E486" i="10"/>
  <c r="D486" i="10"/>
  <c r="C486" i="10"/>
  <c r="B486" i="10"/>
  <c r="A486" i="10"/>
  <c r="H485" i="10"/>
  <c r="G485" i="10"/>
  <c r="F485" i="10"/>
  <c r="E485" i="10"/>
  <c r="D485" i="10"/>
  <c r="C485" i="10"/>
  <c r="B485" i="10"/>
  <c r="A485" i="10"/>
  <c r="G484" i="10"/>
  <c r="F484" i="10"/>
  <c r="E484" i="10"/>
  <c r="D484" i="10"/>
  <c r="C484" i="10"/>
  <c r="B484" i="10"/>
  <c r="A484" i="10"/>
  <c r="G483" i="10"/>
  <c r="F483" i="10"/>
  <c r="E483" i="10"/>
  <c r="D483" i="10"/>
  <c r="C483" i="10"/>
  <c r="B483" i="10"/>
  <c r="A483" i="10"/>
  <c r="G482" i="10"/>
  <c r="F482" i="10"/>
  <c r="E482" i="10"/>
  <c r="H482" i="10" s="1"/>
  <c r="D482" i="10"/>
  <c r="C482" i="10"/>
  <c r="B482" i="10"/>
  <c r="A482" i="10"/>
  <c r="G481" i="10"/>
  <c r="F481" i="10"/>
  <c r="E481" i="10"/>
  <c r="H481" i="10" s="1"/>
  <c r="D481" i="10"/>
  <c r="C481" i="10"/>
  <c r="B481" i="10"/>
  <c r="A481" i="10"/>
  <c r="G480" i="10"/>
  <c r="F480" i="10"/>
  <c r="E480" i="10"/>
  <c r="D480" i="10"/>
  <c r="C480" i="10"/>
  <c r="B480" i="10"/>
  <c r="A480" i="10"/>
  <c r="H479" i="10"/>
  <c r="G479" i="10"/>
  <c r="F479" i="10"/>
  <c r="E479" i="10"/>
  <c r="D479" i="10"/>
  <c r="C479" i="10"/>
  <c r="B479" i="10"/>
  <c r="A479" i="10"/>
  <c r="G478" i="10"/>
  <c r="F478" i="10"/>
  <c r="E478" i="10"/>
  <c r="H478" i="10" s="1"/>
  <c r="D478" i="10"/>
  <c r="C478" i="10"/>
  <c r="B478" i="10"/>
  <c r="A478" i="10"/>
  <c r="G477" i="10"/>
  <c r="F477" i="10"/>
  <c r="E477" i="10"/>
  <c r="D477" i="10"/>
  <c r="C477" i="10"/>
  <c r="B477" i="10"/>
  <c r="A477" i="10"/>
  <c r="G476" i="10"/>
  <c r="F476" i="10"/>
  <c r="E476" i="10"/>
  <c r="H476" i="10" s="1"/>
  <c r="D476" i="10"/>
  <c r="C476" i="10"/>
  <c r="B476" i="10"/>
  <c r="A476" i="10"/>
  <c r="G475" i="10"/>
  <c r="F475" i="10"/>
  <c r="E475" i="10"/>
  <c r="H475" i="10" s="1"/>
  <c r="D475" i="10"/>
  <c r="C475" i="10"/>
  <c r="B475" i="10"/>
  <c r="A475" i="10"/>
  <c r="G474" i="10"/>
  <c r="F474" i="10"/>
  <c r="E474" i="10"/>
  <c r="H474" i="10" s="1"/>
  <c r="D474" i="10"/>
  <c r="C474" i="10"/>
  <c r="B474" i="10"/>
  <c r="A474" i="10"/>
  <c r="H473" i="10"/>
  <c r="G473" i="10"/>
  <c r="F473" i="10"/>
  <c r="E473" i="10"/>
  <c r="D473" i="10"/>
  <c r="C473" i="10"/>
  <c r="B473" i="10"/>
  <c r="A473" i="10"/>
  <c r="G472" i="10"/>
  <c r="F472" i="10"/>
  <c r="E472" i="10"/>
  <c r="H472" i="10" s="1"/>
  <c r="D472" i="10"/>
  <c r="C472" i="10"/>
  <c r="B472" i="10"/>
  <c r="A472" i="10"/>
  <c r="G471" i="10"/>
  <c r="F471" i="10"/>
  <c r="E471" i="10"/>
  <c r="H471" i="10" s="1"/>
  <c r="D471" i="10"/>
  <c r="C471" i="10"/>
  <c r="B471" i="10"/>
  <c r="A471" i="10"/>
  <c r="G470" i="10"/>
  <c r="F470" i="10"/>
  <c r="E470" i="10"/>
  <c r="H470" i="10" s="1"/>
  <c r="D470" i="10"/>
  <c r="C470" i="10"/>
  <c r="B470" i="10"/>
  <c r="A470" i="10"/>
  <c r="H469" i="10"/>
  <c r="G469" i="10"/>
  <c r="F469" i="10"/>
  <c r="E469" i="10"/>
  <c r="D469" i="10"/>
  <c r="C469" i="10"/>
  <c r="B469" i="10"/>
  <c r="A469" i="10"/>
  <c r="G468" i="10"/>
  <c r="F468" i="10"/>
  <c r="E468" i="10"/>
  <c r="D468" i="10"/>
  <c r="C468" i="10"/>
  <c r="B468" i="10"/>
  <c r="A468" i="10"/>
  <c r="G467" i="10"/>
  <c r="F467" i="10"/>
  <c r="E467" i="10"/>
  <c r="H467" i="10" s="1"/>
  <c r="D467" i="10"/>
  <c r="C467" i="10"/>
  <c r="B467" i="10"/>
  <c r="A467" i="10"/>
  <c r="H466" i="10"/>
  <c r="G466" i="10"/>
  <c r="F466" i="10"/>
  <c r="E466" i="10"/>
  <c r="D466" i="10"/>
  <c r="C466" i="10"/>
  <c r="B466" i="10"/>
  <c r="A466" i="10"/>
  <c r="G465" i="10"/>
  <c r="F465" i="10"/>
  <c r="E465" i="10"/>
  <c r="D465" i="10"/>
  <c r="C465" i="10"/>
  <c r="B465" i="10"/>
  <c r="A465" i="10"/>
  <c r="G464" i="10"/>
  <c r="F464" i="10"/>
  <c r="E464" i="10"/>
  <c r="H464" i="10" s="1"/>
  <c r="D464" i="10"/>
  <c r="C464" i="10"/>
  <c r="B464" i="10"/>
  <c r="A464" i="10"/>
  <c r="G463" i="10"/>
  <c r="F463" i="10"/>
  <c r="E463" i="10"/>
  <c r="D463" i="10"/>
  <c r="C463" i="10"/>
  <c r="B463" i="10"/>
  <c r="A463" i="10"/>
  <c r="G462" i="10"/>
  <c r="F462" i="10"/>
  <c r="E462" i="10"/>
  <c r="D462" i="10"/>
  <c r="C462" i="10"/>
  <c r="B462" i="10"/>
  <c r="A462" i="10"/>
  <c r="G461" i="10"/>
  <c r="F461" i="10"/>
  <c r="E461" i="10"/>
  <c r="H461" i="10" s="1"/>
  <c r="D461" i="10"/>
  <c r="C461" i="10"/>
  <c r="B461" i="10"/>
  <c r="A461" i="10"/>
  <c r="G460" i="10"/>
  <c r="F460" i="10"/>
  <c r="E460" i="10"/>
  <c r="D460" i="10"/>
  <c r="C460" i="10"/>
  <c r="B460" i="10"/>
  <c r="A460" i="10"/>
  <c r="G459" i="10"/>
  <c r="F459" i="10"/>
  <c r="E459" i="10"/>
  <c r="H459" i="10" s="1"/>
  <c r="D459" i="10"/>
  <c r="C459" i="10"/>
  <c r="B459" i="10"/>
  <c r="A459" i="10"/>
  <c r="H458" i="10"/>
  <c r="G458" i="10"/>
  <c r="F458" i="10"/>
  <c r="E458" i="10"/>
  <c r="D458" i="10"/>
  <c r="C458" i="10"/>
  <c r="B458" i="10"/>
  <c r="A458" i="10"/>
  <c r="G457" i="10"/>
  <c r="F457" i="10"/>
  <c r="E457" i="10"/>
  <c r="H457" i="10" s="1"/>
  <c r="D457" i="10"/>
  <c r="C457" i="10"/>
  <c r="B457" i="10"/>
  <c r="A457" i="10"/>
  <c r="G456" i="10"/>
  <c r="F456" i="10"/>
  <c r="E456" i="10"/>
  <c r="H456" i="10" s="1"/>
  <c r="D456" i="10"/>
  <c r="C456" i="10"/>
  <c r="B456" i="10"/>
  <c r="A456" i="10"/>
  <c r="H455" i="10"/>
  <c r="G455" i="10"/>
  <c r="F455" i="10"/>
  <c r="E455" i="10"/>
  <c r="D455" i="10"/>
  <c r="C455" i="10"/>
  <c r="B455" i="10"/>
  <c r="A455" i="10"/>
  <c r="H454" i="10"/>
  <c r="G454" i="10"/>
  <c r="F454" i="10"/>
  <c r="E454" i="10"/>
  <c r="D454" i="10"/>
  <c r="C454" i="10"/>
  <c r="B454" i="10"/>
  <c r="A454" i="10"/>
  <c r="G453" i="10"/>
  <c r="F453" i="10"/>
  <c r="E453" i="10"/>
  <c r="D453" i="10"/>
  <c r="C453" i="10"/>
  <c r="B453" i="10"/>
  <c r="A453" i="10"/>
  <c r="H452" i="10"/>
  <c r="G452" i="10"/>
  <c r="F452" i="10"/>
  <c r="E452" i="10"/>
  <c r="D452" i="10"/>
  <c r="C452" i="10"/>
  <c r="B452" i="10"/>
  <c r="A452" i="10"/>
  <c r="G451" i="10"/>
  <c r="F451" i="10"/>
  <c r="E451" i="10"/>
  <c r="D451" i="10"/>
  <c r="C451" i="10"/>
  <c r="B451" i="10"/>
  <c r="A451" i="10"/>
  <c r="G450" i="10"/>
  <c r="F450" i="10"/>
  <c r="E450" i="10"/>
  <c r="H450" i="10" s="1"/>
  <c r="D450" i="10"/>
  <c r="C450" i="10"/>
  <c r="B450" i="10"/>
  <c r="A450" i="10"/>
  <c r="G449" i="10"/>
  <c r="F449" i="10"/>
  <c r="E449" i="10"/>
  <c r="H449" i="10" s="1"/>
  <c r="D449" i="10"/>
  <c r="C449" i="10"/>
  <c r="B449" i="10"/>
  <c r="A449" i="10"/>
  <c r="G448" i="10"/>
  <c r="F448" i="10"/>
  <c r="H448" i="10" s="1"/>
  <c r="E448" i="10"/>
  <c r="D448" i="10"/>
  <c r="C448" i="10"/>
  <c r="B448" i="10"/>
  <c r="A448" i="10"/>
  <c r="G447" i="10"/>
  <c r="F447" i="10"/>
  <c r="E447" i="10"/>
  <c r="D447" i="10"/>
  <c r="C447" i="10"/>
  <c r="B447" i="10"/>
  <c r="A447" i="10"/>
  <c r="G446" i="10"/>
  <c r="F446" i="10"/>
  <c r="E446" i="10"/>
  <c r="H446" i="10" s="1"/>
  <c r="D446" i="10"/>
  <c r="C446" i="10"/>
  <c r="B446" i="10"/>
  <c r="A446" i="10"/>
  <c r="G445" i="10"/>
  <c r="F445" i="10"/>
  <c r="E445" i="10"/>
  <c r="H445" i="10" s="1"/>
  <c r="D445" i="10"/>
  <c r="C445" i="10"/>
  <c r="B445" i="10"/>
  <c r="A445" i="10"/>
  <c r="G444" i="10"/>
  <c r="F444" i="10"/>
  <c r="E444" i="10"/>
  <c r="D444" i="10"/>
  <c r="C444" i="10"/>
  <c r="B444" i="10"/>
  <c r="A444" i="10"/>
  <c r="H443" i="10"/>
  <c r="G443" i="10"/>
  <c r="F443" i="10"/>
  <c r="E443" i="10"/>
  <c r="D443" i="10"/>
  <c r="C443" i="10"/>
  <c r="B443" i="10"/>
  <c r="A443" i="10"/>
  <c r="G442" i="10"/>
  <c r="F442" i="10"/>
  <c r="E442" i="10"/>
  <c r="H442" i="10" s="1"/>
  <c r="D442" i="10"/>
  <c r="C442" i="10"/>
  <c r="B442" i="10"/>
  <c r="A442" i="10"/>
  <c r="G441" i="10"/>
  <c r="F441" i="10"/>
  <c r="E441" i="10"/>
  <c r="D441" i="10"/>
  <c r="C441" i="10"/>
  <c r="B441" i="10"/>
  <c r="A441" i="10"/>
  <c r="G440" i="10"/>
  <c r="F440" i="10"/>
  <c r="E440" i="10"/>
  <c r="H440" i="10" s="1"/>
  <c r="D440" i="10"/>
  <c r="C440" i="10"/>
  <c r="B440" i="10"/>
  <c r="A440" i="10"/>
  <c r="G439" i="10"/>
  <c r="F439" i="10"/>
  <c r="E439" i="10"/>
  <c r="H439" i="10" s="1"/>
  <c r="D439" i="10"/>
  <c r="C439" i="10"/>
  <c r="B439" i="10"/>
  <c r="A439" i="10"/>
  <c r="G438" i="10"/>
  <c r="F438" i="10"/>
  <c r="E438" i="10"/>
  <c r="H438" i="10" s="1"/>
  <c r="D438" i="10"/>
  <c r="C438" i="10"/>
  <c r="B438" i="10"/>
  <c r="A438" i="10"/>
  <c r="G437" i="10"/>
  <c r="F437" i="10"/>
  <c r="H437" i="10" s="1"/>
  <c r="E437" i="10"/>
  <c r="D437" i="10"/>
  <c r="C437" i="10"/>
  <c r="B437" i="10"/>
  <c r="A437" i="10"/>
  <c r="G436" i="10"/>
  <c r="F436" i="10"/>
  <c r="E436" i="10"/>
  <c r="H436" i="10" s="1"/>
  <c r="D436" i="10"/>
  <c r="C436" i="10"/>
  <c r="B436" i="10"/>
  <c r="A436" i="10"/>
  <c r="G435" i="10"/>
  <c r="F435" i="10"/>
  <c r="E435" i="10"/>
  <c r="H435" i="10" s="1"/>
  <c r="D435" i="10"/>
  <c r="C435" i="10"/>
  <c r="B435" i="10"/>
  <c r="A435" i="10"/>
  <c r="G434" i="10"/>
  <c r="F434" i="10"/>
  <c r="E434" i="10"/>
  <c r="H434" i="10" s="1"/>
  <c r="D434" i="10"/>
  <c r="C434" i="10"/>
  <c r="B434" i="10"/>
  <c r="A434" i="10"/>
  <c r="H433" i="10"/>
  <c r="G433" i="10"/>
  <c r="F433" i="10"/>
  <c r="E433" i="10"/>
  <c r="D433" i="10"/>
  <c r="C433" i="10"/>
  <c r="B433" i="10"/>
  <c r="A433" i="10"/>
  <c r="G432" i="10"/>
  <c r="F432" i="10"/>
  <c r="E432" i="10"/>
  <c r="D432" i="10"/>
  <c r="C432" i="10"/>
  <c r="B432" i="10"/>
  <c r="A432" i="10"/>
  <c r="G431" i="10"/>
  <c r="F431" i="10"/>
  <c r="E431" i="10"/>
  <c r="H431" i="10" s="1"/>
  <c r="D431" i="10"/>
  <c r="C431" i="10"/>
  <c r="B431" i="10"/>
  <c r="A431" i="10"/>
  <c r="G430" i="10"/>
  <c r="H430" i="10" s="1"/>
  <c r="F430" i="10"/>
  <c r="E430" i="10"/>
  <c r="D430" i="10"/>
  <c r="C430" i="10"/>
  <c r="B430" i="10"/>
  <c r="A430" i="10"/>
  <c r="G429" i="10"/>
  <c r="F429" i="10"/>
  <c r="E429" i="10"/>
  <c r="D429" i="10"/>
  <c r="C429" i="10"/>
  <c r="B429" i="10"/>
  <c r="A429" i="10"/>
  <c r="G428" i="10"/>
  <c r="F428" i="10"/>
  <c r="E428" i="10"/>
  <c r="H428" i="10" s="1"/>
  <c r="D428" i="10"/>
  <c r="C428" i="10"/>
  <c r="B428" i="10"/>
  <c r="A428" i="10"/>
  <c r="G427" i="10"/>
  <c r="F427" i="10"/>
  <c r="H427" i="10" s="1"/>
  <c r="E427" i="10"/>
  <c r="D427" i="10"/>
  <c r="C427" i="10"/>
  <c r="B427" i="10"/>
  <c r="A427" i="10"/>
  <c r="G426" i="10"/>
  <c r="F426" i="10"/>
  <c r="E426" i="10"/>
  <c r="D426" i="10"/>
  <c r="C426" i="10"/>
  <c r="B426" i="10"/>
  <c r="A426" i="10"/>
  <c r="G425" i="10"/>
  <c r="F425" i="10"/>
  <c r="E425" i="10"/>
  <c r="H425" i="10" s="1"/>
  <c r="D425" i="10"/>
  <c r="C425" i="10"/>
  <c r="B425" i="10"/>
  <c r="A425" i="10"/>
  <c r="G424" i="10"/>
  <c r="F424" i="10"/>
  <c r="E424" i="10"/>
  <c r="H424" i="10" s="1"/>
  <c r="D424" i="10"/>
  <c r="C424" i="10"/>
  <c r="B424" i="10"/>
  <c r="A424" i="10"/>
  <c r="G423" i="10"/>
  <c r="F423" i="10"/>
  <c r="E423" i="10"/>
  <c r="H423" i="10" s="1"/>
  <c r="D423" i="10"/>
  <c r="C423" i="10"/>
  <c r="B423" i="10"/>
  <c r="A423" i="10"/>
  <c r="H422" i="10"/>
  <c r="G422" i="10"/>
  <c r="F422" i="10"/>
  <c r="E422" i="10"/>
  <c r="D422" i="10"/>
  <c r="C422" i="10"/>
  <c r="B422" i="10"/>
  <c r="A422" i="10"/>
  <c r="G421" i="10"/>
  <c r="F421" i="10"/>
  <c r="E421" i="10"/>
  <c r="H421" i="10" s="1"/>
  <c r="D421" i="10"/>
  <c r="C421" i="10"/>
  <c r="B421" i="10"/>
  <c r="A421" i="10"/>
  <c r="G420" i="10"/>
  <c r="F420" i="10"/>
  <c r="E420" i="10"/>
  <c r="D420" i="10"/>
  <c r="C420" i="10"/>
  <c r="B420" i="10"/>
  <c r="A420" i="10"/>
  <c r="H419" i="10"/>
  <c r="G419" i="10"/>
  <c r="F419" i="10"/>
  <c r="E419" i="10"/>
  <c r="D419" i="10"/>
  <c r="C419" i="10"/>
  <c r="B419" i="10"/>
  <c r="A419" i="10"/>
  <c r="H418" i="10"/>
  <c r="G418" i="10"/>
  <c r="F418" i="10"/>
  <c r="E418" i="10"/>
  <c r="D418" i="10"/>
  <c r="C418" i="10"/>
  <c r="B418" i="10"/>
  <c r="A418" i="10"/>
  <c r="G417" i="10"/>
  <c r="F417" i="10"/>
  <c r="E417" i="10"/>
  <c r="D417" i="10"/>
  <c r="C417" i="10"/>
  <c r="B417" i="10"/>
  <c r="A417" i="10"/>
  <c r="G416" i="10"/>
  <c r="F416" i="10"/>
  <c r="H416" i="10" s="1"/>
  <c r="E416" i="10"/>
  <c r="D416" i="10"/>
  <c r="C416" i="10"/>
  <c r="B416" i="10"/>
  <c r="A416" i="10"/>
  <c r="G415" i="10"/>
  <c r="F415" i="10"/>
  <c r="E415" i="10"/>
  <c r="D415" i="10"/>
  <c r="C415" i="10"/>
  <c r="B415" i="10"/>
  <c r="A415" i="10"/>
  <c r="G414" i="10"/>
  <c r="F414" i="10"/>
  <c r="E414" i="10"/>
  <c r="H414" i="10" s="1"/>
  <c r="D414" i="10"/>
  <c r="C414" i="10"/>
  <c r="B414" i="10"/>
  <c r="A414" i="10"/>
  <c r="G413" i="10"/>
  <c r="F413" i="10"/>
  <c r="E413" i="10"/>
  <c r="H413" i="10" s="1"/>
  <c r="D413" i="10"/>
  <c r="C413" i="10"/>
  <c r="B413" i="10"/>
  <c r="A413" i="10"/>
  <c r="G412" i="10"/>
  <c r="F412" i="10"/>
  <c r="H412" i="10" s="1"/>
  <c r="E412" i="10"/>
  <c r="D412" i="10"/>
  <c r="C412" i="10"/>
  <c r="B412" i="10"/>
  <c r="A412" i="10"/>
  <c r="G411" i="10"/>
  <c r="F411" i="10"/>
  <c r="E411" i="10"/>
  <c r="D411" i="10"/>
  <c r="C411" i="10"/>
  <c r="B411" i="10"/>
  <c r="A411" i="10"/>
  <c r="G410" i="10"/>
  <c r="F410" i="10"/>
  <c r="E410" i="10"/>
  <c r="H410" i="10" s="1"/>
  <c r="D410" i="10"/>
  <c r="C410" i="10"/>
  <c r="B410" i="10"/>
  <c r="A410" i="10"/>
  <c r="G409" i="10"/>
  <c r="F409" i="10"/>
  <c r="E409" i="10"/>
  <c r="H409" i="10" s="1"/>
  <c r="D409" i="10"/>
  <c r="C409" i="10"/>
  <c r="B409" i="10"/>
  <c r="A409" i="10"/>
  <c r="G408" i="10"/>
  <c r="F408" i="10"/>
  <c r="E408" i="10"/>
  <c r="D408" i="10"/>
  <c r="C408" i="10"/>
  <c r="B408" i="10"/>
  <c r="A408" i="10"/>
  <c r="H407" i="10"/>
  <c r="G407" i="10"/>
  <c r="F407" i="10"/>
  <c r="E407" i="10"/>
  <c r="D407" i="10"/>
  <c r="C407" i="10"/>
  <c r="B407" i="10"/>
  <c r="A407" i="10"/>
  <c r="G406" i="10"/>
  <c r="F406" i="10"/>
  <c r="E406" i="10"/>
  <c r="H406" i="10" s="1"/>
  <c r="D406" i="10"/>
  <c r="C406" i="10"/>
  <c r="B406" i="10"/>
  <c r="A406" i="10"/>
  <c r="G405" i="10"/>
  <c r="F405" i="10"/>
  <c r="E405" i="10"/>
  <c r="D405" i="10"/>
  <c r="C405" i="10"/>
  <c r="B405" i="10"/>
  <c r="A405" i="10"/>
  <c r="G404" i="10"/>
  <c r="F404" i="10"/>
  <c r="E404" i="10"/>
  <c r="H404" i="10" s="1"/>
  <c r="D404" i="10"/>
  <c r="C404" i="10"/>
  <c r="B404" i="10"/>
  <c r="A404" i="10"/>
  <c r="G403" i="10"/>
  <c r="F403" i="10"/>
  <c r="E403" i="10"/>
  <c r="H403" i="10" s="1"/>
  <c r="D403" i="10"/>
  <c r="C403" i="10"/>
  <c r="B403" i="10"/>
  <c r="A403" i="10"/>
  <c r="G402" i="10"/>
  <c r="F402" i="10"/>
  <c r="E402" i="10"/>
  <c r="H402" i="10" s="1"/>
  <c r="D402" i="10"/>
  <c r="C402" i="10"/>
  <c r="B402" i="10"/>
  <c r="A402" i="10"/>
  <c r="G401" i="10"/>
  <c r="F401" i="10"/>
  <c r="H401" i="10" s="1"/>
  <c r="E401" i="10"/>
  <c r="D401" i="10"/>
  <c r="C401" i="10"/>
  <c r="B401" i="10"/>
  <c r="A401" i="10"/>
  <c r="G400" i="10"/>
  <c r="F400" i="10"/>
  <c r="E400" i="10"/>
  <c r="H400" i="10" s="1"/>
  <c r="D400" i="10"/>
  <c r="C400" i="10"/>
  <c r="B400" i="10"/>
  <c r="A400" i="10"/>
  <c r="G399" i="10"/>
  <c r="F399" i="10"/>
  <c r="E399" i="10"/>
  <c r="H399" i="10" s="1"/>
  <c r="D399" i="10"/>
  <c r="C399" i="10"/>
  <c r="B399" i="10"/>
  <c r="A399" i="10"/>
  <c r="G398" i="10"/>
  <c r="F398" i="10"/>
  <c r="E398" i="10"/>
  <c r="H398" i="10" s="1"/>
  <c r="D398" i="10"/>
  <c r="C398" i="10"/>
  <c r="B398" i="10"/>
  <c r="A398" i="10"/>
  <c r="H397" i="10"/>
  <c r="G397" i="10"/>
  <c r="F397" i="10"/>
  <c r="E397" i="10"/>
  <c r="D397" i="10"/>
  <c r="C397" i="10"/>
  <c r="B397" i="10"/>
  <c r="A397" i="10"/>
  <c r="G396" i="10"/>
  <c r="F396" i="10"/>
  <c r="E396" i="10"/>
  <c r="D396" i="10"/>
  <c r="C396" i="10"/>
  <c r="B396" i="10"/>
  <c r="A396" i="10"/>
  <c r="G395" i="10"/>
  <c r="F395" i="10"/>
  <c r="E395" i="10"/>
  <c r="H395" i="10" s="1"/>
  <c r="D395" i="10"/>
  <c r="C395" i="10"/>
  <c r="B395" i="10"/>
  <c r="A395" i="10"/>
  <c r="G394" i="10"/>
  <c r="H394" i="10" s="1"/>
  <c r="F394" i="10"/>
  <c r="E394" i="10"/>
  <c r="D394" i="10"/>
  <c r="C394" i="10"/>
  <c r="B394" i="10"/>
  <c r="A394" i="10"/>
  <c r="G393" i="10"/>
  <c r="F393" i="10"/>
  <c r="E393" i="10"/>
  <c r="D393" i="10"/>
  <c r="C393" i="10"/>
  <c r="B393" i="10"/>
  <c r="A393" i="10"/>
  <c r="G392" i="10"/>
  <c r="F392" i="10"/>
  <c r="E392" i="10"/>
  <c r="H392" i="10" s="1"/>
  <c r="D392" i="10"/>
  <c r="C392" i="10"/>
  <c r="B392" i="10"/>
  <c r="A392" i="10"/>
  <c r="G391" i="10"/>
  <c r="F391" i="10"/>
  <c r="E391" i="10"/>
  <c r="D391" i="10"/>
  <c r="C391" i="10"/>
  <c r="B391" i="10"/>
  <c r="A391" i="10"/>
  <c r="G390" i="10"/>
  <c r="F390" i="10"/>
  <c r="E390" i="10"/>
  <c r="D390" i="10"/>
  <c r="C390" i="10"/>
  <c r="B390" i="10"/>
  <c r="A390" i="10"/>
  <c r="G389" i="10"/>
  <c r="F389" i="10"/>
  <c r="E389" i="10"/>
  <c r="H389" i="10" s="1"/>
  <c r="D389" i="10"/>
  <c r="C389" i="10"/>
  <c r="B389" i="10"/>
  <c r="A389" i="10"/>
  <c r="G388" i="10"/>
  <c r="F388" i="10"/>
  <c r="E388" i="10"/>
  <c r="D388" i="10"/>
  <c r="C388" i="10"/>
  <c r="B388" i="10"/>
  <c r="A388" i="10"/>
  <c r="G387" i="10"/>
  <c r="F387" i="10"/>
  <c r="E387" i="10"/>
  <c r="H387" i="10" s="1"/>
  <c r="D387" i="10"/>
  <c r="C387" i="10"/>
  <c r="B387" i="10"/>
  <c r="A387" i="10"/>
  <c r="H386" i="10"/>
  <c r="G386" i="10"/>
  <c r="F386" i="10"/>
  <c r="E386" i="10"/>
  <c r="D386" i="10"/>
  <c r="C386" i="10"/>
  <c r="B386" i="10"/>
  <c r="A386" i="10"/>
  <c r="G385" i="10"/>
  <c r="F385" i="10"/>
  <c r="E385" i="10"/>
  <c r="H385" i="10" s="1"/>
  <c r="D385" i="10"/>
  <c r="C385" i="10"/>
  <c r="B385" i="10"/>
  <c r="A385" i="10"/>
  <c r="G384" i="10"/>
  <c r="F384" i="10"/>
  <c r="E384" i="10"/>
  <c r="D384" i="10"/>
  <c r="C384" i="10"/>
  <c r="B384" i="10"/>
  <c r="A384" i="10"/>
  <c r="H383" i="10"/>
  <c r="G383" i="10"/>
  <c r="F383" i="10"/>
  <c r="E383" i="10"/>
  <c r="D383" i="10"/>
  <c r="C383" i="10"/>
  <c r="B383" i="10"/>
  <c r="A383" i="10"/>
  <c r="H382" i="10"/>
  <c r="G382" i="10"/>
  <c r="F382" i="10"/>
  <c r="E382" i="10"/>
  <c r="D382" i="10"/>
  <c r="C382" i="10"/>
  <c r="B382" i="10"/>
  <c r="A382" i="10"/>
  <c r="G381" i="10"/>
  <c r="F381" i="10"/>
  <c r="E381" i="10"/>
  <c r="H381" i="10" s="1"/>
  <c r="D381" i="10"/>
  <c r="C381" i="10"/>
  <c r="B381" i="10"/>
  <c r="A381" i="10"/>
  <c r="G380" i="10"/>
  <c r="F380" i="10"/>
  <c r="H380" i="10" s="1"/>
  <c r="E380" i="10"/>
  <c r="D380" i="10"/>
  <c r="C380" i="10"/>
  <c r="B380" i="10"/>
  <c r="A380" i="10"/>
  <c r="G379" i="10"/>
  <c r="F379" i="10"/>
  <c r="E379" i="10"/>
  <c r="D379" i="10"/>
  <c r="C379" i="10"/>
  <c r="B379" i="10"/>
  <c r="A379" i="10"/>
  <c r="G378" i="10"/>
  <c r="F378" i="10"/>
  <c r="E378" i="10"/>
  <c r="H378" i="10" s="1"/>
  <c r="D378" i="10"/>
  <c r="C378" i="10"/>
  <c r="B378" i="10"/>
  <c r="A378" i="10"/>
  <c r="G377" i="10"/>
  <c r="F377" i="10"/>
  <c r="E377" i="10"/>
  <c r="H377" i="10" s="1"/>
  <c r="D377" i="10"/>
  <c r="C377" i="10"/>
  <c r="B377" i="10"/>
  <c r="A377" i="10"/>
  <c r="G376" i="10"/>
  <c r="F376" i="10"/>
  <c r="H376" i="10" s="1"/>
  <c r="E376" i="10"/>
  <c r="D376" i="10"/>
  <c r="C376" i="10"/>
  <c r="B376" i="10"/>
  <c r="A376" i="10"/>
  <c r="G375" i="10"/>
  <c r="F375" i="10"/>
  <c r="E375" i="10"/>
  <c r="D375" i="10"/>
  <c r="C375" i="10"/>
  <c r="B375" i="10"/>
  <c r="A375" i="10"/>
  <c r="G374" i="10"/>
  <c r="F374" i="10"/>
  <c r="E374" i="10"/>
  <c r="H374" i="10" s="1"/>
  <c r="D374" i="10"/>
  <c r="C374" i="10"/>
  <c r="B374" i="10"/>
  <c r="A374" i="10"/>
  <c r="G373" i="10"/>
  <c r="F373" i="10"/>
  <c r="E373" i="10"/>
  <c r="H373" i="10" s="1"/>
  <c r="D373" i="10"/>
  <c r="C373" i="10"/>
  <c r="B373" i="10"/>
  <c r="A373" i="10"/>
  <c r="G372" i="10"/>
  <c r="F372" i="10"/>
  <c r="E372" i="10"/>
  <c r="D372" i="10"/>
  <c r="C372" i="10"/>
  <c r="B372" i="10"/>
  <c r="A372" i="10"/>
  <c r="H371" i="10"/>
  <c r="G371" i="10"/>
  <c r="F371" i="10"/>
  <c r="E371" i="10"/>
  <c r="D371" i="10"/>
  <c r="C371" i="10"/>
  <c r="B371" i="10"/>
  <c r="A371" i="10"/>
  <c r="G370" i="10"/>
  <c r="F370" i="10"/>
  <c r="E370" i="10"/>
  <c r="H370" i="10" s="1"/>
  <c r="D370" i="10"/>
  <c r="C370" i="10"/>
  <c r="B370" i="10"/>
  <c r="A370" i="10"/>
  <c r="G369" i="10"/>
  <c r="F369" i="10"/>
  <c r="E369" i="10"/>
  <c r="D369" i="10"/>
  <c r="C369" i="10"/>
  <c r="B369" i="10"/>
  <c r="A369" i="10"/>
  <c r="G368" i="10"/>
  <c r="F368" i="10"/>
  <c r="E368" i="10"/>
  <c r="H368" i="10" s="1"/>
  <c r="D368" i="10"/>
  <c r="C368" i="10"/>
  <c r="B368" i="10"/>
  <c r="A368" i="10"/>
  <c r="G367" i="10"/>
  <c r="F367" i="10"/>
  <c r="E367" i="10"/>
  <c r="H367" i="10" s="1"/>
  <c r="D367" i="10"/>
  <c r="C367" i="10"/>
  <c r="B367" i="10"/>
  <c r="A367" i="10"/>
  <c r="G366" i="10"/>
  <c r="F366" i="10"/>
  <c r="E366" i="10"/>
  <c r="H366" i="10" s="1"/>
  <c r="D366" i="10"/>
  <c r="C366" i="10"/>
  <c r="B366" i="10"/>
  <c r="A366" i="10"/>
  <c r="G365" i="10"/>
  <c r="F365" i="10"/>
  <c r="H365" i="10" s="1"/>
  <c r="E365" i="10"/>
  <c r="D365" i="10"/>
  <c r="C365" i="10"/>
  <c r="B365" i="10"/>
  <c r="A365" i="10"/>
  <c r="G364" i="10"/>
  <c r="F364" i="10"/>
  <c r="E364" i="10"/>
  <c r="H364" i="10" s="1"/>
  <c r="D364" i="10"/>
  <c r="C364" i="10"/>
  <c r="B364" i="10"/>
  <c r="A364" i="10"/>
  <c r="G363" i="10"/>
  <c r="F363" i="10"/>
  <c r="E363" i="10"/>
  <c r="H363" i="10" s="1"/>
  <c r="D363" i="10"/>
  <c r="C363" i="10"/>
  <c r="B363" i="10"/>
  <c r="A363" i="10"/>
  <c r="G362" i="10"/>
  <c r="F362" i="10"/>
  <c r="E362" i="10"/>
  <c r="H362" i="10" s="1"/>
  <c r="D362" i="10"/>
  <c r="C362" i="10"/>
  <c r="B362" i="10"/>
  <c r="A362" i="10"/>
  <c r="H361" i="10"/>
  <c r="G361" i="10"/>
  <c r="F361" i="10"/>
  <c r="E361" i="10"/>
  <c r="D361" i="10"/>
  <c r="C361" i="10"/>
  <c r="B361" i="10"/>
  <c r="A361" i="10"/>
  <c r="G360" i="10"/>
  <c r="F360" i="10"/>
  <c r="E360" i="10"/>
  <c r="D360" i="10"/>
  <c r="C360" i="10"/>
  <c r="B360" i="10"/>
  <c r="A360" i="10"/>
  <c r="G359" i="10"/>
  <c r="F359" i="10"/>
  <c r="E359" i="10"/>
  <c r="H359" i="10" s="1"/>
  <c r="D359" i="10"/>
  <c r="C359" i="10"/>
  <c r="B359" i="10"/>
  <c r="A359" i="10"/>
  <c r="G358" i="10"/>
  <c r="H358" i="10" s="1"/>
  <c r="F358" i="10"/>
  <c r="E358" i="10"/>
  <c r="D358" i="10"/>
  <c r="C358" i="10"/>
  <c r="B358" i="10"/>
  <c r="A358" i="10"/>
  <c r="G357" i="10"/>
  <c r="F357" i="10"/>
  <c r="E357" i="10"/>
  <c r="H357" i="10" s="1"/>
  <c r="D357" i="10"/>
  <c r="C357" i="10"/>
  <c r="B357" i="10"/>
  <c r="A357" i="10"/>
  <c r="G356" i="10"/>
  <c r="F356" i="10"/>
  <c r="E356" i="10"/>
  <c r="H356" i="10" s="1"/>
  <c r="D356" i="10"/>
  <c r="C356" i="10"/>
  <c r="B356" i="10"/>
  <c r="A356" i="10"/>
  <c r="G355" i="10"/>
  <c r="F355" i="10"/>
  <c r="H355" i="10" s="1"/>
  <c r="E355" i="10"/>
  <c r="D355" i="10"/>
  <c r="C355" i="10"/>
  <c r="B355" i="10"/>
  <c r="A355" i="10"/>
  <c r="G354" i="10"/>
  <c r="F354" i="10"/>
  <c r="E354" i="10"/>
  <c r="D354" i="10"/>
  <c r="C354" i="10"/>
  <c r="B354" i="10"/>
  <c r="A354" i="10"/>
  <c r="G353" i="10"/>
  <c r="F353" i="10"/>
  <c r="E353" i="10"/>
  <c r="H353" i="10" s="1"/>
  <c r="D353" i="10"/>
  <c r="C353" i="10"/>
  <c r="B353" i="10"/>
  <c r="A353" i="10"/>
  <c r="G352" i="10"/>
  <c r="F352" i="10"/>
  <c r="E352" i="10"/>
  <c r="H352" i="10" s="1"/>
  <c r="D352" i="10"/>
  <c r="C352" i="10"/>
  <c r="B352" i="10"/>
  <c r="A352" i="10"/>
  <c r="G351" i="10"/>
  <c r="F351" i="10"/>
  <c r="E351" i="10"/>
  <c r="H351" i="10" s="1"/>
  <c r="D351" i="10"/>
  <c r="C351" i="10"/>
  <c r="B351" i="10"/>
  <c r="A351" i="10"/>
  <c r="H350" i="10"/>
  <c r="G350" i="10"/>
  <c r="F350" i="10"/>
  <c r="E350" i="10"/>
  <c r="D350" i="10"/>
  <c r="C350" i="10"/>
  <c r="B350" i="10"/>
  <c r="A350" i="10"/>
  <c r="G349" i="10"/>
  <c r="F349" i="10"/>
  <c r="E349" i="10"/>
  <c r="H349" i="10" s="1"/>
  <c r="D349" i="10"/>
  <c r="C349" i="10"/>
  <c r="B349" i="10"/>
  <c r="A349" i="10"/>
  <c r="G348" i="10"/>
  <c r="F348" i="10"/>
  <c r="E348" i="10"/>
  <c r="D348" i="10"/>
  <c r="C348" i="10"/>
  <c r="B348" i="10"/>
  <c r="A348" i="10"/>
  <c r="G347" i="10"/>
  <c r="H347" i="10" s="1"/>
  <c r="F347" i="10"/>
  <c r="E347" i="10"/>
  <c r="D347" i="10"/>
  <c r="C347" i="10"/>
  <c r="B347" i="10"/>
  <c r="A347" i="10"/>
  <c r="H346" i="10"/>
  <c r="G346" i="10"/>
  <c r="F346" i="10"/>
  <c r="E346" i="10"/>
  <c r="D346" i="10"/>
  <c r="C346" i="10"/>
  <c r="B346" i="10"/>
  <c r="A346" i="10"/>
  <c r="G345" i="10"/>
  <c r="F345" i="10"/>
  <c r="E345" i="10"/>
  <c r="H345" i="10" s="1"/>
  <c r="D345" i="10"/>
  <c r="C345" i="10"/>
  <c r="B345" i="10"/>
  <c r="A345" i="10"/>
  <c r="G344" i="10"/>
  <c r="F344" i="10"/>
  <c r="E344" i="10"/>
  <c r="D344" i="10"/>
  <c r="C344" i="10"/>
  <c r="B344" i="10"/>
  <c r="A344" i="10"/>
  <c r="G343" i="10"/>
  <c r="F343" i="10"/>
  <c r="E343" i="10"/>
  <c r="D343" i="10"/>
  <c r="C343" i="10"/>
  <c r="B343" i="10"/>
  <c r="A343" i="10"/>
  <c r="G342" i="10"/>
  <c r="F342" i="10"/>
  <c r="E342" i="10"/>
  <c r="H342" i="10" s="1"/>
  <c r="D342" i="10"/>
  <c r="C342" i="10"/>
  <c r="B342" i="10"/>
  <c r="A342" i="10"/>
  <c r="G341" i="10"/>
  <c r="F341" i="10"/>
  <c r="E341" i="10"/>
  <c r="H341" i="10" s="1"/>
  <c r="D341" i="10"/>
  <c r="C341" i="10"/>
  <c r="B341" i="10"/>
  <c r="A341" i="10"/>
  <c r="G340" i="10"/>
  <c r="F340" i="10"/>
  <c r="H340" i="10" s="1"/>
  <c r="E340" i="10"/>
  <c r="D340" i="10"/>
  <c r="C340" i="10"/>
  <c r="B340" i="10"/>
  <c r="A340" i="10"/>
  <c r="G339" i="10"/>
  <c r="F339" i="10"/>
  <c r="E339" i="10"/>
  <c r="D339" i="10"/>
  <c r="C339" i="10"/>
  <c r="B339" i="10"/>
  <c r="A339" i="10"/>
  <c r="G338" i="10"/>
  <c r="F338" i="10"/>
  <c r="E338" i="10"/>
  <c r="D338" i="10"/>
  <c r="C338" i="10"/>
  <c r="B338" i="10"/>
  <c r="A338" i="10"/>
  <c r="G337" i="10"/>
  <c r="F337" i="10"/>
  <c r="E337" i="10"/>
  <c r="H337" i="10" s="1"/>
  <c r="D337" i="10"/>
  <c r="C337" i="10"/>
  <c r="B337" i="10"/>
  <c r="A337" i="10"/>
  <c r="G336" i="10"/>
  <c r="F336" i="10"/>
  <c r="E336" i="10"/>
  <c r="D336" i="10"/>
  <c r="C336" i="10"/>
  <c r="B336" i="10"/>
  <c r="A336" i="10"/>
  <c r="G335" i="10"/>
  <c r="F335" i="10"/>
  <c r="H335" i="10" s="1"/>
  <c r="E335" i="10"/>
  <c r="D335" i="10"/>
  <c r="C335" i="10"/>
  <c r="B335" i="10"/>
  <c r="A335" i="10"/>
  <c r="G334" i="10"/>
  <c r="F334" i="10"/>
  <c r="E334" i="10"/>
  <c r="H334" i="10" s="1"/>
  <c r="D334" i="10"/>
  <c r="C334" i="10"/>
  <c r="B334" i="10"/>
  <c r="A334" i="10"/>
  <c r="G333" i="10"/>
  <c r="F333" i="10"/>
  <c r="E333" i="10"/>
  <c r="D333" i="10"/>
  <c r="C333" i="10"/>
  <c r="B333" i="10"/>
  <c r="A333" i="10"/>
  <c r="G332" i="10"/>
  <c r="F332" i="10"/>
  <c r="E332" i="10"/>
  <c r="H332" i="10" s="1"/>
  <c r="D332" i="10"/>
  <c r="C332" i="10"/>
  <c r="B332" i="10"/>
  <c r="A332" i="10"/>
  <c r="G331" i="10"/>
  <c r="F331" i="10"/>
  <c r="E331" i="10"/>
  <c r="H331" i="10" s="1"/>
  <c r="D331" i="10"/>
  <c r="C331" i="10"/>
  <c r="B331" i="10"/>
  <c r="A331" i="10"/>
  <c r="G330" i="10"/>
  <c r="F330" i="10"/>
  <c r="E330" i="10"/>
  <c r="H330" i="10" s="1"/>
  <c r="D330" i="10"/>
  <c r="C330" i="10"/>
  <c r="B330" i="10"/>
  <c r="A330" i="10"/>
  <c r="G329" i="10"/>
  <c r="F329" i="10"/>
  <c r="H329" i="10" s="1"/>
  <c r="E329" i="10"/>
  <c r="D329" i="10"/>
  <c r="C329" i="10"/>
  <c r="B329" i="10"/>
  <c r="A329" i="10"/>
  <c r="G328" i="10"/>
  <c r="F328" i="10"/>
  <c r="E328" i="10"/>
  <c r="H328" i="10" s="1"/>
  <c r="D328" i="10"/>
  <c r="C328" i="10"/>
  <c r="B328" i="10"/>
  <c r="A328" i="10"/>
  <c r="G327" i="10"/>
  <c r="F327" i="10"/>
  <c r="E327" i="10"/>
  <c r="H327" i="10" s="1"/>
  <c r="D327" i="10"/>
  <c r="C327" i="10"/>
  <c r="B327" i="10"/>
  <c r="A327" i="10"/>
  <c r="G326" i="10"/>
  <c r="F326" i="10"/>
  <c r="E326" i="10"/>
  <c r="H326" i="10" s="1"/>
  <c r="D326" i="10"/>
  <c r="C326" i="10"/>
  <c r="B326" i="10"/>
  <c r="A326" i="10"/>
  <c r="H325" i="10"/>
  <c r="G325" i="10"/>
  <c r="F325" i="10"/>
  <c r="E325" i="10"/>
  <c r="D325" i="10"/>
  <c r="C325" i="10"/>
  <c r="B325" i="10"/>
  <c r="A325" i="10"/>
  <c r="G324" i="10"/>
  <c r="F324" i="10"/>
  <c r="E324" i="10"/>
  <c r="D324" i="10"/>
  <c r="C324" i="10"/>
  <c r="B324" i="10"/>
  <c r="A324" i="10"/>
  <c r="G323" i="10"/>
  <c r="F323" i="10"/>
  <c r="E323" i="10"/>
  <c r="H323" i="10" s="1"/>
  <c r="D323" i="10"/>
  <c r="C323" i="10"/>
  <c r="B323" i="10"/>
  <c r="A323" i="10"/>
  <c r="G322" i="10"/>
  <c r="H322" i="10" s="1"/>
  <c r="F322" i="10"/>
  <c r="E322" i="10"/>
  <c r="D322" i="10"/>
  <c r="C322" i="10"/>
  <c r="B322" i="10"/>
  <c r="A322" i="10"/>
  <c r="G321" i="10"/>
  <c r="F321" i="10"/>
  <c r="E321" i="10"/>
  <c r="D321" i="10"/>
  <c r="C321" i="10"/>
  <c r="B321" i="10"/>
  <c r="A321" i="10"/>
  <c r="G320" i="10"/>
  <c r="F320" i="10"/>
  <c r="E320" i="10"/>
  <c r="H320" i="10" s="1"/>
  <c r="D320" i="10"/>
  <c r="C320" i="10"/>
  <c r="B320" i="10"/>
  <c r="A320" i="10"/>
  <c r="G319" i="10"/>
  <c r="F319" i="10"/>
  <c r="H319" i="10" s="1"/>
  <c r="E319" i="10"/>
  <c r="D319" i="10"/>
  <c r="C319" i="10"/>
  <c r="B319" i="10"/>
  <c r="A319" i="10"/>
  <c r="G318" i="10"/>
  <c r="F318" i="10"/>
  <c r="E318" i="10"/>
  <c r="D318" i="10"/>
  <c r="C318" i="10"/>
  <c r="B318" i="10"/>
  <c r="A318" i="10"/>
  <c r="G317" i="10"/>
  <c r="F317" i="10"/>
  <c r="E317" i="10"/>
  <c r="H317" i="10" s="1"/>
  <c r="D317" i="10"/>
  <c r="C317" i="10"/>
  <c r="B317" i="10"/>
  <c r="A317" i="10"/>
  <c r="H316" i="10"/>
  <c r="G316" i="10"/>
  <c r="F316" i="10"/>
  <c r="E316" i="10"/>
  <c r="D316" i="10"/>
  <c r="C316" i="10"/>
  <c r="B316" i="10"/>
  <c r="A316" i="10"/>
  <c r="G315" i="10"/>
  <c r="F315" i="10"/>
  <c r="E315" i="10"/>
  <c r="H315" i="10" s="1"/>
  <c r="D315" i="10"/>
  <c r="C315" i="10"/>
  <c r="B315" i="10"/>
  <c r="A315" i="10"/>
  <c r="H314" i="10"/>
  <c r="G314" i="10"/>
  <c r="F314" i="10"/>
  <c r="E314" i="10"/>
  <c r="D314" i="10"/>
  <c r="C314" i="10"/>
  <c r="B314" i="10"/>
  <c r="A314" i="10"/>
  <c r="G313" i="10"/>
  <c r="F313" i="10"/>
  <c r="E313" i="10"/>
  <c r="D313" i="10"/>
  <c r="C313" i="10"/>
  <c r="B313" i="10"/>
  <c r="A313" i="10"/>
  <c r="G312" i="10"/>
  <c r="F312" i="10"/>
  <c r="E312" i="10"/>
  <c r="D312" i="10"/>
  <c r="C312" i="10"/>
  <c r="B312" i="10"/>
  <c r="A312" i="10"/>
  <c r="G311" i="10"/>
  <c r="H311" i="10" s="1"/>
  <c r="F311" i="10"/>
  <c r="E311" i="10"/>
  <c r="D311" i="10"/>
  <c r="C311" i="10"/>
  <c r="B311" i="10"/>
  <c r="A311" i="10"/>
  <c r="H310" i="10"/>
  <c r="G310" i="10"/>
  <c r="F310" i="10"/>
  <c r="E310" i="10"/>
  <c r="D310" i="10"/>
  <c r="C310" i="10"/>
  <c r="B310" i="10"/>
  <c r="A310" i="10"/>
  <c r="G309" i="10"/>
  <c r="F309" i="10"/>
  <c r="E309" i="10"/>
  <c r="D309" i="10"/>
  <c r="C309" i="10"/>
  <c r="B309" i="10"/>
  <c r="A309" i="10"/>
  <c r="G308" i="10"/>
  <c r="F308" i="10"/>
  <c r="E308" i="10"/>
  <c r="D308" i="10"/>
  <c r="C308" i="10"/>
  <c r="B308" i="10"/>
  <c r="A308" i="10"/>
  <c r="G307" i="10"/>
  <c r="F307" i="10"/>
  <c r="E307" i="10"/>
  <c r="H307" i="10" s="1"/>
  <c r="D307" i="10"/>
  <c r="C307" i="10"/>
  <c r="B307" i="10"/>
  <c r="A307" i="10"/>
  <c r="G306" i="10"/>
  <c r="F306" i="10"/>
  <c r="E306" i="10"/>
  <c r="H306" i="10" s="1"/>
  <c r="D306" i="10"/>
  <c r="C306" i="10"/>
  <c r="B306" i="10"/>
  <c r="A306" i="10"/>
  <c r="H305" i="10"/>
  <c r="G305" i="10"/>
  <c r="F305" i="10"/>
  <c r="E305" i="10"/>
  <c r="D305" i="10"/>
  <c r="C305" i="10"/>
  <c r="B305" i="10"/>
  <c r="A305" i="10"/>
  <c r="G304" i="10"/>
  <c r="F304" i="10"/>
  <c r="H304" i="10" s="1"/>
  <c r="E304" i="10"/>
  <c r="D304" i="10"/>
  <c r="C304" i="10"/>
  <c r="B304" i="10"/>
  <c r="A304" i="10"/>
  <c r="G303" i="10"/>
  <c r="F303" i="10"/>
  <c r="E303" i="10"/>
  <c r="H303" i="10" s="1"/>
  <c r="D303" i="10"/>
  <c r="C303" i="10"/>
  <c r="B303" i="10"/>
  <c r="A303" i="10"/>
  <c r="G302" i="10"/>
  <c r="F302" i="10"/>
  <c r="E302" i="10"/>
  <c r="H302" i="10" s="1"/>
  <c r="D302" i="10"/>
  <c r="C302" i="10"/>
  <c r="B302" i="10"/>
  <c r="A302" i="10"/>
  <c r="G301" i="10"/>
  <c r="F301" i="10"/>
  <c r="H301" i="10" s="1"/>
  <c r="E301" i="10"/>
  <c r="D301" i="10"/>
  <c r="C301" i="10"/>
  <c r="B301" i="10"/>
  <c r="A301" i="10"/>
  <c r="G300" i="10"/>
  <c r="F300" i="10"/>
  <c r="E300" i="10"/>
  <c r="H300" i="10" s="1"/>
  <c r="D300" i="10"/>
  <c r="C300" i="10"/>
  <c r="B300" i="10"/>
  <c r="A300" i="10"/>
  <c r="G299" i="10"/>
  <c r="F299" i="10"/>
  <c r="E299" i="10"/>
  <c r="H299" i="10" s="1"/>
  <c r="D299" i="10"/>
  <c r="C299" i="10"/>
  <c r="B299" i="10"/>
  <c r="A299" i="10"/>
  <c r="G298" i="10"/>
  <c r="F298" i="10"/>
  <c r="H298" i="10" s="1"/>
  <c r="E298" i="10"/>
  <c r="D298" i="10"/>
  <c r="C298" i="10"/>
  <c r="B298" i="10"/>
  <c r="A298" i="10"/>
  <c r="G297" i="10"/>
  <c r="F297" i="10"/>
  <c r="E297" i="10"/>
  <c r="H297" i="10" s="1"/>
  <c r="D297" i="10"/>
  <c r="C297" i="10"/>
  <c r="B297" i="10"/>
  <c r="A297" i="10"/>
  <c r="G296" i="10"/>
  <c r="F296" i="10"/>
  <c r="E296" i="10"/>
  <c r="H296" i="10" s="1"/>
  <c r="D296" i="10"/>
  <c r="C296" i="10"/>
  <c r="B296" i="10"/>
  <c r="A296" i="10"/>
  <c r="G295" i="10"/>
  <c r="F295" i="10"/>
  <c r="H295" i="10" s="1"/>
  <c r="E295" i="10"/>
  <c r="D295" i="10"/>
  <c r="C295" i="10"/>
  <c r="B295" i="10"/>
  <c r="A295" i="10"/>
  <c r="G294" i="10"/>
  <c r="F294" i="10"/>
  <c r="E294" i="10"/>
  <c r="H294" i="10" s="1"/>
  <c r="D294" i="10"/>
  <c r="C294" i="10"/>
  <c r="B294" i="10"/>
  <c r="A294" i="10"/>
  <c r="G293" i="10"/>
  <c r="F293" i="10"/>
  <c r="E293" i="10"/>
  <c r="H293" i="10" s="1"/>
  <c r="D293" i="10"/>
  <c r="C293" i="10"/>
  <c r="B293" i="10"/>
  <c r="A293" i="10"/>
  <c r="G292" i="10"/>
  <c r="F292" i="10"/>
  <c r="H292" i="10" s="1"/>
  <c r="E292" i="10"/>
  <c r="D292" i="10"/>
  <c r="C292" i="10"/>
  <c r="B292" i="10"/>
  <c r="A292" i="10"/>
  <c r="G291" i="10"/>
  <c r="F291" i="10"/>
  <c r="E291" i="10"/>
  <c r="H291" i="10" s="1"/>
  <c r="D291" i="10"/>
  <c r="C291" i="10"/>
  <c r="B291" i="10"/>
  <c r="A291" i="10"/>
  <c r="H290" i="10"/>
  <c r="G290" i="10"/>
  <c r="F290" i="10"/>
  <c r="E290" i="10"/>
  <c r="D290" i="10"/>
  <c r="C290" i="10"/>
  <c r="B290" i="10"/>
  <c r="A290" i="10"/>
  <c r="G289" i="10"/>
  <c r="F289" i="10"/>
  <c r="H289" i="10" s="1"/>
  <c r="E289" i="10"/>
  <c r="D289" i="10"/>
  <c r="C289" i="10"/>
  <c r="B289" i="10"/>
  <c r="A289" i="10"/>
  <c r="G288" i="10"/>
  <c r="F288" i="10"/>
  <c r="E288" i="10"/>
  <c r="H288" i="10" s="1"/>
  <c r="D288" i="10"/>
  <c r="C288" i="10"/>
  <c r="B288" i="10"/>
  <c r="A288" i="10"/>
  <c r="H287" i="10"/>
  <c r="G287" i="10"/>
  <c r="F287" i="10"/>
  <c r="E287" i="10"/>
  <c r="D287" i="10"/>
  <c r="C287" i="10"/>
  <c r="B287" i="10"/>
  <c r="A287" i="10"/>
  <c r="G286" i="10"/>
  <c r="F286" i="10"/>
  <c r="H286" i="10" s="1"/>
  <c r="E286" i="10"/>
  <c r="D286" i="10"/>
  <c r="C286" i="10"/>
  <c r="B286" i="10"/>
  <c r="A286" i="10"/>
  <c r="G285" i="10"/>
  <c r="F285" i="10"/>
  <c r="E285" i="10"/>
  <c r="H285" i="10" s="1"/>
  <c r="D285" i="10"/>
  <c r="C285" i="10"/>
  <c r="B285" i="10"/>
  <c r="A285" i="10"/>
  <c r="G284" i="10"/>
  <c r="F284" i="10"/>
  <c r="E284" i="10"/>
  <c r="H284" i="10" s="1"/>
  <c r="D284" i="10"/>
  <c r="C284" i="10"/>
  <c r="B284" i="10"/>
  <c r="A284" i="10"/>
  <c r="G283" i="10"/>
  <c r="F283" i="10"/>
  <c r="H283" i="10" s="1"/>
  <c r="E283" i="10"/>
  <c r="D283" i="10"/>
  <c r="C283" i="10"/>
  <c r="B283" i="10"/>
  <c r="A283" i="10"/>
  <c r="G282" i="10"/>
  <c r="F282" i="10"/>
  <c r="E282" i="10"/>
  <c r="H282" i="10" s="1"/>
  <c r="D282" i="10"/>
  <c r="C282" i="10"/>
  <c r="B282" i="10"/>
  <c r="A282" i="10"/>
  <c r="G281" i="10"/>
  <c r="F281" i="10"/>
  <c r="E281" i="10"/>
  <c r="H281" i="10" s="1"/>
  <c r="D281" i="10"/>
  <c r="C281" i="10"/>
  <c r="B281" i="10"/>
  <c r="A281" i="10"/>
  <c r="G280" i="10"/>
  <c r="F280" i="10"/>
  <c r="H280" i="10" s="1"/>
  <c r="E280" i="10"/>
  <c r="D280" i="10"/>
  <c r="C280" i="10"/>
  <c r="B280" i="10"/>
  <c r="A280" i="10"/>
  <c r="G279" i="10"/>
  <c r="F279" i="10"/>
  <c r="E279" i="10"/>
  <c r="H279" i="10" s="1"/>
  <c r="D279" i="10"/>
  <c r="C279" i="10"/>
  <c r="B279" i="10"/>
  <c r="A279" i="10"/>
  <c r="G278" i="10"/>
  <c r="F278" i="10"/>
  <c r="E278" i="10"/>
  <c r="H278" i="10" s="1"/>
  <c r="D278" i="10"/>
  <c r="C278" i="10"/>
  <c r="B278" i="10"/>
  <c r="A278" i="10"/>
  <c r="G277" i="10"/>
  <c r="F277" i="10"/>
  <c r="H277" i="10" s="1"/>
  <c r="E277" i="10"/>
  <c r="D277" i="10"/>
  <c r="C277" i="10"/>
  <c r="B277" i="10"/>
  <c r="A277" i="10"/>
  <c r="G276" i="10"/>
  <c r="F276" i="10"/>
  <c r="E276" i="10"/>
  <c r="H276" i="10" s="1"/>
  <c r="D276" i="10"/>
  <c r="C276" i="10"/>
  <c r="B276" i="10"/>
  <c r="A276" i="10"/>
  <c r="G275" i="10"/>
  <c r="F275" i="10"/>
  <c r="E275" i="10"/>
  <c r="H275" i="10" s="1"/>
  <c r="D275" i="10"/>
  <c r="C275" i="10"/>
  <c r="B275" i="10"/>
  <c r="A275" i="10"/>
  <c r="G274" i="10"/>
  <c r="F274" i="10"/>
  <c r="H274" i="10" s="1"/>
  <c r="E274" i="10"/>
  <c r="D274" i="10"/>
  <c r="C274" i="10"/>
  <c r="B274" i="10"/>
  <c r="A274" i="10"/>
  <c r="G273" i="10"/>
  <c r="F273" i="10"/>
  <c r="E273" i="10"/>
  <c r="H273" i="10" s="1"/>
  <c r="D273" i="10"/>
  <c r="C273" i="10"/>
  <c r="B273" i="10"/>
  <c r="A273" i="10"/>
  <c r="H272" i="10"/>
  <c r="G272" i="10"/>
  <c r="F272" i="10"/>
  <c r="E272" i="10"/>
  <c r="D272" i="10"/>
  <c r="C272" i="10"/>
  <c r="B272" i="10"/>
  <c r="A272" i="10"/>
  <c r="G271" i="10"/>
  <c r="F271" i="10"/>
  <c r="H271" i="10" s="1"/>
  <c r="E271" i="10"/>
  <c r="D271" i="10"/>
  <c r="C271" i="10"/>
  <c r="B271" i="10"/>
  <c r="A271" i="10"/>
  <c r="G270" i="10"/>
  <c r="F270" i="10"/>
  <c r="E270" i="10"/>
  <c r="H270" i="10" s="1"/>
  <c r="D270" i="10"/>
  <c r="C270" i="10"/>
  <c r="B270" i="10"/>
  <c r="A270" i="10"/>
  <c r="H269" i="10"/>
  <c r="G269" i="10"/>
  <c r="F269" i="10"/>
  <c r="E269" i="10"/>
  <c r="D269" i="10"/>
  <c r="C269" i="10"/>
  <c r="B269" i="10"/>
  <c r="A269" i="10"/>
  <c r="G268" i="10"/>
  <c r="F268" i="10"/>
  <c r="H268" i="10" s="1"/>
  <c r="E268" i="10"/>
  <c r="D268" i="10"/>
  <c r="C268" i="10"/>
  <c r="B268" i="10"/>
  <c r="A268" i="10"/>
  <c r="G267" i="10"/>
  <c r="F267" i="10"/>
  <c r="E267" i="10"/>
  <c r="H267" i="10" s="1"/>
  <c r="D267" i="10"/>
  <c r="C267" i="10"/>
  <c r="B267" i="10"/>
  <c r="A267" i="10"/>
  <c r="G266" i="10"/>
  <c r="F266" i="10"/>
  <c r="E266" i="10"/>
  <c r="H266" i="10" s="1"/>
  <c r="D266" i="10"/>
  <c r="C266" i="10"/>
  <c r="B266" i="10"/>
  <c r="A266" i="10"/>
  <c r="G265" i="10"/>
  <c r="F265" i="10"/>
  <c r="H265" i="10" s="1"/>
  <c r="E265" i="10"/>
  <c r="D265" i="10"/>
  <c r="C265" i="10"/>
  <c r="B265" i="10"/>
  <c r="A265" i="10"/>
  <c r="G264" i="10"/>
  <c r="F264" i="10"/>
  <c r="E264" i="10"/>
  <c r="H264" i="10" s="1"/>
  <c r="D264" i="10"/>
  <c r="C264" i="10"/>
  <c r="B264" i="10"/>
  <c r="A264" i="10"/>
  <c r="G263" i="10"/>
  <c r="F263" i="10"/>
  <c r="E263" i="10"/>
  <c r="H263" i="10" s="1"/>
  <c r="D263" i="10"/>
  <c r="C263" i="10"/>
  <c r="B263" i="10"/>
  <c r="A263" i="10"/>
  <c r="G262" i="10"/>
  <c r="F262" i="10"/>
  <c r="H262" i="10" s="1"/>
  <c r="E262" i="10"/>
  <c r="D262" i="10"/>
  <c r="C262" i="10"/>
  <c r="B262" i="10"/>
  <c r="A262" i="10"/>
  <c r="G261" i="10"/>
  <c r="F261" i="10"/>
  <c r="E261" i="10"/>
  <c r="H261" i="10" s="1"/>
  <c r="D261" i="10"/>
  <c r="C261" i="10"/>
  <c r="B261" i="10"/>
  <c r="A261" i="10"/>
  <c r="G260" i="10"/>
  <c r="F260" i="10"/>
  <c r="E260" i="10"/>
  <c r="H260" i="10" s="1"/>
  <c r="D260" i="10"/>
  <c r="C260" i="10"/>
  <c r="B260" i="10"/>
  <c r="A260" i="10"/>
  <c r="G259" i="10"/>
  <c r="F259" i="10"/>
  <c r="H259" i="10" s="1"/>
  <c r="E259" i="10"/>
  <c r="D259" i="10"/>
  <c r="C259" i="10"/>
  <c r="B259" i="10"/>
  <c r="A259" i="10"/>
  <c r="G258" i="10"/>
  <c r="F258" i="10"/>
  <c r="E258" i="10"/>
  <c r="H258" i="10" s="1"/>
  <c r="D258" i="10"/>
  <c r="C258" i="10"/>
  <c r="B258" i="10"/>
  <c r="A258" i="10"/>
  <c r="G257" i="10"/>
  <c r="F257" i="10"/>
  <c r="E257" i="10"/>
  <c r="H257" i="10" s="1"/>
  <c r="D257" i="10"/>
  <c r="C257" i="10"/>
  <c r="B257" i="10"/>
  <c r="A257" i="10"/>
  <c r="G256" i="10"/>
  <c r="F256" i="10"/>
  <c r="H256" i="10" s="1"/>
  <c r="E256" i="10"/>
  <c r="D256" i="10"/>
  <c r="C256" i="10"/>
  <c r="B256" i="10"/>
  <c r="A256" i="10"/>
  <c r="G255" i="10"/>
  <c r="F255" i="10"/>
  <c r="E255" i="10"/>
  <c r="H255" i="10" s="1"/>
  <c r="D255" i="10"/>
  <c r="C255" i="10"/>
  <c r="B255" i="10"/>
  <c r="A255" i="10"/>
  <c r="H254" i="10"/>
  <c r="G254" i="10"/>
  <c r="F254" i="10"/>
  <c r="E254" i="10"/>
  <c r="D254" i="10"/>
  <c r="C254" i="10"/>
  <c r="B254" i="10"/>
  <c r="A254" i="10"/>
  <c r="G253" i="10"/>
  <c r="F253" i="10"/>
  <c r="H253" i="10" s="1"/>
  <c r="E253" i="10"/>
  <c r="D253" i="10"/>
  <c r="C253" i="10"/>
  <c r="B253" i="10"/>
  <c r="A253" i="10"/>
  <c r="G252" i="10"/>
  <c r="F252" i="10"/>
  <c r="E252" i="10"/>
  <c r="H252" i="10" s="1"/>
  <c r="D252" i="10"/>
  <c r="C252" i="10"/>
  <c r="B252" i="10"/>
  <c r="A252" i="10"/>
  <c r="H251" i="10"/>
  <c r="G251" i="10"/>
  <c r="F251" i="10"/>
  <c r="E251" i="10"/>
  <c r="D251" i="10"/>
  <c r="C251" i="10"/>
  <c r="B251" i="10"/>
  <c r="A251" i="10"/>
  <c r="G250" i="10"/>
  <c r="F250" i="10"/>
  <c r="H250" i="10" s="1"/>
  <c r="E250" i="10"/>
  <c r="D250" i="10"/>
  <c r="C250" i="10"/>
  <c r="B250" i="10"/>
  <c r="A250" i="10"/>
  <c r="G249" i="10"/>
  <c r="F249" i="10"/>
  <c r="E249" i="10"/>
  <c r="H249" i="10" s="1"/>
  <c r="D249" i="10"/>
  <c r="C249" i="10"/>
  <c r="B249" i="10"/>
  <c r="A249" i="10"/>
  <c r="G248" i="10"/>
  <c r="F248" i="10"/>
  <c r="E248" i="10"/>
  <c r="H248" i="10" s="1"/>
  <c r="D248" i="10"/>
  <c r="C248" i="10"/>
  <c r="B248" i="10"/>
  <c r="A248" i="10"/>
  <c r="G247" i="10"/>
  <c r="F247" i="10"/>
  <c r="H247" i="10" s="1"/>
  <c r="E247" i="10"/>
  <c r="D247" i="10"/>
  <c r="C247" i="10"/>
  <c r="B247" i="10"/>
  <c r="A247" i="10"/>
  <c r="G246" i="10"/>
  <c r="F246" i="10"/>
  <c r="E246" i="10"/>
  <c r="H246" i="10" s="1"/>
  <c r="D246" i="10"/>
  <c r="C246" i="10"/>
  <c r="B246" i="10"/>
  <c r="A246" i="10"/>
  <c r="G245" i="10"/>
  <c r="F245" i="10"/>
  <c r="E245" i="10"/>
  <c r="H245" i="10" s="1"/>
  <c r="D245" i="10"/>
  <c r="C245" i="10"/>
  <c r="B245" i="10"/>
  <c r="A245" i="10"/>
  <c r="G244" i="10"/>
  <c r="F244" i="10"/>
  <c r="H244" i="10" s="1"/>
  <c r="E244" i="10"/>
  <c r="D244" i="10"/>
  <c r="C244" i="10"/>
  <c r="B244" i="10"/>
  <c r="A244" i="10"/>
  <c r="G243" i="10"/>
  <c r="F243" i="10"/>
  <c r="E243" i="10"/>
  <c r="H243" i="10" s="1"/>
  <c r="D243" i="10"/>
  <c r="C243" i="10"/>
  <c r="B243" i="10"/>
  <c r="A243" i="10"/>
  <c r="G242" i="10"/>
  <c r="F242" i="10"/>
  <c r="E242" i="10"/>
  <c r="H242" i="10" s="1"/>
  <c r="D242" i="10"/>
  <c r="C242" i="10"/>
  <c r="B242" i="10"/>
  <c r="A242" i="10"/>
  <c r="G241" i="10"/>
  <c r="F241" i="10"/>
  <c r="H241" i="10" s="1"/>
  <c r="E241" i="10"/>
  <c r="D241" i="10"/>
  <c r="C241" i="10"/>
  <c r="B241" i="10"/>
  <c r="A241" i="10"/>
  <c r="G240" i="10"/>
  <c r="F240" i="10"/>
  <c r="E240" i="10"/>
  <c r="H240" i="10" s="1"/>
  <c r="D240" i="10"/>
  <c r="C240" i="10"/>
  <c r="B240" i="10"/>
  <c r="A240" i="10"/>
  <c r="G239" i="10"/>
  <c r="F239" i="10"/>
  <c r="E239" i="10"/>
  <c r="H239" i="10" s="1"/>
  <c r="D239" i="10"/>
  <c r="C239" i="10"/>
  <c r="B239" i="10"/>
  <c r="A239" i="10"/>
  <c r="G238" i="10"/>
  <c r="F238" i="10"/>
  <c r="H238" i="10" s="1"/>
  <c r="E238" i="10"/>
  <c r="D238" i="10"/>
  <c r="C238" i="10"/>
  <c r="B238" i="10"/>
  <c r="A238" i="10"/>
  <c r="G237" i="10"/>
  <c r="F237" i="10"/>
  <c r="E237" i="10"/>
  <c r="H237" i="10" s="1"/>
  <c r="D237" i="10"/>
  <c r="C237" i="10"/>
  <c r="B237" i="10"/>
  <c r="A237" i="10"/>
  <c r="H236" i="10"/>
  <c r="G236" i="10"/>
  <c r="F236" i="10"/>
  <c r="E236" i="10"/>
  <c r="D236" i="10"/>
  <c r="C236" i="10"/>
  <c r="B236" i="10"/>
  <c r="A236" i="10"/>
  <c r="G235" i="10"/>
  <c r="F235" i="10"/>
  <c r="H235" i="10" s="1"/>
  <c r="E235" i="10"/>
  <c r="D235" i="10"/>
  <c r="C235" i="10"/>
  <c r="B235" i="10"/>
  <c r="A235" i="10"/>
  <c r="G234" i="10"/>
  <c r="F234" i="10"/>
  <c r="E234" i="10"/>
  <c r="H234" i="10" s="1"/>
  <c r="D234" i="10"/>
  <c r="C234" i="10"/>
  <c r="B234" i="10"/>
  <c r="A234" i="10"/>
  <c r="H233" i="10"/>
  <c r="G233" i="10"/>
  <c r="F233" i="10"/>
  <c r="E233" i="10"/>
  <c r="D233" i="10"/>
  <c r="C233" i="10"/>
  <c r="B233" i="10"/>
  <c r="A233" i="10"/>
  <c r="G232" i="10"/>
  <c r="F232" i="10"/>
  <c r="H232" i="10" s="1"/>
  <c r="E232" i="10"/>
  <c r="D232" i="10"/>
  <c r="C232" i="10"/>
  <c r="B232" i="10"/>
  <c r="A232" i="10"/>
  <c r="G231" i="10"/>
  <c r="F231" i="10"/>
  <c r="E231" i="10"/>
  <c r="H231" i="10" s="1"/>
  <c r="D231" i="10"/>
  <c r="C231" i="10"/>
  <c r="B231" i="10"/>
  <c r="A231" i="10"/>
  <c r="G230" i="10"/>
  <c r="F230" i="10"/>
  <c r="E230" i="10"/>
  <c r="H230" i="10" s="1"/>
  <c r="D230" i="10"/>
  <c r="C230" i="10"/>
  <c r="B230" i="10"/>
  <c r="A230" i="10"/>
  <c r="G229" i="10"/>
  <c r="F229" i="10"/>
  <c r="H229" i="10" s="1"/>
  <c r="E229" i="10"/>
  <c r="D229" i="10"/>
  <c r="C229" i="10"/>
  <c r="B229" i="10"/>
  <c r="A229" i="10"/>
  <c r="G228" i="10"/>
  <c r="F228" i="10"/>
  <c r="E228" i="10"/>
  <c r="H228" i="10" s="1"/>
  <c r="D228" i="10"/>
  <c r="C228" i="10"/>
  <c r="B228" i="10"/>
  <c r="A228" i="10"/>
  <c r="G227" i="10"/>
  <c r="F227" i="10"/>
  <c r="E227" i="10"/>
  <c r="H227" i="10" s="1"/>
  <c r="D227" i="10"/>
  <c r="C227" i="10"/>
  <c r="B227" i="10"/>
  <c r="A227" i="10"/>
  <c r="G226" i="10"/>
  <c r="F226" i="10"/>
  <c r="H226" i="10" s="1"/>
  <c r="E226" i="10"/>
  <c r="D226" i="10"/>
  <c r="C226" i="10"/>
  <c r="B226" i="10"/>
  <c r="A226" i="10"/>
  <c r="G225" i="10"/>
  <c r="F225" i="10"/>
  <c r="E225" i="10"/>
  <c r="H225" i="10" s="1"/>
  <c r="D225" i="10"/>
  <c r="C225" i="10"/>
  <c r="B225" i="10"/>
  <c r="A225" i="10"/>
  <c r="G224" i="10"/>
  <c r="F224" i="10"/>
  <c r="E224" i="10"/>
  <c r="H224" i="10" s="1"/>
  <c r="D224" i="10"/>
  <c r="C224" i="10"/>
  <c r="B224" i="10"/>
  <c r="A224" i="10"/>
  <c r="G223" i="10"/>
  <c r="F223" i="10"/>
  <c r="H223" i="10" s="1"/>
  <c r="E223" i="10"/>
  <c r="D223" i="10"/>
  <c r="C223" i="10"/>
  <c r="B223" i="10"/>
  <c r="A223" i="10"/>
  <c r="G222" i="10"/>
  <c r="F222" i="10"/>
  <c r="E222" i="10"/>
  <c r="H222" i="10" s="1"/>
  <c r="D222" i="10"/>
  <c r="C222" i="10"/>
  <c r="B222" i="10"/>
  <c r="A222" i="10"/>
  <c r="G221" i="10"/>
  <c r="F221" i="10"/>
  <c r="E221" i="10"/>
  <c r="H221" i="10" s="1"/>
  <c r="D221" i="10"/>
  <c r="C221" i="10"/>
  <c r="B221" i="10"/>
  <c r="A221" i="10"/>
  <c r="G220" i="10"/>
  <c r="F220" i="10"/>
  <c r="H220" i="10" s="1"/>
  <c r="E220" i="10"/>
  <c r="D220" i="10"/>
  <c r="C220" i="10"/>
  <c r="B220" i="10"/>
  <c r="A220" i="10"/>
  <c r="G219" i="10"/>
  <c r="F219" i="10"/>
  <c r="E219" i="10"/>
  <c r="H219" i="10" s="1"/>
  <c r="D219" i="10"/>
  <c r="C219" i="10"/>
  <c r="B219" i="10"/>
  <c r="A219" i="10"/>
  <c r="H218" i="10"/>
  <c r="G218" i="10"/>
  <c r="F218" i="10"/>
  <c r="E218" i="10"/>
  <c r="D218" i="10"/>
  <c r="C218" i="10"/>
  <c r="B218" i="10"/>
  <c r="A218" i="10"/>
  <c r="G217" i="10"/>
  <c r="F217" i="10"/>
  <c r="H217" i="10" s="1"/>
  <c r="E217" i="10"/>
  <c r="D217" i="10"/>
  <c r="C217" i="10"/>
  <c r="B217" i="10"/>
  <c r="A217" i="10"/>
  <c r="G216" i="10"/>
  <c r="F216" i="10"/>
  <c r="E216" i="10"/>
  <c r="H216" i="10" s="1"/>
  <c r="D216" i="10"/>
  <c r="C216" i="10"/>
  <c r="B216" i="10"/>
  <c r="A216" i="10"/>
  <c r="H215" i="10"/>
  <c r="G215" i="10"/>
  <c r="F215" i="10"/>
  <c r="E215" i="10"/>
  <c r="D215" i="10"/>
  <c r="C215" i="10"/>
  <c r="B215" i="10"/>
  <c r="A215" i="10"/>
  <c r="G214" i="10"/>
  <c r="F214" i="10"/>
  <c r="H214" i="10" s="1"/>
  <c r="E214" i="10"/>
  <c r="D214" i="10"/>
  <c r="C214" i="10"/>
  <c r="B214" i="10"/>
  <c r="A214" i="10"/>
  <c r="G213" i="10"/>
  <c r="F213" i="10"/>
  <c r="E213" i="10"/>
  <c r="H213" i="10" s="1"/>
  <c r="D213" i="10"/>
  <c r="C213" i="10"/>
  <c r="B213" i="10"/>
  <c r="A213" i="10"/>
  <c r="G212" i="10"/>
  <c r="F212" i="10"/>
  <c r="E212" i="10"/>
  <c r="H212" i="10" s="1"/>
  <c r="D212" i="10"/>
  <c r="C212" i="10"/>
  <c r="B212" i="10"/>
  <c r="A212" i="10"/>
  <c r="G211" i="10"/>
  <c r="F211" i="10"/>
  <c r="H211" i="10" s="1"/>
  <c r="E211" i="10"/>
  <c r="D211" i="10"/>
  <c r="C211" i="10"/>
  <c r="B211" i="10"/>
  <c r="A211" i="10"/>
  <c r="G210" i="10"/>
  <c r="F210" i="10"/>
  <c r="E210" i="10"/>
  <c r="H210" i="10" s="1"/>
  <c r="D210" i="10"/>
  <c r="C210" i="10"/>
  <c r="B210" i="10"/>
  <c r="A210" i="10"/>
  <c r="G209" i="10"/>
  <c r="F209" i="10"/>
  <c r="E209" i="10"/>
  <c r="H209" i="10" s="1"/>
  <c r="D209" i="10"/>
  <c r="C209" i="10"/>
  <c r="B209" i="10"/>
  <c r="A209" i="10"/>
  <c r="G208" i="10"/>
  <c r="F208" i="10"/>
  <c r="H208" i="10" s="1"/>
  <c r="E208" i="10"/>
  <c r="D208" i="10"/>
  <c r="C208" i="10"/>
  <c r="B208" i="10"/>
  <c r="A208" i="10"/>
  <c r="G207" i="10"/>
  <c r="F207" i="10"/>
  <c r="E207" i="10"/>
  <c r="H207" i="10" s="1"/>
  <c r="D207" i="10"/>
  <c r="C207" i="10"/>
  <c r="B207" i="10"/>
  <c r="A207" i="10"/>
  <c r="G206" i="10"/>
  <c r="F206" i="10"/>
  <c r="E206" i="10"/>
  <c r="H206" i="10" s="1"/>
  <c r="D206" i="10"/>
  <c r="C206" i="10"/>
  <c r="B206" i="10"/>
  <c r="A206" i="10"/>
  <c r="G205" i="10"/>
  <c r="F205" i="10"/>
  <c r="H205" i="10" s="1"/>
  <c r="E205" i="10"/>
  <c r="D205" i="10"/>
  <c r="C205" i="10"/>
  <c r="B205" i="10"/>
  <c r="A205" i="10"/>
  <c r="G204" i="10"/>
  <c r="F204" i="10"/>
  <c r="E204" i="10"/>
  <c r="H204" i="10" s="1"/>
  <c r="D204" i="10"/>
  <c r="C204" i="10"/>
  <c r="B204" i="10"/>
  <c r="A204" i="10"/>
  <c r="G203" i="10"/>
  <c r="F203" i="10"/>
  <c r="E203" i="10"/>
  <c r="H203" i="10" s="1"/>
  <c r="D203" i="10"/>
  <c r="C203" i="10"/>
  <c r="B203" i="10"/>
  <c r="A203" i="10"/>
  <c r="G202" i="10"/>
  <c r="F202" i="10"/>
  <c r="H202" i="10" s="1"/>
  <c r="E202" i="10"/>
  <c r="D202" i="10"/>
  <c r="C202" i="10"/>
  <c r="B202" i="10"/>
  <c r="A202" i="10"/>
  <c r="G201" i="10"/>
  <c r="F201" i="10"/>
  <c r="E201" i="10"/>
  <c r="H201" i="10" s="1"/>
  <c r="D201" i="10"/>
  <c r="C201" i="10"/>
  <c r="B201" i="10"/>
  <c r="A201" i="10"/>
  <c r="H200" i="10"/>
  <c r="G200" i="10"/>
  <c r="F200" i="10"/>
  <c r="E200" i="10"/>
  <c r="D200" i="10"/>
  <c r="C200" i="10"/>
  <c r="B200" i="10"/>
  <c r="A200" i="10"/>
  <c r="G199" i="10"/>
  <c r="F199" i="10"/>
  <c r="H199" i="10" s="1"/>
  <c r="E199" i="10"/>
  <c r="D199" i="10"/>
  <c r="C199" i="10"/>
  <c r="B199" i="10"/>
  <c r="A199" i="10"/>
  <c r="G198" i="10"/>
  <c r="F198" i="10"/>
  <c r="E198" i="10"/>
  <c r="H198" i="10" s="1"/>
  <c r="D198" i="10"/>
  <c r="C198" i="10"/>
  <c r="B198" i="10"/>
  <c r="A198" i="10"/>
  <c r="H197" i="10"/>
  <c r="G197" i="10"/>
  <c r="F197" i="10"/>
  <c r="E197" i="10"/>
  <c r="D197" i="10"/>
  <c r="C197" i="10"/>
  <c r="B197" i="10"/>
  <c r="A197" i="10"/>
  <c r="G196" i="10"/>
  <c r="F196" i="10"/>
  <c r="H196" i="10" s="1"/>
  <c r="E196" i="10"/>
  <c r="D196" i="10"/>
  <c r="C196" i="10"/>
  <c r="B196" i="10"/>
  <c r="A196" i="10"/>
  <c r="G195" i="10"/>
  <c r="F195" i="10"/>
  <c r="E195" i="10"/>
  <c r="H195" i="10" s="1"/>
  <c r="D195" i="10"/>
  <c r="C195" i="10"/>
  <c r="B195" i="10"/>
  <c r="A195" i="10"/>
  <c r="G194" i="10"/>
  <c r="F194" i="10"/>
  <c r="E194" i="10"/>
  <c r="H194" i="10" s="1"/>
  <c r="D194" i="10"/>
  <c r="C194" i="10"/>
  <c r="B194" i="10"/>
  <c r="A194" i="10"/>
  <c r="G193" i="10"/>
  <c r="F193" i="10"/>
  <c r="H193" i="10" s="1"/>
  <c r="E193" i="10"/>
  <c r="D193" i="10"/>
  <c r="C193" i="10"/>
  <c r="B193" i="10"/>
  <c r="A193" i="10"/>
  <c r="G192" i="10"/>
  <c r="F192" i="10"/>
  <c r="E192" i="10"/>
  <c r="H192" i="10" s="1"/>
  <c r="D192" i="10"/>
  <c r="C192" i="10"/>
  <c r="B192" i="10"/>
  <c r="A192" i="10"/>
  <c r="G191" i="10"/>
  <c r="F191" i="10"/>
  <c r="E191" i="10"/>
  <c r="H191" i="10" s="1"/>
  <c r="D191" i="10"/>
  <c r="C191" i="10"/>
  <c r="B191" i="10"/>
  <c r="A191" i="10"/>
  <c r="G190" i="10"/>
  <c r="F190" i="10"/>
  <c r="H190" i="10" s="1"/>
  <c r="E190" i="10"/>
  <c r="D190" i="10"/>
  <c r="C190" i="10"/>
  <c r="B190" i="10"/>
  <c r="A190" i="10"/>
  <c r="G189" i="10"/>
  <c r="F189" i="10"/>
  <c r="E189" i="10"/>
  <c r="H189" i="10" s="1"/>
  <c r="D189" i="10"/>
  <c r="C189" i="10"/>
  <c r="B189" i="10"/>
  <c r="A189" i="10"/>
  <c r="G188" i="10"/>
  <c r="F188" i="10"/>
  <c r="E188" i="10"/>
  <c r="H188" i="10" s="1"/>
  <c r="D188" i="10"/>
  <c r="C188" i="10"/>
  <c r="B188" i="10"/>
  <c r="A188" i="10"/>
  <c r="G187" i="10"/>
  <c r="F187" i="10"/>
  <c r="H187" i="10" s="1"/>
  <c r="E187" i="10"/>
  <c r="D187" i="10"/>
  <c r="C187" i="10"/>
  <c r="B187" i="10"/>
  <c r="A187" i="10"/>
  <c r="G186" i="10"/>
  <c r="F186" i="10"/>
  <c r="E186" i="10"/>
  <c r="H186" i="10" s="1"/>
  <c r="D186" i="10"/>
  <c r="C186" i="10"/>
  <c r="B186" i="10"/>
  <c r="A186" i="10"/>
  <c r="G185" i="10"/>
  <c r="F185" i="10"/>
  <c r="E185" i="10"/>
  <c r="H185" i="10" s="1"/>
  <c r="D185" i="10"/>
  <c r="C185" i="10"/>
  <c r="B185" i="10"/>
  <c r="A185" i="10"/>
  <c r="G184" i="10"/>
  <c r="F184" i="10"/>
  <c r="H184" i="10" s="1"/>
  <c r="E184" i="10"/>
  <c r="D184" i="10"/>
  <c r="C184" i="10"/>
  <c r="B184" i="10"/>
  <c r="A184" i="10"/>
  <c r="G183" i="10"/>
  <c r="F183" i="10"/>
  <c r="E183" i="10"/>
  <c r="H183" i="10" s="1"/>
  <c r="D183" i="10"/>
  <c r="C183" i="10"/>
  <c r="B183" i="10"/>
  <c r="A183" i="10"/>
  <c r="H182" i="10"/>
  <c r="G182" i="10"/>
  <c r="F182" i="10"/>
  <c r="E182" i="10"/>
  <c r="D182" i="10"/>
  <c r="C182" i="10"/>
  <c r="B182" i="10"/>
  <c r="A182" i="10"/>
  <c r="G181" i="10"/>
  <c r="F181" i="10"/>
  <c r="H181" i="10" s="1"/>
  <c r="E181" i="10"/>
  <c r="D181" i="10"/>
  <c r="C181" i="10"/>
  <c r="B181" i="10"/>
  <c r="A181" i="10"/>
  <c r="G180" i="10"/>
  <c r="F180" i="10"/>
  <c r="E180" i="10"/>
  <c r="H180" i="10" s="1"/>
  <c r="D180" i="10"/>
  <c r="C180" i="10"/>
  <c r="B180" i="10"/>
  <c r="A180" i="10"/>
  <c r="H179" i="10"/>
  <c r="G179" i="10"/>
  <c r="F179" i="10"/>
  <c r="E179" i="10"/>
  <c r="D179" i="10"/>
  <c r="C179" i="10"/>
  <c r="B179" i="10"/>
  <c r="A179" i="10"/>
  <c r="G178" i="10"/>
  <c r="F178" i="10"/>
  <c r="H178" i="10" s="1"/>
  <c r="E178" i="10"/>
  <c r="D178" i="10"/>
  <c r="C178" i="10"/>
  <c r="B178" i="10"/>
  <c r="A178" i="10"/>
  <c r="G177" i="10"/>
  <c r="F177" i="10"/>
  <c r="E177" i="10"/>
  <c r="H177" i="10" s="1"/>
  <c r="D177" i="10"/>
  <c r="C177" i="10"/>
  <c r="B177" i="10"/>
  <c r="A177" i="10"/>
  <c r="G176" i="10"/>
  <c r="F176" i="10"/>
  <c r="E176" i="10"/>
  <c r="H176" i="10" s="1"/>
  <c r="D176" i="10"/>
  <c r="C176" i="10"/>
  <c r="B176" i="10"/>
  <c r="A176" i="10"/>
  <c r="G175" i="10"/>
  <c r="F175" i="10"/>
  <c r="H175" i="10" s="1"/>
  <c r="E175" i="10"/>
  <c r="D175" i="10"/>
  <c r="C175" i="10"/>
  <c r="B175" i="10"/>
  <c r="A175" i="10"/>
  <c r="G174" i="10"/>
  <c r="F174" i="10"/>
  <c r="E174" i="10"/>
  <c r="H174" i="10" s="1"/>
  <c r="D174" i="10"/>
  <c r="C174" i="10"/>
  <c r="B174" i="10"/>
  <c r="A174" i="10"/>
  <c r="G173" i="10"/>
  <c r="F173" i="10"/>
  <c r="E173" i="10"/>
  <c r="H173" i="10" s="1"/>
  <c r="D173" i="10"/>
  <c r="C173" i="10"/>
  <c r="B173" i="10"/>
  <c r="A173" i="10"/>
  <c r="G172" i="10"/>
  <c r="F172" i="10"/>
  <c r="H172" i="10" s="1"/>
  <c r="E172" i="10"/>
  <c r="D172" i="10"/>
  <c r="C172" i="10"/>
  <c r="B172" i="10"/>
  <c r="A172" i="10"/>
  <c r="G171" i="10"/>
  <c r="F171" i="10"/>
  <c r="E171" i="10"/>
  <c r="H171" i="10" s="1"/>
  <c r="D171" i="10"/>
  <c r="C171" i="10"/>
  <c r="B171" i="10"/>
  <c r="A171" i="10"/>
  <c r="G170" i="10"/>
  <c r="F170" i="10"/>
  <c r="E170" i="10"/>
  <c r="H170" i="10" s="1"/>
  <c r="D170" i="10"/>
  <c r="C170" i="10"/>
  <c r="B170" i="10"/>
  <c r="A170" i="10"/>
  <c r="G169" i="10"/>
  <c r="F169" i="10"/>
  <c r="H169" i="10" s="1"/>
  <c r="E169" i="10"/>
  <c r="D169" i="10"/>
  <c r="C169" i="10"/>
  <c r="B169" i="10"/>
  <c r="A169" i="10"/>
  <c r="G168" i="10"/>
  <c r="F168" i="10"/>
  <c r="E168" i="10"/>
  <c r="H168" i="10" s="1"/>
  <c r="D168" i="10"/>
  <c r="C168" i="10"/>
  <c r="B168" i="10"/>
  <c r="A168" i="10"/>
  <c r="G167" i="10"/>
  <c r="F167" i="10"/>
  <c r="E167" i="10"/>
  <c r="H167" i="10" s="1"/>
  <c r="D167" i="10"/>
  <c r="C167" i="10"/>
  <c r="B167" i="10"/>
  <c r="A167" i="10"/>
  <c r="G166" i="10"/>
  <c r="F166" i="10"/>
  <c r="H166" i="10" s="1"/>
  <c r="E166" i="10"/>
  <c r="D166" i="10"/>
  <c r="C166" i="10"/>
  <c r="B166" i="10"/>
  <c r="A166" i="10"/>
  <c r="G165" i="10"/>
  <c r="F165" i="10"/>
  <c r="E165" i="10"/>
  <c r="H165" i="10" s="1"/>
  <c r="D165" i="10"/>
  <c r="C165" i="10"/>
  <c r="B165" i="10"/>
  <c r="A165" i="10"/>
  <c r="H164" i="10"/>
  <c r="G164" i="10"/>
  <c r="F164" i="10"/>
  <c r="E164" i="10"/>
  <c r="D164" i="10"/>
  <c r="C164" i="10"/>
  <c r="B164" i="10"/>
  <c r="A164" i="10"/>
  <c r="G163" i="10"/>
  <c r="F163" i="10"/>
  <c r="H163" i="10" s="1"/>
  <c r="E163" i="10"/>
  <c r="D163" i="10"/>
  <c r="C163" i="10"/>
  <c r="B163" i="10"/>
  <c r="A163" i="10"/>
  <c r="G162" i="10"/>
  <c r="F162" i="10"/>
  <c r="E162" i="10"/>
  <c r="H162" i="10" s="1"/>
  <c r="D162" i="10"/>
  <c r="C162" i="10"/>
  <c r="B162" i="10"/>
  <c r="A162" i="10"/>
  <c r="H161" i="10"/>
  <c r="G161" i="10"/>
  <c r="F161" i="10"/>
  <c r="E161" i="10"/>
  <c r="D161" i="10"/>
  <c r="C161" i="10"/>
  <c r="B161" i="10"/>
  <c r="A161" i="10"/>
  <c r="G160" i="10"/>
  <c r="F160" i="10"/>
  <c r="H160" i="10" s="1"/>
  <c r="E160" i="10"/>
  <c r="D160" i="10"/>
  <c r="C160" i="10"/>
  <c r="B160" i="10"/>
  <c r="A160" i="10"/>
  <c r="G159" i="10"/>
  <c r="F159" i="10"/>
  <c r="E159" i="10"/>
  <c r="H159" i="10" s="1"/>
  <c r="D159" i="10"/>
  <c r="C159" i="10"/>
  <c r="B159" i="10"/>
  <c r="A159" i="10"/>
  <c r="G158" i="10"/>
  <c r="F158" i="10"/>
  <c r="E158" i="10"/>
  <c r="H158" i="10" s="1"/>
  <c r="D158" i="10"/>
  <c r="C158" i="10"/>
  <c r="B158" i="10"/>
  <c r="A158" i="10"/>
  <c r="G157" i="10"/>
  <c r="F157" i="10"/>
  <c r="H157" i="10" s="1"/>
  <c r="E157" i="10"/>
  <c r="D157" i="10"/>
  <c r="C157" i="10"/>
  <c r="B157" i="10"/>
  <c r="A157" i="10"/>
  <c r="G156" i="10"/>
  <c r="F156" i="10"/>
  <c r="E156" i="10"/>
  <c r="H156" i="10" s="1"/>
  <c r="D156" i="10"/>
  <c r="C156" i="10"/>
  <c r="B156" i="10"/>
  <c r="A156" i="10"/>
  <c r="G155" i="10"/>
  <c r="F155" i="10"/>
  <c r="E155" i="10"/>
  <c r="H155" i="10" s="1"/>
  <c r="D155" i="10"/>
  <c r="C155" i="10"/>
  <c r="B155" i="10"/>
  <c r="A155" i="10"/>
  <c r="G154" i="10"/>
  <c r="F154" i="10"/>
  <c r="H154" i="10" s="1"/>
  <c r="E154" i="10"/>
  <c r="D154" i="10"/>
  <c r="C154" i="10"/>
  <c r="B154" i="10"/>
  <c r="A154" i="10"/>
  <c r="G153" i="10"/>
  <c r="F153" i="10"/>
  <c r="E153" i="10"/>
  <c r="H153" i="10" s="1"/>
  <c r="D153" i="10"/>
  <c r="C153" i="10"/>
  <c r="B153" i="10"/>
  <c r="A153" i="10"/>
  <c r="G152" i="10"/>
  <c r="F152" i="10"/>
  <c r="E152" i="10"/>
  <c r="H152" i="10" s="1"/>
  <c r="D152" i="10"/>
  <c r="C152" i="10"/>
  <c r="B152" i="10"/>
  <c r="A152" i="10"/>
  <c r="G151" i="10"/>
  <c r="F151" i="10"/>
  <c r="H151" i="10" s="1"/>
  <c r="E151" i="10"/>
  <c r="D151" i="10"/>
  <c r="C151" i="10"/>
  <c r="B151" i="10"/>
  <c r="A151" i="10"/>
  <c r="G150" i="10"/>
  <c r="F150" i="10"/>
  <c r="E150" i="10"/>
  <c r="H150" i="10" s="1"/>
  <c r="D150" i="10"/>
  <c r="C150" i="10"/>
  <c r="B150" i="10"/>
  <c r="A150" i="10"/>
  <c r="G149" i="10"/>
  <c r="F149" i="10"/>
  <c r="E149" i="10"/>
  <c r="H149" i="10" s="1"/>
  <c r="D149" i="10"/>
  <c r="C149" i="10"/>
  <c r="B149" i="10"/>
  <c r="A149" i="10"/>
  <c r="G148" i="10"/>
  <c r="F148" i="10"/>
  <c r="H148" i="10" s="1"/>
  <c r="E148" i="10"/>
  <c r="D148" i="10"/>
  <c r="C148" i="10"/>
  <c r="B148" i="10"/>
  <c r="A148" i="10"/>
  <c r="G147" i="10"/>
  <c r="F147" i="10"/>
  <c r="E147" i="10"/>
  <c r="H147" i="10" s="1"/>
  <c r="D147" i="10"/>
  <c r="C147" i="10"/>
  <c r="B147" i="10"/>
  <c r="A147" i="10"/>
  <c r="G146" i="10"/>
  <c r="H146" i="10" s="1"/>
  <c r="F146" i="10"/>
  <c r="E146" i="10"/>
  <c r="D146" i="10"/>
  <c r="C146" i="10"/>
  <c r="B146" i="10"/>
  <c r="A146" i="10"/>
  <c r="G145" i="10"/>
  <c r="F145" i="10"/>
  <c r="H145" i="10" s="1"/>
  <c r="E145" i="10"/>
  <c r="D145" i="10"/>
  <c r="C145" i="10"/>
  <c r="B145" i="10"/>
  <c r="A145" i="10"/>
  <c r="G144" i="10"/>
  <c r="F144" i="10"/>
  <c r="E144" i="10"/>
  <c r="H144" i="10" s="1"/>
  <c r="D144" i="10"/>
  <c r="C144" i="10"/>
  <c r="B144" i="10"/>
  <c r="A144" i="10"/>
  <c r="G143" i="10"/>
  <c r="H143" i="10" s="1"/>
  <c r="F143" i="10"/>
  <c r="E143" i="10"/>
  <c r="D143" i="10"/>
  <c r="C143" i="10"/>
  <c r="B143" i="10"/>
  <c r="A143" i="10"/>
  <c r="G142" i="10"/>
  <c r="F142" i="10"/>
  <c r="H142" i="10" s="1"/>
  <c r="E142" i="10"/>
  <c r="D142" i="10"/>
  <c r="C142" i="10"/>
  <c r="B142" i="10"/>
  <c r="A142" i="10"/>
  <c r="G141" i="10"/>
  <c r="F141" i="10"/>
  <c r="E141" i="10"/>
  <c r="H141" i="10" s="1"/>
  <c r="D141" i="10"/>
  <c r="C141" i="10"/>
  <c r="B141" i="10"/>
  <c r="A141" i="10"/>
  <c r="G140" i="10"/>
  <c r="F140" i="10"/>
  <c r="E140" i="10"/>
  <c r="H140" i="10" s="1"/>
  <c r="D140" i="10"/>
  <c r="C140" i="10"/>
  <c r="B140" i="10"/>
  <c r="A140" i="10"/>
  <c r="G139" i="10"/>
  <c r="F139" i="10"/>
  <c r="H139" i="10" s="1"/>
  <c r="E139" i="10"/>
  <c r="D139" i="10"/>
  <c r="C139" i="10"/>
  <c r="B139" i="10"/>
  <c r="A139" i="10"/>
  <c r="G138" i="10"/>
  <c r="F138" i="10"/>
  <c r="E138" i="10"/>
  <c r="H138" i="10" s="1"/>
  <c r="D138" i="10"/>
  <c r="C138" i="10"/>
  <c r="B138" i="10"/>
  <c r="A138" i="10"/>
  <c r="G137" i="10"/>
  <c r="F137" i="10"/>
  <c r="E137" i="10"/>
  <c r="H137" i="10" s="1"/>
  <c r="D137" i="10"/>
  <c r="C137" i="10"/>
  <c r="B137" i="10"/>
  <c r="A137" i="10"/>
  <c r="G136" i="10"/>
  <c r="F136" i="10"/>
  <c r="H136" i="10" s="1"/>
  <c r="E136" i="10"/>
  <c r="D136" i="10"/>
  <c r="C136" i="10"/>
  <c r="B136" i="10"/>
  <c r="A136" i="10"/>
  <c r="G135" i="10"/>
  <c r="F135" i="10"/>
  <c r="E135" i="10"/>
  <c r="H135" i="10" s="1"/>
  <c r="D135" i="10"/>
  <c r="C135" i="10"/>
  <c r="B135" i="10"/>
  <c r="A135" i="10"/>
  <c r="G134" i="10"/>
  <c r="F134" i="10"/>
  <c r="E134" i="10"/>
  <c r="H134" i="10" s="1"/>
  <c r="D134" i="10"/>
  <c r="C134" i="10"/>
  <c r="B134" i="10"/>
  <c r="A134" i="10"/>
  <c r="G133" i="10"/>
  <c r="F133" i="10"/>
  <c r="H133" i="10" s="1"/>
  <c r="E133" i="10"/>
  <c r="D133" i="10"/>
  <c r="C133" i="10"/>
  <c r="B133" i="10"/>
  <c r="A133" i="10"/>
  <c r="G132" i="10"/>
  <c r="F132" i="10"/>
  <c r="E132" i="10"/>
  <c r="H132" i="10" s="1"/>
  <c r="D132" i="10"/>
  <c r="C132" i="10"/>
  <c r="B132" i="10"/>
  <c r="A132" i="10"/>
  <c r="G131" i="10"/>
  <c r="F131" i="10"/>
  <c r="E131" i="10"/>
  <c r="H131" i="10" s="1"/>
  <c r="D131" i="10"/>
  <c r="C131" i="10"/>
  <c r="B131" i="10"/>
  <c r="A131" i="10"/>
  <c r="G130" i="10"/>
  <c r="F130" i="10"/>
  <c r="H130" i="10" s="1"/>
  <c r="E130" i="10"/>
  <c r="D130" i="10"/>
  <c r="C130" i="10"/>
  <c r="B130" i="10"/>
  <c r="A130" i="10"/>
  <c r="G129" i="10"/>
  <c r="F129" i="10"/>
  <c r="E129" i="10"/>
  <c r="H129" i="10" s="1"/>
  <c r="D129" i="10"/>
  <c r="C129" i="10"/>
  <c r="B129" i="10"/>
  <c r="A129" i="10"/>
  <c r="G128" i="10"/>
  <c r="H128" i="10" s="1"/>
  <c r="F128" i="10"/>
  <c r="E128" i="10"/>
  <c r="D128" i="10"/>
  <c r="C128" i="10"/>
  <c r="B128" i="10"/>
  <c r="A128" i="10"/>
  <c r="G127" i="10"/>
  <c r="F127" i="10"/>
  <c r="H127" i="10" s="1"/>
  <c r="E127" i="10"/>
  <c r="D127" i="10"/>
  <c r="C127" i="10"/>
  <c r="B127" i="10"/>
  <c r="A127" i="10"/>
  <c r="G126" i="10"/>
  <c r="F126" i="10"/>
  <c r="E126" i="10"/>
  <c r="H126" i="10" s="1"/>
  <c r="D126" i="10"/>
  <c r="C126" i="10"/>
  <c r="B126" i="10"/>
  <c r="A126" i="10"/>
  <c r="G125" i="10"/>
  <c r="H125" i="10" s="1"/>
  <c r="F125" i="10"/>
  <c r="E125" i="10"/>
  <c r="D125" i="10"/>
  <c r="C125" i="10"/>
  <c r="B125" i="10"/>
  <c r="A125" i="10"/>
  <c r="G124" i="10"/>
  <c r="F124" i="10"/>
  <c r="H124" i="10" s="1"/>
  <c r="E124" i="10"/>
  <c r="D124" i="10"/>
  <c r="C124" i="10"/>
  <c r="B124" i="10"/>
  <c r="A124" i="10"/>
  <c r="G123" i="10"/>
  <c r="F123" i="10"/>
  <c r="E123" i="10"/>
  <c r="H123" i="10" s="1"/>
  <c r="D123" i="10"/>
  <c r="C123" i="10"/>
  <c r="B123" i="10"/>
  <c r="A123" i="10"/>
  <c r="G122" i="10"/>
  <c r="F122" i="10"/>
  <c r="E122" i="10"/>
  <c r="H122" i="10" s="1"/>
  <c r="D122" i="10"/>
  <c r="C122" i="10"/>
  <c r="B122" i="10"/>
  <c r="A122" i="10"/>
  <c r="G121" i="10"/>
  <c r="F121" i="10"/>
  <c r="H121" i="10" s="1"/>
  <c r="E121" i="10"/>
  <c r="D121" i="10"/>
  <c r="C121" i="10"/>
  <c r="B121" i="10"/>
  <c r="A121" i="10"/>
  <c r="G120" i="10"/>
  <c r="F120" i="10"/>
  <c r="E120" i="10"/>
  <c r="H120" i="10" s="1"/>
  <c r="D120" i="10"/>
  <c r="C120" i="10"/>
  <c r="B120" i="10"/>
  <c r="A120" i="10"/>
  <c r="G119" i="10"/>
  <c r="F119" i="10"/>
  <c r="E119" i="10"/>
  <c r="H119" i="10" s="1"/>
  <c r="D119" i="10"/>
  <c r="C119" i="10"/>
  <c r="B119" i="10"/>
  <c r="A119" i="10"/>
  <c r="G118" i="10"/>
  <c r="F118" i="10"/>
  <c r="H118" i="10" s="1"/>
  <c r="E118" i="10"/>
  <c r="D118" i="10"/>
  <c r="C118" i="10"/>
  <c r="B118" i="10"/>
  <c r="A118" i="10"/>
  <c r="G117" i="10"/>
  <c r="F117" i="10"/>
  <c r="E117" i="10"/>
  <c r="H117" i="10" s="1"/>
  <c r="D117" i="10"/>
  <c r="C117" i="10"/>
  <c r="B117" i="10"/>
  <c r="A117" i="10"/>
  <c r="G116" i="10"/>
  <c r="F116" i="10"/>
  <c r="E116" i="10"/>
  <c r="H116" i="10" s="1"/>
  <c r="D116" i="10"/>
  <c r="C116" i="10"/>
  <c r="B116" i="10"/>
  <c r="A116" i="10"/>
  <c r="G115" i="10"/>
  <c r="F115" i="10"/>
  <c r="H115" i="10" s="1"/>
  <c r="E115" i="10"/>
  <c r="D115" i="10"/>
  <c r="C115" i="10"/>
  <c r="B115" i="10"/>
  <c r="A115" i="10"/>
  <c r="G114" i="10"/>
  <c r="F114" i="10"/>
  <c r="E114" i="10"/>
  <c r="H114" i="10" s="1"/>
  <c r="D114" i="10"/>
  <c r="C114" i="10"/>
  <c r="B114" i="10"/>
  <c r="A114" i="10"/>
  <c r="G113" i="10"/>
  <c r="F113" i="10"/>
  <c r="E113" i="10"/>
  <c r="H113" i="10" s="1"/>
  <c r="D113" i="10"/>
  <c r="C113" i="10"/>
  <c r="B113" i="10"/>
  <c r="A113" i="10"/>
  <c r="G112" i="10"/>
  <c r="F112" i="10"/>
  <c r="H112" i="10" s="1"/>
  <c r="E112" i="10"/>
  <c r="D112" i="10"/>
  <c r="C112" i="10"/>
  <c r="B112" i="10"/>
  <c r="A112" i="10"/>
  <c r="G111" i="10"/>
  <c r="F111" i="10"/>
  <c r="E111" i="10"/>
  <c r="H111" i="10" s="1"/>
  <c r="D111" i="10"/>
  <c r="C111" i="10"/>
  <c r="B111" i="10"/>
  <c r="A111" i="10"/>
  <c r="G110" i="10"/>
  <c r="H110" i="10" s="1"/>
  <c r="F110" i="10"/>
  <c r="E110" i="10"/>
  <c r="D110" i="10"/>
  <c r="C110" i="10"/>
  <c r="B110" i="10"/>
  <c r="A110" i="10"/>
  <c r="G109" i="10"/>
  <c r="F109" i="10"/>
  <c r="H109" i="10" s="1"/>
  <c r="E109" i="10"/>
  <c r="D109" i="10"/>
  <c r="C109" i="10"/>
  <c r="B109" i="10"/>
  <c r="A109" i="10"/>
  <c r="G108" i="10"/>
  <c r="F108" i="10"/>
  <c r="E108" i="10"/>
  <c r="H108" i="10" s="1"/>
  <c r="D108" i="10"/>
  <c r="C108" i="10"/>
  <c r="B108" i="10"/>
  <c r="A108" i="10"/>
  <c r="G107" i="10"/>
  <c r="H107" i="10" s="1"/>
  <c r="F107" i="10"/>
  <c r="E107" i="10"/>
  <c r="D107" i="10"/>
  <c r="C107" i="10"/>
  <c r="B107" i="10"/>
  <c r="A107" i="10"/>
  <c r="G106" i="10"/>
  <c r="F106" i="10"/>
  <c r="H106" i="10" s="1"/>
  <c r="E106" i="10"/>
  <c r="D106" i="10"/>
  <c r="C106" i="10"/>
  <c r="B106" i="10"/>
  <c r="A106" i="10"/>
  <c r="G105" i="10"/>
  <c r="F105" i="10"/>
  <c r="E105" i="10"/>
  <c r="H105" i="10" s="1"/>
  <c r="D105" i="10"/>
  <c r="C105" i="10"/>
  <c r="B105" i="10"/>
  <c r="A105" i="10"/>
  <c r="G104" i="10"/>
  <c r="F104" i="10"/>
  <c r="E104" i="10"/>
  <c r="H104" i="10" s="1"/>
  <c r="D104" i="10"/>
  <c r="C104" i="10"/>
  <c r="B104" i="10"/>
  <c r="A104" i="10"/>
  <c r="G103" i="10"/>
  <c r="F103" i="10"/>
  <c r="H103" i="10" s="1"/>
  <c r="E103" i="10"/>
  <c r="D103" i="10"/>
  <c r="C103" i="10"/>
  <c r="B103" i="10"/>
  <c r="A103" i="10"/>
  <c r="G102" i="10"/>
  <c r="F102" i="10"/>
  <c r="E102" i="10"/>
  <c r="H102" i="10" s="1"/>
  <c r="D102" i="10"/>
  <c r="C102" i="10"/>
  <c r="B102" i="10"/>
  <c r="A102" i="10"/>
  <c r="G101" i="10"/>
  <c r="F101" i="10"/>
  <c r="E101" i="10"/>
  <c r="H101" i="10" s="1"/>
  <c r="D101" i="10"/>
  <c r="C101" i="10"/>
  <c r="B101" i="10"/>
  <c r="A101" i="10"/>
  <c r="G100" i="10"/>
  <c r="F100" i="10"/>
  <c r="H100" i="10" s="1"/>
  <c r="E100" i="10"/>
  <c r="D100" i="10"/>
  <c r="C100" i="10"/>
  <c r="B100" i="10"/>
  <c r="A100" i="10"/>
  <c r="G99" i="10"/>
  <c r="F99" i="10"/>
  <c r="E99" i="10"/>
  <c r="H99" i="10" s="1"/>
  <c r="D99" i="10"/>
  <c r="C99" i="10"/>
  <c r="B99" i="10"/>
  <c r="A99" i="10"/>
  <c r="G98" i="10"/>
  <c r="F98" i="10"/>
  <c r="E98" i="10"/>
  <c r="H98" i="10" s="1"/>
  <c r="D98" i="10"/>
  <c r="C98" i="10"/>
  <c r="B98" i="10"/>
  <c r="A98" i="10"/>
  <c r="G97" i="10"/>
  <c r="F97" i="10"/>
  <c r="H97" i="10" s="1"/>
  <c r="E97" i="10"/>
  <c r="D97" i="10"/>
  <c r="C97" i="10"/>
  <c r="B97" i="10"/>
  <c r="A97" i="10"/>
  <c r="G96" i="10"/>
  <c r="F96" i="10"/>
  <c r="E96" i="10"/>
  <c r="H96" i="10" s="1"/>
  <c r="D96" i="10"/>
  <c r="C96" i="10"/>
  <c r="B96" i="10"/>
  <c r="A96" i="10"/>
  <c r="G95" i="10"/>
  <c r="F95" i="10"/>
  <c r="E95" i="10"/>
  <c r="H95" i="10" s="1"/>
  <c r="D95" i="10"/>
  <c r="C95" i="10"/>
  <c r="B95" i="10"/>
  <c r="A95" i="10"/>
  <c r="G94" i="10"/>
  <c r="F94" i="10"/>
  <c r="H94" i="10" s="1"/>
  <c r="E94" i="10"/>
  <c r="D94" i="10"/>
  <c r="C94" i="10"/>
  <c r="B94" i="10"/>
  <c r="A94" i="10"/>
  <c r="G93" i="10"/>
  <c r="F93" i="10"/>
  <c r="E93" i="10"/>
  <c r="H93" i="10" s="1"/>
  <c r="D93" i="10"/>
  <c r="C93" i="10"/>
  <c r="B93" i="10"/>
  <c r="A93" i="10"/>
  <c r="G92" i="10"/>
  <c r="H92" i="10" s="1"/>
  <c r="F92" i="10"/>
  <c r="E92" i="10"/>
  <c r="D92" i="10"/>
  <c r="C92" i="10"/>
  <c r="B92" i="10"/>
  <c r="A92" i="10"/>
  <c r="G91" i="10"/>
  <c r="F91" i="10"/>
  <c r="H91" i="10" s="1"/>
  <c r="E91" i="10"/>
  <c r="D91" i="10"/>
  <c r="C91" i="10"/>
  <c r="B91" i="10"/>
  <c r="A91" i="10"/>
  <c r="G90" i="10"/>
  <c r="F90" i="10"/>
  <c r="E90" i="10"/>
  <c r="H90" i="10" s="1"/>
  <c r="D90" i="10"/>
  <c r="C90" i="10"/>
  <c r="B90" i="10"/>
  <c r="A90" i="10"/>
  <c r="H89" i="10"/>
  <c r="G89" i="10"/>
  <c r="F89" i="10"/>
  <c r="E89" i="10"/>
  <c r="D89" i="10"/>
  <c r="C89" i="10"/>
  <c r="B89" i="10"/>
  <c r="A89" i="10"/>
  <c r="G88" i="10"/>
  <c r="F88" i="10"/>
  <c r="H88" i="10" s="1"/>
  <c r="E88" i="10"/>
  <c r="D88" i="10"/>
  <c r="C88" i="10"/>
  <c r="B88" i="10"/>
  <c r="A88" i="10"/>
  <c r="G87" i="10"/>
  <c r="F87" i="10"/>
  <c r="E87" i="10"/>
  <c r="H87" i="10" s="1"/>
  <c r="D87" i="10"/>
  <c r="C87" i="10"/>
  <c r="B87" i="10"/>
  <c r="A87" i="10"/>
  <c r="G86" i="10"/>
  <c r="H86" i="10" s="1"/>
  <c r="F86" i="10"/>
  <c r="E86" i="10"/>
  <c r="D86" i="10"/>
  <c r="C86" i="10"/>
  <c r="B86" i="10"/>
  <c r="A86" i="10"/>
  <c r="G85" i="10"/>
  <c r="F85" i="10"/>
  <c r="H85" i="10" s="1"/>
  <c r="E85" i="10"/>
  <c r="D85" i="10"/>
  <c r="C85" i="10"/>
  <c r="B85" i="10"/>
  <c r="A85" i="10"/>
  <c r="G84" i="10"/>
  <c r="F84" i="10"/>
  <c r="E84" i="10"/>
  <c r="H84" i="10" s="1"/>
  <c r="D84" i="10"/>
  <c r="C84" i="10"/>
  <c r="B84" i="10"/>
  <c r="A84" i="10"/>
  <c r="G83" i="10"/>
  <c r="F83" i="10"/>
  <c r="H83" i="10" s="1"/>
  <c r="E83" i="10"/>
  <c r="D83" i="10"/>
  <c r="C83" i="10"/>
  <c r="B83" i="10"/>
  <c r="A83" i="10"/>
  <c r="G82" i="10"/>
  <c r="F82" i="10"/>
  <c r="H82" i="10" s="1"/>
  <c r="E82" i="10"/>
  <c r="D82" i="10"/>
  <c r="C82" i="10"/>
  <c r="B82" i="10"/>
  <c r="A82" i="10"/>
  <c r="G81" i="10"/>
  <c r="F81" i="10"/>
  <c r="E81" i="10"/>
  <c r="H81" i="10" s="1"/>
  <c r="D81" i="10"/>
  <c r="C81" i="10"/>
  <c r="B81" i="10"/>
  <c r="A81" i="10"/>
  <c r="G80" i="10"/>
  <c r="F80" i="10"/>
  <c r="E80" i="10"/>
  <c r="H80" i="10" s="1"/>
  <c r="D80" i="10"/>
  <c r="C80" i="10"/>
  <c r="B80" i="10"/>
  <c r="A80" i="10"/>
  <c r="G79" i="10"/>
  <c r="F79" i="10"/>
  <c r="H79" i="10" s="1"/>
  <c r="E79" i="10"/>
  <c r="D79" i="10"/>
  <c r="C79" i="10"/>
  <c r="B79" i="10"/>
  <c r="A79" i="10"/>
  <c r="G78" i="10"/>
  <c r="F78" i="10"/>
  <c r="E78" i="10"/>
  <c r="H78" i="10" s="1"/>
  <c r="D78" i="10"/>
  <c r="C78" i="10"/>
  <c r="B78" i="10"/>
  <c r="A78" i="10"/>
  <c r="G77" i="10"/>
  <c r="F77" i="10"/>
  <c r="E77" i="10"/>
  <c r="H77" i="10" s="1"/>
  <c r="D77" i="10"/>
  <c r="C77" i="10"/>
  <c r="B77" i="10"/>
  <c r="A77" i="10"/>
  <c r="G76" i="10"/>
  <c r="F76" i="10"/>
  <c r="H76" i="10" s="1"/>
  <c r="E76" i="10"/>
  <c r="D76" i="10"/>
  <c r="C76" i="10"/>
  <c r="B76" i="10"/>
  <c r="A76" i="10"/>
  <c r="G75" i="10"/>
  <c r="F75" i="10"/>
  <c r="E75" i="10"/>
  <c r="H75" i="10" s="1"/>
  <c r="D75" i="10"/>
  <c r="C75" i="10"/>
  <c r="B75" i="10"/>
  <c r="A75" i="10"/>
  <c r="G74" i="10"/>
  <c r="F74" i="10"/>
  <c r="E74" i="10"/>
  <c r="H74" i="10" s="1"/>
  <c r="D74" i="10"/>
  <c r="C74" i="10"/>
  <c r="B74" i="10"/>
  <c r="A74" i="10"/>
  <c r="H73" i="10"/>
  <c r="G73" i="10"/>
  <c r="F73" i="10"/>
  <c r="E73" i="10"/>
  <c r="D73" i="10"/>
  <c r="C73" i="10"/>
  <c r="B73" i="10"/>
  <c r="A73" i="10"/>
  <c r="G72" i="10"/>
  <c r="F72" i="10"/>
  <c r="E72" i="10"/>
  <c r="H72" i="10" s="1"/>
  <c r="D72" i="10"/>
  <c r="C72" i="10"/>
  <c r="B72" i="10"/>
  <c r="A72" i="10"/>
  <c r="G71" i="10"/>
  <c r="F71" i="10"/>
  <c r="E71" i="10"/>
  <c r="H71" i="10" s="1"/>
  <c r="D71" i="10"/>
  <c r="C71" i="10"/>
  <c r="B71" i="10"/>
  <c r="A71" i="10"/>
  <c r="H70" i="10"/>
  <c r="G70" i="10"/>
  <c r="F70" i="10"/>
  <c r="E70" i="10"/>
  <c r="D70" i="10"/>
  <c r="C70" i="10"/>
  <c r="B70" i="10"/>
  <c r="A70" i="10"/>
  <c r="G69" i="10"/>
  <c r="F69" i="10"/>
  <c r="E69" i="10"/>
  <c r="H69" i="10" s="1"/>
  <c r="D69" i="10"/>
  <c r="C69" i="10"/>
  <c r="B69" i="10"/>
  <c r="A69" i="10"/>
  <c r="G68" i="10"/>
  <c r="F68" i="10"/>
  <c r="E68" i="10"/>
  <c r="H68" i="10" s="1"/>
  <c r="D68" i="10"/>
  <c r="C68" i="10"/>
  <c r="B68" i="10"/>
  <c r="A68" i="10"/>
  <c r="H67" i="10"/>
  <c r="G67" i="10"/>
  <c r="F67" i="10"/>
  <c r="E67" i="10"/>
  <c r="D67" i="10"/>
  <c r="C67" i="10"/>
  <c r="B67" i="10"/>
  <c r="A67" i="10"/>
  <c r="G66" i="10"/>
  <c r="F66" i="10"/>
  <c r="E66" i="10"/>
  <c r="H66" i="10" s="1"/>
  <c r="D66" i="10"/>
  <c r="C66" i="10"/>
  <c r="B66" i="10"/>
  <c r="A66" i="10"/>
  <c r="G65" i="10"/>
  <c r="F65" i="10"/>
  <c r="H65" i="10" s="1"/>
  <c r="E65" i="10"/>
  <c r="D65" i="10"/>
  <c r="C65" i="10"/>
  <c r="B65" i="10"/>
  <c r="A65" i="10"/>
  <c r="H64" i="10"/>
  <c r="G64" i="10"/>
  <c r="F64" i="10"/>
  <c r="E64" i="10"/>
  <c r="D64" i="10"/>
  <c r="C64" i="10"/>
  <c r="B64" i="10"/>
  <c r="A64" i="10"/>
  <c r="G63" i="10"/>
  <c r="F63" i="10"/>
  <c r="E63" i="10"/>
  <c r="H63" i="10" s="1"/>
  <c r="D63" i="10"/>
  <c r="C63" i="10"/>
  <c r="B63" i="10"/>
  <c r="A63" i="10"/>
  <c r="G62" i="10"/>
  <c r="F62" i="10"/>
  <c r="E62" i="10"/>
  <c r="H62" i="10" s="1"/>
  <c r="D62" i="10"/>
  <c r="C62" i="10"/>
  <c r="B62" i="10"/>
  <c r="A62" i="10"/>
  <c r="H61" i="10"/>
  <c r="G61" i="10"/>
  <c r="F61" i="10"/>
  <c r="E61" i="10"/>
  <c r="D61" i="10"/>
  <c r="C61" i="10"/>
  <c r="B61" i="10"/>
  <c r="A61" i="10"/>
  <c r="G60" i="10"/>
  <c r="F60" i="10"/>
  <c r="E60" i="10"/>
  <c r="H60" i="10" s="1"/>
  <c r="D60" i="10"/>
  <c r="C60" i="10"/>
  <c r="B60" i="10"/>
  <c r="A60" i="10"/>
  <c r="H59" i="10"/>
  <c r="G59" i="10"/>
  <c r="F59" i="10"/>
  <c r="E59" i="10"/>
  <c r="D59" i="10"/>
  <c r="C59" i="10"/>
  <c r="B59" i="10"/>
  <c r="A59" i="10"/>
  <c r="G58" i="10"/>
  <c r="F58" i="10"/>
  <c r="H58" i="10" s="1"/>
  <c r="E58" i="10"/>
  <c r="D58" i="10"/>
  <c r="C58" i="10"/>
  <c r="B58" i="10"/>
  <c r="A58" i="10"/>
  <c r="G57" i="10"/>
  <c r="F57" i="10"/>
  <c r="E57" i="10"/>
  <c r="H57" i="10" s="1"/>
  <c r="D57" i="10"/>
  <c r="C57" i="10"/>
  <c r="B57" i="10"/>
  <c r="A57" i="10"/>
  <c r="G56" i="10"/>
  <c r="H56" i="10" s="1"/>
  <c r="F56" i="10"/>
  <c r="E56" i="10"/>
  <c r="D56" i="10"/>
  <c r="C56" i="10"/>
  <c r="B56" i="10"/>
  <c r="A56" i="10"/>
  <c r="G55" i="10"/>
  <c r="F55" i="10"/>
  <c r="H55" i="10" s="1"/>
  <c r="E55" i="10"/>
  <c r="D55" i="10"/>
  <c r="C55" i="10"/>
  <c r="B55" i="10"/>
  <c r="A55" i="10"/>
  <c r="G54" i="10"/>
  <c r="F54" i="10"/>
  <c r="E54" i="10"/>
  <c r="H54" i="10" s="1"/>
  <c r="D54" i="10"/>
  <c r="C54" i="10"/>
  <c r="B54" i="10"/>
  <c r="A54" i="10"/>
  <c r="H53" i="10"/>
  <c r="G53" i="10"/>
  <c r="F53" i="10"/>
  <c r="E53" i="10"/>
  <c r="D53" i="10"/>
  <c r="C53" i="10"/>
  <c r="B53" i="10"/>
  <c r="A53" i="10"/>
  <c r="G52" i="10"/>
  <c r="F52" i="10"/>
  <c r="H52" i="10" s="1"/>
  <c r="E52" i="10"/>
  <c r="D52" i="10"/>
  <c r="C52" i="10"/>
  <c r="B52" i="10"/>
  <c r="A52" i="10"/>
  <c r="G51" i="10"/>
  <c r="F51" i="10"/>
  <c r="E51" i="10"/>
  <c r="H51" i="10" s="1"/>
  <c r="D51" i="10"/>
  <c r="C51" i="10"/>
  <c r="B51" i="10"/>
  <c r="A51" i="10"/>
  <c r="G50" i="10"/>
  <c r="H50" i="10" s="1"/>
  <c r="F50" i="10"/>
  <c r="E50" i="10"/>
  <c r="D50" i="10"/>
  <c r="C50" i="10"/>
  <c r="B50" i="10"/>
  <c r="A50" i="10"/>
  <c r="G49" i="10"/>
  <c r="F49" i="10"/>
  <c r="H49" i="10" s="1"/>
  <c r="E49" i="10"/>
  <c r="D49" i="10"/>
  <c r="C49" i="10"/>
  <c r="B49" i="10"/>
  <c r="A49" i="10"/>
  <c r="G48" i="10"/>
  <c r="F48" i="10"/>
  <c r="E48" i="10"/>
  <c r="H48" i="10" s="1"/>
  <c r="D48" i="10"/>
  <c r="C48" i="10"/>
  <c r="B48" i="10"/>
  <c r="A48" i="10"/>
  <c r="G47" i="10"/>
  <c r="F47" i="10"/>
  <c r="H47" i="10" s="1"/>
  <c r="E47" i="10"/>
  <c r="D47" i="10"/>
  <c r="C47" i="10"/>
  <c r="B47" i="10"/>
  <c r="A47" i="10"/>
  <c r="G46" i="10"/>
  <c r="F46" i="10"/>
  <c r="H46" i="10" s="1"/>
  <c r="E46" i="10"/>
  <c r="D46" i="10"/>
  <c r="C46" i="10"/>
  <c r="B46" i="10"/>
  <c r="A46" i="10"/>
  <c r="G45" i="10"/>
  <c r="F45" i="10"/>
  <c r="E45" i="10"/>
  <c r="H45" i="10" s="1"/>
  <c r="D45" i="10"/>
  <c r="C45" i="10"/>
  <c r="B45" i="10"/>
  <c r="A45" i="10"/>
  <c r="G44" i="10"/>
  <c r="F44" i="10"/>
  <c r="E44" i="10"/>
  <c r="H44" i="10" s="1"/>
  <c r="D44" i="10"/>
  <c r="C44" i="10"/>
  <c r="B44" i="10"/>
  <c r="A44" i="10"/>
  <c r="G43" i="10"/>
  <c r="F43" i="10"/>
  <c r="H43" i="10" s="1"/>
  <c r="E43" i="10"/>
  <c r="D43" i="10"/>
  <c r="C43" i="10"/>
  <c r="B43" i="10"/>
  <c r="A43" i="10"/>
  <c r="G42" i="10"/>
  <c r="F42" i="10"/>
  <c r="E42" i="10"/>
  <c r="H42" i="10" s="1"/>
  <c r="D42" i="10"/>
  <c r="C42" i="10"/>
  <c r="B42" i="10"/>
  <c r="A42" i="10"/>
  <c r="G41" i="10"/>
  <c r="F41" i="10"/>
  <c r="E41" i="10"/>
  <c r="H41" i="10" s="1"/>
  <c r="D41" i="10"/>
  <c r="C41" i="10"/>
  <c r="B41" i="10"/>
  <c r="A41" i="10"/>
  <c r="G40" i="10"/>
  <c r="F40" i="10"/>
  <c r="H40" i="10" s="1"/>
  <c r="E40" i="10"/>
  <c r="D40" i="10"/>
  <c r="C40" i="10"/>
  <c r="B40" i="10"/>
  <c r="A40" i="10"/>
  <c r="G39" i="10"/>
  <c r="F39" i="10"/>
  <c r="E39" i="10"/>
  <c r="H39" i="10" s="1"/>
  <c r="D39" i="10"/>
  <c r="C39" i="10"/>
  <c r="B39" i="10"/>
  <c r="A39" i="10"/>
  <c r="G38" i="10"/>
  <c r="F38" i="10"/>
  <c r="E38" i="10"/>
  <c r="H38" i="10" s="1"/>
  <c r="D38" i="10"/>
  <c r="C38" i="10"/>
  <c r="B38" i="10"/>
  <c r="A38" i="10"/>
  <c r="H37" i="10"/>
  <c r="G37" i="10"/>
  <c r="F37" i="10"/>
  <c r="E37" i="10"/>
  <c r="D37" i="10"/>
  <c r="C37" i="10"/>
  <c r="B37" i="10"/>
  <c r="A37" i="10"/>
  <c r="G36" i="10"/>
  <c r="F36" i="10"/>
  <c r="E36" i="10"/>
  <c r="H36" i="10" s="1"/>
  <c r="D36" i="10"/>
  <c r="C36" i="10"/>
  <c r="B36" i="10"/>
  <c r="A36" i="10"/>
  <c r="G35" i="10"/>
  <c r="F35" i="10"/>
  <c r="E35" i="10"/>
  <c r="H35" i="10" s="1"/>
  <c r="D35" i="10"/>
  <c r="C35" i="10"/>
  <c r="B35" i="10"/>
  <c r="A35" i="10"/>
  <c r="H34" i="10"/>
  <c r="G34" i="10"/>
  <c r="F34" i="10"/>
  <c r="E34" i="10"/>
  <c r="D34" i="10"/>
  <c r="C34" i="10"/>
  <c r="B34" i="10"/>
  <c r="A34" i="10"/>
  <c r="G33" i="10"/>
  <c r="F33" i="10"/>
  <c r="E33" i="10"/>
  <c r="H33" i="10" s="1"/>
  <c r="D33" i="10"/>
  <c r="C33" i="10"/>
  <c r="B33" i="10"/>
  <c r="A33" i="10"/>
  <c r="G32" i="10"/>
  <c r="F32" i="10"/>
  <c r="E32" i="10"/>
  <c r="H32" i="10" s="1"/>
  <c r="D32" i="10"/>
  <c r="C32" i="10"/>
  <c r="B32" i="10"/>
  <c r="A32" i="10"/>
  <c r="H31" i="10"/>
  <c r="G31" i="10"/>
  <c r="F31" i="10"/>
  <c r="E31" i="10"/>
  <c r="D31" i="10"/>
  <c r="C31" i="10"/>
  <c r="B31" i="10"/>
  <c r="A31" i="10"/>
  <c r="G30" i="10"/>
  <c r="F30" i="10"/>
  <c r="E30" i="10"/>
  <c r="H30" i="10" s="1"/>
  <c r="D30" i="10"/>
  <c r="C30" i="10"/>
  <c r="B30" i="10"/>
  <c r="A30" i="10"/>
  <c r="G29" i="10"/>
  <c r="F29" i="10"/>
  <c r="H29" i="10" s="1"/>
  <c r="E29" i="10"/>
  <c r="D29" i="10"/>
  <c r="C29" i="10"/>
  <c r="B29" i="10"/>
  <c r="A29" i="10"/>
  <c r="H28" i="10"/>
  <c r="G28" i="10"/>
  <c r="F28" i="10"/>
  <c r="E28" i="10"/>
  <c r="D28" i="10"/>
  <c r="C28" i="10"/>
  <c r="B28" i="10"/>
  <c r="A28" i="10"/>
  <c r="G27" i="10"/>
  <c r="F27" i="10"/>
  <c r="E27" i="10"/>
  <c r="H27" i="10" s="1"/>
  <c r="D27" i="10"/>
  <c r="C27" i="10"/>
  <c r="B27" i="10"/>
  <c r="A27" i="10"/>
  <c r="G26" i="10"/>
  <c r="F26" i="10"/>
  <c r="E26" i="10"/>
  <c r="H26" i="10" s="1"/>
  <c r="D26" i="10"/>
  <c r="C26" i="10"/>
  <c r="B26" i="10"/>
  <c r="A26" i="10"/>
  <c r="H25" i="10"/>
  <c r="G25" i="10"/>
  <c r="F25" i="10"/>
  <c r="E25" i="10"/>
  <c r="D25" i="10"/>
  <c r="C25" i="10"/>
  <c r="B25" i="10"/>
  <c r="A25" i="10"/>
  <c r="G24" i="10"/>
  <c r="F24" i="10"/>
  <c r="E24" i="10"/>
  <c r="H24" i="10" s="1"/>
  <c r="D24" i="10"/>
  <c r="C24" i="10"/>
  <c r="B24" i="10"/>
  <c r="A24" i="10"/>
  <c r="H23" i="10"/>
  <c r="G23" i="10"/>
  <c r="F23" i="10"/>
  <c r="E23" i="10"/>
  <c r="D23" i="10"/>
  <c r="C23" i="10"/>
  <c r="B23" i="10"/>
  <c r="A23" i="10"/>
  <c r="G22" i="10"/>
  <c r="F22" i="10"/>
  <c r="H22" i="10" s="1"/>
  <c r="E22" i="10"/>
  <c r="D22" i="10"/>
  <c r="C22" i="10"/>
  <c r="B22" i="10"/>
  <c r="A22" i="10"/>
  <c r="G21" i="10"/>
  <c r="F21" i="10"/>
  <c r="E21" i="10"/>
  <c r="H21" i="10" s="1"/>
  <c r="D21" i="10"/>
  <c r="C21" i="10"/>
  <c r="B21" i="10"/>
  <c r="A21" i="10"/>
  <c r="G20" i="10"/>
  <c r="H20" i="10" s="1"/>
  <c r="F20" i="10"/>
  <c r="E20" i="10"/>
  <c r="D20" i="10"/>
  <c r="C20" i="10"/>
  <c r="B20" i="10"/>
  <c r="A20" i="10"/>
  <c r="G19" i="10"/>
  <c r="F19" i="10"/>
  <c r="H19" i="10" s="1"/>
  <c r="E19" i="10"/>
  <c r="D19" i="10"/>
  <c r="C19" i="10"/>
  <c r="B19" i="10"/>
  <c r="A19" i="10"/>
  <c r="G18" i="10"/>
  <c r="F18" i="10"/>
  <c r="E18" i="10"/>
  <c r="H18" i="10" s="1"/>
  <c r="D18" i="10"/>
  <c r="C18" i="10"/>
  <c r="B18" i="10"/>
  <c r="A18" i="10"/>
  <c r="H17" i="10"/>
  <c r="G17" i="10"/>
  <c r="F17" i="10"/>
  <c r="E17" i="10"/>
  <c r="D17" i="10"/>
  <c r="C17" i="10"/>
  <c r="B17" i="10"/>
  <c r="A17" i="10"/>
  <c r="G16" i="10"/>
  <c r="F16" i="10"/>
  <c r="H16" i="10" s="1"/>
  <c r="E16" i="10"/>
  <c r="D16" i="10"/>
  <c r="C16" i="10"/>
  <c r="B16" i="10"/>
  <c r="A16" i="10"/>
  <c r="G15" i="10"/>
  <c r="F15" i="10"/>
  <c r="E15" i="10"/>
  <c r="H15" i="10" s="1"/>
  <c r="D15" i="10"/>
  <c r="C15" i="10"/>
  <c r="B15" i="10"/>
  <c r="A15" i="10"/>
  <c r="G14" i="10"/>
  <c r="H14" i="10" s="1"/>
  <c r="F14" i="10"/>
  <c r="E14" i="10"/>
  <c r="D14" i="10"/>
  <c r="C14" i="10"/>
  <c r="B14" i="10"/>
  <c r="A14" i="10"/>
  <c r="G13" i="10"/>
  <c r="F13" i="10"/>
  <c r="H13" i="10" s="1"/>
  <c r="E13" i="10"/>
  <c r="D13" i="10"/>
  <c r="C13" i="10"/>
  <c r="B13" i="10"/>
  <c r="A13" i="10"/>
  <c r="G12" i="10"/>
  <c r="F12" i="10"/>
  <c r="E12" i="10"/>
  <c r="H12" i="10" s="1"/>
  <c r="D12" i="10"/>
  <c r="C12" i="10"/>
  <c r="B12" i="10"/>
  <c r="A12" i="10"/>
  <c r="G11" i="10"/>
  <c r="F11" i="10"/>
  <c r="H11" i="10" s="1"/>
  <c r="E11" i="10"/>
  <c r="D11" i="10"/>
  <c r="C11" i="10"/>
  <c r="B11" i="10"/>
  <c r="A11" i="10"/>
  <c r="G10" i="10"/>
  <c r="F10" i="10"/>
  <c r="H10" i="10" s="1"/>
  <c r="E10" i="10"/>
  <c r="D10" i="10"/>
  <c r="C10" i="10"/>
  <c r="B10" i="10"/>
  <c r="A10" i="10"/>
  <c r="G9" i="10"/>
  <c r="F9" i="10"/>
  <c r="E9" i="10"/>
  <c r="H9" i="10" s="1"/>
  <c r="D9" i="10"/>
  <c r="C9" i="10"/>
  <c r="B9" i="10"/>
  <c r="A9" i="10"/>
  <c r="G8" i="10"/>
  <c r="F8" i="10"/>
  <c r="E8" i="10"/>
  <c r="H8" i="10" s="1"/>
  <c r="D8" i="10"/>
  <c r="C8" i="10"/>
  <c r="B8" i="10"/>
  <c r="A8" i="10"/>
  <c r="G7" i="10"/>
  <c r="F7" i="10"/>
  <c r="H7" i="10" s="1"/>
  <c r="E7" i="10"/>
  <c r="D7" i="10"/>
  <c r="C7" i="10"/>
  <c r="B7" i="10"/>
  <c r="A7" i="10"/>
  <c r="G6" i="10"/>
  <c r="F6" i="10"/>
  <c r="E6" i="10"/>
  <c r="H6" i="10" s="1"/>
  <c r="D6" i="10"/>
  <c r="C6" i="10"/>
  <c r="B6" i="10"/>
  <c r="A6" i="10"/>
  <c r="G5" i="10"/>
  <c r="F5" i="10"/>
  <c r="E5" i="10"/>
  <c r="H5" i="10" s="1"/>
  <c r="D5" i="10"/>
  <c r="C5" i="10"/>
  <c r="B5" i="10"/>
  <c r="A5" i="10"/>
  <c r="G4" i="10"/>
  <c r="F4" i="10"/>
  <c r="H4" i="10" s="1"/>
  <c r="E4" i="10"/>
  <c r="D4" i="10"/>
  <c r="C4" i="10"/>
  <c r="B4" i="10"/>
  <c r="A4" i="10"/>
  <c r="G3" i="10"/>
  <c r="F3" i="10"/>
  <c r="E3" i="10"/>
  <c r="H3" i="10" s="1"/>
  <c r="D3" i="10"/>
  <c r="C3" i="10"/>
  <c r="B3" i="10"/>
  <c r="A3" i="10"/>
  <c r="H2" i="10"/>
  <c r="G2" i="10"/>
  <c r="F2" i="10"/>
  <c r="E2" i="10"/>
  <c r="D2" i="10"/>
  <c r="C2" i="10"/>
  <c r="B2" i="10"/>
  <c r="A2" i="10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301" i="12"/>
  <c r="H302" i="12"/>
  <c r="H303" i="12"/>
  <c r="H304" i="12"/>
  <c r="H305" i="12"/>
  <c r="H306" i="12"/>
  <c r="H307" i="12"/>
  <c r="H308" i="12"/>
  <c r="H309" i="12"/>
  <c r="H310" i="12"/>
  <c r="H311" i="12"/>
  <c r="H312" i="12"/>
  <c r="H313" i="12"/>
  <c r="H314" i="12"/>
  <c r="H315" i="12"/>
  <c r="H316" i="12"/>
  <c r="H317" i="12"/>
  <c r="H318" i="12"/>
  <c r="H319" i="12"/>
  <c r="H320" i="12"/>
  <c r="H321" i="12"/>
  <c r="H322" i="12"/>
  <c r="H323" i="12"/>
  <c r="H324" i="12"/>
  <c r="H325" i="12"/>
  <c r="H326" i="12"/>
  <c r="H327" i="12"/>
  <c r="H328" i="12"/>
  <c r="H329" i="12"/>
  <c r="H330" i="12"/>
  <c r="H331" i="12"/>
  <c r="H332" i="12"/>
  <c r="H333" i="12"/>
  <c r="H334" i="12"/>
  <c r="H335" i="12"/>
  <c r="H336" i="12"/>
  <c r="H337" i="12"/>
  <c r="H338" i="12"/>
  <c r="H339" i="12"/>
  <c r="H340" i="12"/>
  <c r="H341" i="12"/>
  <c r="H342" i="12"/>
  <c r="H343" i="12"/>
  <c r="H344" i="12"/>
  <c r="H345" i="12"/>
  <c r="H346" i="12"/>
  <c r="H347" i="12"/>
  <c r="H348" i="12"/>
  <c r="H349" i="12"/>
  <c r="H350" i="12"/>
  <c r="H351" i="12"/>
  <c r="H352" i="12"/>
  <c r="H353" i="12"/>
  <c r="H354" i="12"/>
  <c r="H355" i="12"/>
  <c r="H356" i="12"/>
  <c r="H357" i="12"/>
  <c r="H358" i="12"/>
  <c r="H359" i="12"/>
  <c r="H360" i="12"/>
  <c r="H361" i="12"/>
  <c r="H362" i="12"/>
  <c r="H363" i="12"/>
  <c r="H364" i="12"/>
  <c r="H365" i="12"/>
  <c r="H366" i="12"/>
  <c r="H367" i="12"/>
  <c r="H368" i="12"/>
  <c r="H369" i="12"/>
  <c r="H370" i="12"/>
  <c r="H371" i="12"/>
  <c r="H372" i="12"/>
  <c r="H373" i="12"/>
  <c r="H374" i="12"/>
  <c r="H375" i="12"/>
  <c r="H376" i="12"/>
  <c r="H377" i="12"/>
  <c r="H378" i="12"/>
  <c r="H379" i="12"/>
  <c r="H380" i="12"/>
  <c r="H381" i="12"/>
  <c r="H382" i="12"/>
  <c r="H383" i="12"/>
  <c r="H384" i="12"/>
  <c r="H385" i="12"/>
  <c r="H386" i="12"/>
  <c r="H387" i="12"/>
  <c r="H388" i="12"/>
  <c r="H389" i="12"/>
  <c r="H390" i="12"/>
  <c r="H391" i="12"/>
  <c r="H392" i="12"/>
  <c r="H393" i="12"/>
  <c r="H394" i="12"/>
  <c r="H395" i="12"/>
  <c r="H396" i="12"/>
  <c r="H397" i="12"/>
  <c r="H398" i="12"/>
  <c r="H399" i="12"/>
  <c r="H400" i="12"/>
  <c r="H401" i="12"/>
  <c r="H402" i="12"/>
  <c r="H403" i="12"/>
  <c r="H404" i="12"/>
  <c r="H405" i="12"/>
  <c r="H406" i="12"/>
  <c r="H407" i="12"/>
  <c r="H408" i="12"/>
  <c r="H409" i="12"/>
  <c r="H410" i="12"/>
  <c r="H411" i="12"/>
  <c r="H412" i="12"/>
  <c r="H413" i="12"/>
  <c r="H414" i="12"/>
  <c r="H415" i="12"/>
  <c r="H416" i="12"/>
  <c r="H417" i="12"/>
  <c r="H418" i="12"/>
  <c r="H419" i="12"/>
  <c r="H420" i="12"/>
  <c r="H421" i="12"/>
  <c r="H422" i="12"/>
  <c r="H423" i="12"/>
  <c r="H424" i="12"/>
  <c r="H425" i="12"/>
  <c r="H426" i="12"/>
  <c r="H427" i="12"/>
  <c r="H428" i="12"/>
  <c r="H429" i="12"/>
  <c r="H430" i="12"/>
  <c r="H431" i="12"/>
  <c r="H432" i="12"/>
  <c r="H433" i="12"/>
  <c r="H434" i="12"/>
  <c r="H435" i="12"/>
  <c r="H436" i="12"/>
  <c r="H437" i="12"/>
  <c r="H438" i="12"/>
  <c r="H439" i="12"/>
  <c r="H440" i="12"/>
  <c r="H441" i="12"/>
  <c r="H442" i="12"/>
  <c r="H443" i="12"/>
  <c r="H444" i="12"/>
  <c r="H445" i="12"/>
  <c r="H446" i="12"/>
  <c r="H447" i="12"/>
  <c r="H448" i="12"/>
  <c r="H449" i="12"/>
  <c r="H450" i="12"/>
  <c r="H451" i="12"/>
  <c r="H452" i="12"/>
  <c r="H453" i="12"/>
  <c r="H454" i="12"/>
  <c r="H455" i="12"/>
  <c r="H456" i="12"/>
  <c r="H457" i="12"/>
  <c r="H458" i="12"/>
  <c r="H459" i="12"/>
  <c r="H460" i="12"/>
  <c r="H461" i="12"/>
  <c r="H462" i="12"/>
  <c r="H463" i="12"/>
  <c r="H464" i="12"/>
  <c r="H465" i="12"/>
  <c r="H466" i="12"/>
  <c r="H467" i="12"/>
  <c r="H468" i="12"/>
  <c r="H469" i="12"/>
  <c r="H470" i="12"/>
  <c r="H471" i="12"/>
  <c r="H472" i="12"/>
  <c r="H473" i="12"/>
  <c r="H474" i="12"/>
  <c r="H475" i="12"/>
  <c r="H476" i="12"/>
  <c r="H477" i="12"/>
  <c r="H478" i="12"/>
  <c r="H479" i="12"/>
  <c r="H480" i="12"/>
  <c r="H481" i="12"/>
  <c r="H482" i="12"/>
  <c r="H483" i="12"/>
  <c r="H484" i="12"/>
  <c r="H485" i="12"/>
  <c r="H486" i="12"/>
  <c r="H487" i="12"/>
  <c r="H488" i="12"/>
  <c r="H489" i="12"/>
  <c r="H490" i="12"/>
  <c r="H491" i="12"/>
  <c r="H492" i="12"/>
  <c r="H493" i="12"/>
  <c r="H494" i="12"/>
  <c r="H495" i="12"/>
  <c r="H496" i="12"/>
  <c r="H497" i="12"/>
  <c r="H498" i="12"/>
  <c r="H499" i="12"/>
  <c r="H500" i="12"/>
  <c r="H501" i="12"/>
  <c r="H502" i="12"/>
  <c r="H503" i="12"/>
  <c r="H504" i="12"/>
  <c r="H505" i="12"/>
  <c r="H506" i="12"/>
  <c r="H507" i="12"/>
  <c r="H508" i="12"/>
  <c r="H509" i="12"/>
  <c r="H510" i="12"/>
  <c r="H511" i="12"/>
  <c r="H512" i="12"/>
  <c r="H513" i="12"/>
  <c r="H514" i="12"/>
  <c r="H515" i="12"/>
  <c r="H516" i="12"/>
  <c r="H517" i="12"/>
  <c r="H518" i="12"/>
  <c r="H519" i="12"/>
  <c r="H520" i="12"/>
  <c r="H521" i="12"/>
  <c r="H522" i="12"/>
  <c r="H523" i="12"/>
  <c r="H524" i="12"/>
  <c r="H525" i="12"/>
  <c r="H526" i="12"/>
  <c r="H527" i="12"/>
  <c r="H528" i="12"/>
  <c r="H529" i="12"/>
  <c r="H530" i="12"/>
  <c r="H531" i="12"/>
  <c r="H532" i="12"/>
  <c r="H533" i="12"/>
  <c r="H534" i="12"/>
  <c r="H535" i="12"/>
  <c r="H536" i="12"/>
  <c r="H537" i="12"/>
  <c r="H538" i="12"/>
  <c r="H539" i="12"/>
  <c r="H540" i="12"/>
  <c r="H541" i="12"/>
  <c r="H542" i="12"/>
  <c r="H543" i="12"/>
  <c r="H544" i="12"/>
  <c r="H545" i="12"/>
  <c r="H546" i="12"/>
  <c r="H547" i="12"/>
  <c r="H548" i="12"/>
  <c r="H549" i="12"/>
  <c r="H550" i="12"/>
  <c r="H551" i="12"/>
  <c r="H552" i="12"/>
  <c r="H553" i="12"/>
  <c r="H554" i="12"/>
  <c r="H555" i="12"/>
  <c r="H556" i="12"/>
  <c r="H557" i="12"/>
  <c r="H558" i="12"/>
  <c r="H559" i="12"/>
  <c r="H560" i="12"/>
  <c r="H561" i="12"/>
  <c r="H562" i="12"/>
  <c r="H563" i="12"/>
  <c r="H564" i="12"/>
  <c r="H565" i="12"/>
  <c r="H566" i="12"/>
  <c r="H567" i="12"/>
  <c r="H568" i="12"/>
  <c r="H569" i="12"/>
  <c r="H570" i="12"/>
  <c r="H571" i="12"/>
  <c r="H572" i="12"/>
  <c r="H573" i="12"/>
  <c r="H574" i="12"/>
  <c r="H575" i="12"/>
  <c r="H576" i="12"/>
  <c r="H577" i="12"/>
  <c r="H578" i="12"/>
  <c r="H579" i="12"/>
  <c r="H580" i="12"/>
  <c r="H581" i="12"/>
  <c r="H582" i="12"/>
  <c r="H583" i="12"/>
  <c r="H584" i="12"/>
  <c r="H585" i="12"/>
  <c r="H586" i="12"/>
  <c r="H587" i="12"/>
  <c r="H588" i="12"/>
  <c r="H589" i="12"/>
  <c r="H590" i="12"/>
  <c r="H591" i="12"/>
  <c r="H592" i="12"/>
  <c r="H593" i="12"/>
  <c r="H594" i="12"/>
  <c r="H595" i="12"/>
  <c r="H596" i="12"/>
  <c r="H597" i="12"/>
  <c r="H598" i="12"/>
  <c r="H599" i="12"/>
  <c r="H600" i="12"/>
  <c r="H601" i="12"/>
  <c r="H602" i="12"/>
  <c r="H603" i="12"/>
  <c r="H604" i="12"/>
  <c r="H605" i="12"/>
  <c r="H606" i="12"/>
  <c r="H607" i="12"/>
  <c r="H608" i="12"/>
  <c r="H609" i="12"/>
  <c r="H610" i="12"/>
  <c r="H611" i="12"/>
  <c r="H612" i="12"/>
  <c r="H613" i="12"/>
  <c r="H614" i="12"/>
  <c r="H615" i="12"/>
  <c r="H616" i="12"/>
  <c r="H617" i="12"/>
  <c r="H618" i="12"/>
  <c r="H619" i="12"/>
  <c r="H620" i="12"/>
  <c r="H621" i="12"/>
  <c r="H622" i="12"/>
  <c r="H623" i="12"/>
  <c r="H624" i="12"/>
  <c r="H625" i="12"/>
  <c r="H626" i="12"/>
  <c r="H627" i="12"/>
  <c r="H628" i="12"/>
  <c r="H629" i="12"/>
  <c r="H630" i="12"/>
  <c r="H631" i="12"/>
  <c r="H632" i="12"/>
  <c r="H633" i="12"/>
  <c r="H634" i="12"/>
  <c r="H635" i="12"/>
  <c r="H636" i="12"/>
  <c r="H637" i="12"/>
  <c r="H638" i="12"/>
  <c r="H639" i="12"/>
  <c r="H640" i="12"/>
  <c r="H641" i="12"/>
  <c r="H642" i="12"/>
  <c r="H643" i="12"/>
  <c r="H644" i="12"/>
  <c r="H645" i="12"/>
  <c r="H646" i="12"/>
  <c r="H647" i="12"/>
  <c r="H648" i="12"/>
  <c r="H649" i="12"/>
  <c r="H650" i="12"/>
  <c r="H651" i="12"/>
  <c r="H652" i="12"/>
  <c r="H653" i="12"/>
  <c r="H654" i="12"/>
  <c r="H655" i="12"/>
  <c r="H656" i="12"/>
  <c r="H657" i="12"/>
  <c r="H658" i="12"/>
  <c r="H659" i="12"/>
  <c r="H660" i="12"/>
  <c r="H661" i="12"/>
  <c r="H662" i="12"/>
  <c r="H663" i="12"/>
  <c r="H664" i="12"/>
  <c r="H665" i="12"/>
  <c r="H666" i="12"/>
  <c r="H667" i="12"/>
  <c r="H668" i="12"/>
  <c r="H669" i="12"/>
  <c r="H670" i="12"/>
  <c r="H671" i="12"/>
  <c r="H672" i="12"/>
  <c r="H673" i="12"/>
  <c r="H674" i="12"/>
  <c r="H675" i="12"/>
  <c r="H676" i="12"/>
  <c r="H677" i="12"/>
  <c r="H678" i="12"/>
  <c r="H679" i="12"/>
  <c r="H680" i="12"/>
  <c r="H681" i="12"/>
  <c r="H682" i="12"/>
  <c r="H683" i="12"/>
  <c r="H684" i="12"/>
  <c r="H685" i="12"/>
  <c r="H686" i="12"/>
  <c r="H687" i="12"/>
  <c r="H688" i="12"/>
  <c r="H689" i="12"/>
  <c r="H690" i="12"/>
  <c r="H691" i="12"/>
  <c r="H692" i="12"/>
  <c r="H693" i="12"/>
  <c r="H694" i="12"/>
  <c r="H695" i="12"/>
  <c r="H696" i="12"/>
  <c r="H697" i="12"/>
  <c r="H698" i="12"/>
  <c r="H699" i="12"/>
  <c r="H700" i="12"/>
  <c r="H701" i="12"/>
  <c r="H702" i="12"/>
  <c r="H703" i="12"/>
  <c r="H704" i="12"/>
  <c r="H705" i="12"/>
  <c r="H706" i="12"/>
  <c r="H707" i="12"/>
  <c r="H708" i="12"/>
  <c r="H709" i="12"/>
  <c r="H710" i="12"/>
  <c r="H711" i="12"/>
  <c r="H712" i="12"/>
  <c r="H713" i="12"/>
  <c r="H714" i="12"/>
  <c r="H715" i="12"/>
  <c r="H716" i="12"/>
  <c r="H717" i="12"/>
  <c r="H718" i="12"/>
  <c r="H719" i="12"/>
  <c r="H720" i="12"/>
  <c r="H721" i="12"/>
  <c r="H722" i="12"/>
  <c r="H723" i="12"/>
  <c r="H724" i="12"/>
  <c r="H725" i="12"/>
  <c r="H726" i="12"/>
  <c r="H727" i="12"/>
  <c r="H728" i="12"/>
  <c r="H729" i="12"/>
  <c r="H730" i="12"/>
  <c r="H731" i="12"/>
  <c r="H732" i="12"/>
  <c r="H733" i="12"/>
  <c r="H734" i="12"/>
  <c r="H735" i="12"/>
  <c r="H736" i="12"/>
  <c r="H737" i="12"/>
  <c r="H738" i="12"/>
  <c r="H739" i="12"/>
  <c r="H740" i="12"/>
  <c r="H741" i="12"/>
  <c r="H742" i="12"/>
  <c r="H743" i="12"/>
  <c r="H744" i="12"/>
  <c r="H745" i="12"/>
  <c r="H746" i="12"/>
  <c r="H747" i="12"/>
  <c r="H748" i="12"/>
  <c r="H749" i="12"/>
  <c r="H750" i="12"/>
  <c r="H751" i="12"/>
  <c r="H752" i="12"/>
  <c r="H753" i="12"/>
  <c r="H754" i="12"/>
  <c r="H755" i="12"/>
  <c r="H756" i="12"/>
  <c r="H757" i="12"/>
  <c r="H758" i="12"/>
  <c r="H759" i="12"/>
  <c r="H760" i="12"/>
  <c r="H761" i="12"/>
  <c r="H762" i="12"/>
  <c r="H763" i="12"/>
  <c r="H764" i="12"/>
  <c r="H765" i="12"/>
  <c r="H766" i="12"/>
  <c r="H767" i="12"/>
  <c r="H768" i="12"/>
  <c r="H769" i="12"/>
  <c r="H770" i="12"/>
  <c r="H771" i="12"/>
  <c r="H772" i="12"/>
  <c r="H773" i="12"/>
  <c r="H774" i="12"/>
  <c r="H775" i="12"/>
  <c r="H776" i="12"/>
  <c r="H777" i="12"/>
  <c r="H778" i="12"/>
  <c r="H779" i="12"/>
  <c r="H780" i="12"/>
  <c r="H781" i="12"/>
  <c r="H782" i="12"/>
  <c r="H783" i="12"/>
  <c r="H784" i="12"/>
  <c r="H785" i="12"/>
  <c r="H786" i="12"/>
  <c r="H787" i="12"/>
  <c r="H788" i="12"/>
  <c r="H789" i="12"/>
  <c r="H790" i="12"/>
  <c r="H791" i="12"/>
  <c r="H792" i="12"/>
  <c r="H793" i="12"/>
  <c r="H794" i="12"/>
  <c r="H795" i="12"/>
  <c r="H796" i="12"/>
  <c r="H797" i="12"/>
  <c r="H798" i="12"/>
  <c r="H799" i="12"/>
  <c r="H800" i="12"/>
  <c r="H801" i="12"/>
  <c r="H802" i="12"/>
  <c r="H803" i="12"/>
  <c r="H804" i="12"/>
  <c r="H805" i="12"/>
  <c r="H806" i="12"/>
  <c r="H807" i="12"/>
  <c r="H808" i="12"/>
  <c r="H809" i="12"/>
  <c r="H810" i="12"/>
  <c r="H811" i="12"/>
  <c r="H812" i="12"/>
  <c r="H813" i="12"/>
  <c r="H814" i="12"/>
  <c r="H815" i="12"/>
  <c r="H816" i="12"/>
  <c r="H817" i="12"/>
  <c r="H818" i="12"/>
  <c r="H819" i="12"/>
  <c r="H820" i="12"/>
  <c r="H821" i="12"/>
  <c r="H822" i="12"/>
  <c r="H823" i="12"/>
  <c r="H824" i="12"/>
  <c r="H825" i="12"/>
  <c r="H826" i="12"/>
  <c r="H827" i="12"/>
  <c r="H828" i="12"/>
  <c r="H829" i="12"/>
  <c r="H830" i="12"/>
  <c r="H831" i="12"/>
  <c r="H832" i="12"/>
  <c r="H833" i="12"/>
  <c r="H834" i="12"/>
  <c r="H835" i="12"/>
  <c r="H836" i="12"/>
  <c r="H837" i="12"/>
  <c r="H838" i="12"/>
  <c r="H839" i="12"/>
  <c r="H840" i="12"/>
  <c r="H841" i="12"/>
  <c r="H842" i="12"/>
  <c r="H843" i="12"/>
  <c r="H844" i="12"/>
  <c r="H845" i="12"/>
  <c r="H846" i="12"/>
  <c r="H847" i="12"/>
  <c r="H848" i="12"/>
  <c r="H849" i="12"/>
  <c r="H850" i="12"/>
  <c r="H851" i="12"/>
  <c r="H852" i="12"/>
  <c r="H853" i="12"/>
  <c r="H854" i="12"/>
  <c r="H855" i="12"/>
  <c r="H856" i="12"/>
  <c r="H857" i="12"/>
  <c r="H858" i="12"/>
  <c r="H859" i="12"/>
  <c r="H860" i="12"/>
  <c r="H861" i="12"/>
  <c r="H862" i="12"/>
  <c r="H863" i="12"/>
  <c r="H864" i="12"/>
  <c r="H865" i="12"/>
  <c r="H866" i="12"/>
  <c r="H867" i="12"/>
  <c r="H868" i="12"/>
  <c r="H869" i="12"/>
  <c r="H870" i="12"/>
  <c r="H871" i="12"/>
  <c r="H872" i="12"/>
  <c r="H873" i="12"/>
  <c r="H874" i="12"/>
  <c r="H875" i="12"/>
  <c r="H876" i="12"/>
  <c r="H877" i="12"/>
  <c r="H878" i="12"/>
  <c r="H879" i="12"/>
  <c r="H880" i="12"/>
  <c r="H881" i="12"/>
  <c r="H882" i="12"/>
  <c r="H883" i="12"/>
  <c r="H884" i="12"/>
  <c r="H885" i="12"/>
  <c r="H886" i="12"/>
  <c r="H887" i="12"/>
  <c r="H888" i="12"/>
  <c r="H889" i="12"/>
  <c r="H890" i="12"/>
  <c r="H891" i="12"/>
  <c r="H892" i="12"/>
  <c r="H893" i="12"/>
  <c r="H894" i="12"/>
  <c r="H895" i="12"/>
  <c r="H896" i="12"/>
  <c r="H897" i="12"/>
  <c r="H898" i="12"/>
  <c r="H899" i="12"/>
  <c r="H900" i="12"/>
  <c r="H901" i="12"/>
  <c r="H902" i="12"/>
  <c r="H903" i="12"/>
  <c r="H904" i="12"/>
  <c r="H905" i="12"/>
  <c r="H906" i="12"/>
  <c r="H907" i="12"/>
  <c r="H908" i="12"/>
  <c r="H909" i="12"/>
  <c r="H910" i="12"/>
  <c r="H911" i="12"/>
  <c r="H912" i="12"/>
  <c r="H913" i="12"/>
  <c r="H914" i="12"/>
  <c r="H915" i="12"/>
  <c r="H916" i="12"/>
  <c r="H917" i="12"/>
  <c r="H918" i="12"/>
  <c r="H919" i="12"/>
  <c r="H920" i="12"/>
  <c r="H921" i="12"/>
  <c r="H922" i="12"/>
  <c r="H923" i="12"/>
  <c r="H924" i="12"/>
  <c r="H925" i="12"/>
  <c r="H926" i="12"/>
  <c r="H927" i="12"/>
  <c r="H928" i="12"/>
  <c r="H929" i="12"/>
  <c r="H930" i="12"/>
  <c r="H931" i="12"/>
  <c r="H932" i="12"/>
  <c r="H933" i="12"/>
  <c r="H934" i="12"/>
  <c r="H935" i="12"/>
  <c r="H936" i="12"/>
  <c r="H937" i="12"/>
  <c r="H938" i="12"/>
  <c r="H939" i="12"/>
  <c r="H940" i="12"/>
  <c r="H941" i="12"/>
  <c r="H942" i="12"/>
  <c r="H943" i="12"/>
  <c r="H944" i="12"/>
  <c r="H945" i="12"/>
  <c r="H946" i="12"/>
  <c r="H947" i="12"/>
  <c r="H948" i="12"/>
  <c r="H949" i="12"/>
  <c r="H950" i="12"/>
  <c r="H951" i="12"/>
  <c r="H952" i="12"/>
  <c r="H953" i="12"/>
  <c r="H954" i="12"/>
  <c r="H955" i="12"/>
  <c r="H956" i="12"/>
  <c r="H957" i="12"/>
  <c r="H958" i="12"/>
  <c r="H959" i="12"/>
  <c r="H960" i="12"/>
  <c r="H961" i="12"/>
  <c r="H962" i="12"/>
  <c r="H963" i="12"/>
  <c r="H964" i="12"/>
  <c r="H965" i="12"/>
  <c r="H966" i="12"/>
  <c r="H967" i="12"/>
  <c r="H968" i="12"/>
  <c r="H969" i="12"/>
  <c r="H970" i="12"/>
  <c r="H971" i="12"/>
  <c r="H972" i="12"/>
  <c r="H973" i="12"/>
  <c r="H974" i="12"/>
  <c r="H975" i="12"/>
  <c r="H976" i="12"/>
  <c r="H977" i="12"/>
  <c r="H978" i="12"/>
  <c r="H979" i="12"/>
  <c r="H980" i="12"/>
  <c r="H981" i="12"/>
  <c r="H982" i="12"/>
  <c r="H983" i="12"/>
  <c r="H984" i="12"/>
  <c r="H985" i="12"/>
  <c r="H986" i="12"/>
  <c r="H987" i="12"/>
  <c r="H988" i="12"/>
  <c r="H989" i="12"/>
  <c r="H990" i="12"/>
  <c r="H991" i="12"/>
  <c r="H992" i="12"/>
  <c r="H993" i="12"/>
  <c r="H994" i="12"/>
  <c r="H995" i="12"/>
  <c r="H996" i="12"/>
  <c r="H997" i="12"/>
  <c r="H998" i="12"/>
  <c r="H999" i="12"/>
  <c r="H1000" i="12"/>
  <c r="H1001" i="12"/>
  <c r="H1002" i="12"/>
  <c r="H1003" i="12"/>
  <c r="H1004" i="12"/>
  <c r="H1005" i="12"/>
  <c r="H1006" i="12"/>
  <c r="H1007" i="12"/>
  <c r="H1008" i="12"/>
  <c r="H1009" i="12"/>
  <c r="H1010" i="12"/>
  <c r="H1011" i="12"/>
  <c r="H1012" i="12"/>
  <c r="H1013" i="12"/>
  <c r="H1014" i="12"/>
  <c r="H1015" i="12"/>
  <c r="H1016" i="12"/>
  <c r="H1017" i="12"/>
  <c r="H1018" i="12"/>
  <c r="H1019" i="12"/>
  <c r="H1020" i="12"/>
  <c r="H1021" i="12"/>
  <c r="H1022" i="12"/>
  <c r="H1023" i="12"/>
  <c r="H1024" i="12"/>
  <c r="H1025" i="12"/>
  <c r="H1026" i="12"/>
  <c r="H1027" i="12"/>
  <c r="H1028" i="12"/>
  <c r="H1029" i="12"/>
  <c r="H1030" i="12"/>
  <c r="H1031" i="12"/>
  <c r="H1032" i="12"/>
  <c r="H1033" i="12"/>
  <c r="H1034" i="12"/>
  <c r="H1035" i="12"/>
  <c r="H1036" i="12"/>
  <c r="H1037" i="12"/>
  <c r="H1038" i="12"/>
  <c r="H1039" i="12"/>
  <c r="H1040" i="12"/>
  <c r="H1041" i="12"/>
  <c r="H1042" i="12"/>
  <c r="H1043" i="12"/>
  <c r="H1044" i="12"/>
  <c r="H1045" i="12"/>
  <c r="H1046" i="12"/>
  <c r="H1047" i="12"/>
  <c r="H1048" i="12"/>
  <c r="H1049" i="12"/>
  <c r="H1050" i="12"/>
  <c r="H1051" i="12"/>
  <c r="H1052" i="12"/>
  <c r="H1053" i="12"/>
  <c r="H1054" i="12"/>
  <c r="H1055" i="12"/>
  <c r="H1056" i="12"/>
  <c r="H1057" i="12"/>
  <c r="H1058" i="12"/>
  <c r="H1059" i="12"/>
  <c r="H1060" i="12"/>
  <c r="H1061" i="12"/>
  <c r="H1062" i="12"/>
  <c r="H1063" i="12"/>
  <c r="H1064" i="12"/>
  <c r="H1065" i="12"/>
  <c r="H1066" i="12"/>
  <c r="H1067" i="12"/>
  <c r="H1068" i="12"/>
  <c r="H1069" i="12"/>
  <c r="H1070" i="12"/>
  <c r="H1071" i="12"/>
  <c r="H1072" i="12"/>
  <c r="H1073" i="12"/>
  <c r="H1074" i="12"/>
  <c r="H1075" i="12"/>
  <c r="H1076" i="12"/>
  <c r="H1077" i="12"/>
  <c r="H1078" i="12"/>
  <c r="H1079" i="12"/>
  <c r="H1080" i="12"/>
  <c r="H1081" i="12"/>
  <c r="H1082" i="12"/>
  <c r="H1083" i="12"/>
  <c r="H1084" i="12"/>
  <c r="H1085" i="12"/>
  <c r="H1086" i="12"/>
  <c r="H1087" i="12"/>
  <c r="H1088" i="12"/>
  <c r="H1089" i="12"/>
  <c r="H1090" i="12"/>
  <c r="H1091" i="12"/>
  <c r="H1092" i="12"/>
  <c r="H1093" i="12"/>
  <c r="H1094" i="12"/>
  <c r="H1095" i="12"/>
  <c r="H1096" i="12"/>
  <c r="H1097" i="12"/>
  <c r="H1098" i="12"/>
  <c r="H1099" i="12"/>
  <c r="H1100" i="12"/>
  <c r="H1101" i="12"/>
  <c r="H1102" i="12"/>
  <c r="H1103" i="12"/>
  <c r="H1104" i="12"/>
  <c r="H1105" i="12"/>
  <c r="H1106" i="12"/>
  <c r="H1107" i="12"/>
  <c r="H1108" i="12"/>
  <c r="H1109" i="12"/>
  <c r="H1110" i="12"/>
  <c r="H1111" i="12"/>
  <c r="H1112" i="12"/>
  <c r="H1113" i="12"/>
  <c r="H1114" i="12"/>
  <c r="H1115" i="12"/>
  <c r="H1116" i="12"/>
  <c r="H1117" i="12"/>
  <c r="H1118" i="12"/>
  <c r="H1119" i="12"/>
  <c r="H1120" i="12"/>
  <c r="H1121" i="12"/>
  <c r="H1122" i="12"/>
  <c r="H1123" i="12"/>
  <c r="H1124" i="12"/>
  <c r="H1125" i="12"/>
  <c r="H1126" i="12"/>
  <c r="H1127" i="12"/>
  <c r="H1128" i="12"/>
  <c r="H1129" i="12"/>
  <c r="H1130" i="12"/>
  <c r="H1131" i="12"/>
  <c r="H1132" i="12"/>
  <c r="H1133" i="12"/>
  <c r="H1134" i="12"/>
  <c r="H1135" i="12"/>
  <c r="H1136" i="12"/>
  <c r="H1137" i="12"/>
  <c r="H1138" i="12"/>
  <c r="H1139" i="12"/>
  <c r="H1140" i="12"/>
  <c r="H1141" i="12"/>
  <c r="H1142" i="12"/>
  <c r="H1143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H1155" i="12"/>
  <c r="H1156" i="12"/>
  <c r="H1157" i="12"/>
  <c r="H1158" i="12"/>
  <c r="H1159" i="12"/>
  <c r="H1160" i="12"/>
  <c r="H1161" i="12"/>
  <c r="H1162" i="12"/>
  <c r="H1163" i="12"/>
  <c r="H1164" i="12"/>
  <c r="H1165" i="12"/>
  <c r="H1166" i="12"/>
  <c r="H1167" i="12"/>
  <c r="H1168" i="12"/>
  <c r="H1169" i="12"/>
  <c r="H1170" i="12"/>
  <c r="H1171" i="12"/>
  <c r="H1172" i="12"/>
  <c r="H1173" i="12"/>
  <c r="H1174" i="12"/>
  <c r="H1175" i="12"/>
  <c r="H1176" i="12"/>
  <c r="H1177" i="12"/>
  <c r="H1178" i="12"/>
  <c r="H1179" i="12"/>
  <c r="H1180" i="12"/>
  <c r="H1181" i="12"/>
  <c r="H1182" i="12"/>
  <c r="H1183" i="12"/>
  <c r="H1184" i="12"/>
  <c r="H1185" i="12"/>
  <c r="H1186" i="12"/>
  <c r="H1187" i="12"/>
  <c r="H1188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2" i="12"/>
  <c r="G6" i="8"/>
  <c r="F6" i="8" a="1"/>
  <c r="F6" i="8" s="1"/>
  <c r="E6" i="8" a="1"/>
  <c r="E6" i="8" s="1"/>
  <c r="D6" i="8" a="1"/>
  <c r="D6" i="8" s="1"/>
  <c r="G5" i="8"/>
  <c r="F5" i="8" a="1"/>
  <c r="F5" i="8" s="1"/>
  <c r="E5" i="8" a="1"/>
  <c r="E5" i="8" s="1"/>
  <c r="D5" i="8" a="1"/>
  <c r="D5" i="8" s="1"/>
  <c r="G4" i="8"/>
  <c r="F4" i="8" a="1"/>
  <c r="F4" i="8" s="1"/>
  <c r="E4" i="8" a="1"/>
  <c r="E4" i="8" s="1"/>
  <c r="D4" i="8" a="1"/>
  <c r="D4" i="8" s="1"/>
  <c r="G3" i="8"/>
  <c r="F3" i="8" a="1"/>
  <c r="F3" i="8" s="1"/>
  <c r="E3" i="8" a="1"/>
  <c r="E3" i="8" s="1"/>
  <c r="D3" i="8" a="1"/>
  <c r="D3" i="8" s="1"/>
  <c r="G2" i="8"/>
  <c r="F2" i="8" a="1"/>
  <c r="F2" i="8" s="1"/>
  <c r="E2" i="8" a="1"/>
  <c r="E2" i="8" s="1"/>
  <c r="D2" i="8" a="1"/>
  <c r="D2" i="8" s="1"/>
  <c r="K1188" i="7"/>
  <c r="H1188" i="7"/>
  <c r="I1188" i="7" s="1"/>
  <c r="G1188" i="7"/>
  <c r="F1188" i="7"/>
  <c r="E1188" i="7"/>
  <c r="D1188" i="7"/>
  <c r="C1188" i="7"/>
  <c r="B1188" i="7"/>
  <c r="A1188" i="7"/>
  <c r="J1188" i="7" s="1"/>
  <c r="K1187" i="7"/>
  <c r="H1187" i="7"/>
  <c r="I1187" i="7" s="1"/>
  <c r="G1187" i="7"/>
  <c r="F1187" i="7"/>
  <c r="E1187" i="7"/>
  <c r="D1187" i="7"/>
  <c r="C1187" i="7"/>
  <c r="B1187" i="7"/>
  <c r="A1187" i="7"/>
  <c r="J1187" i="7" s="1"/>
  <c r="K1186" i="7"/>
  <c r="J1186" i="7"/>
  <c r="I1186" i="7"/>
  <c r="H1186" i="7"/>
  <c r="G1186" i="7"/>
  <c r="F1186" i="7"/>
  <c r="E1186" i="7"/>
  <c r="D1186" i="7"/>
  <c r="C1186" i="7"/>
  <c r="B1186" i="7"/>
  <c r="A1186" i="7"/>
  <c r="K1185" i="7"/>
  <c r="J1185" i="7"/>
  <c r="H1185" i="7"/>
  <c r="I1185" i="7" s="1"/>
  <c r="G1185" i="7"/>
  <c r="F1185" i="7"/>
  <c r="E1185" i="7"/>
  <c r="D1185" i="7"/>
  <c r="C1185" i="7"/>
  <c r="B1185" i="7"/>
  <c r="A1185" i="7"/>
  <c r="K1184" i="7"/>
  <c r="J1184" i="7"/>
  <c r="H1184" i="7"/>
  <c r="I1184" i="7" s="1"/>
  <c r="G1184" i="7"/>
  <c r="F1184" i="7"/>
  <c r="E1184" i="7"/>
  <c r="D1184" i="7"/>
  <c r="C1184" i="7"/>
  <c r="B1184" i="7"/>
  <c r="A1184" i="7"/>
  <c r="K1183" i="7"/>
  <c r="J1183" i="7"/>
  <c r="H1183" i="7"/>
  <c r="I1183" i="7" s="1"/>
  <c r="G1183" i="7"/>
  <c r="F1183" i="7"/>
  <c r="E1183" i="7"/>
  <c r="D1183" i="7"/>
  <c r="C1183" i="7"/>
  <c r="B1183" i="7"/>
  <c r="A1183" i="7"/>
  <c r="K1182" i="7"/>
  <c r="H1182" i="7"/>
  <c r="I1182" i="7" s="1"/>
  <c r="G1182" i="7"/>
  <c r="F1182" i="7"/>
  <c r="E1182" i="7"/>
  <c r="D1182" i="7"/>
  <c r="C1182" i="7"/>
  <c r="B1182" i="7"/>
  <c r="A1182" i="7"/>
  <c r="J1182" i="7" s="1"/>
  <c r="K1181" i="7"/>
  <c r="H1181" i="7"/>
  <c r="I1181" i="7" s="1"/>
  <c r="G1181" i="7"/>
  <c r="F1181" i="7"/>
  <c r="E1181" i="7"/>
  <c r="D1181" i="7"/>
  <c r="C1181" i="7"/>
  <c r="B1181" i="7"/>
  <c r="A1181" i="7"/>
  <c r="J1181" i="7" s="1"/>
  <c r="K1180" i="7"/>
  <c r="I1180" i="7"/>
  <c r="H1180" i="7"/>
  <c r="G1180" i="7"/>
  <c r="F1180" i="7"/>
  <c r="E1180" i="7"/>
  <c r="D1180" i="7"/>
  <c r="C1180" i="7"/>
  <c r="B1180" i="7"/>
  <c r="A1180" i="7"/>
  <c r="J1180" i="7" s="1"/>
  <c r="K1179" i="7"/>
  <c r="H1179" i="7"/>
  <c r="I1179" i="7" s="1"/>
  <c r="G1179" i="7"/>
  <c r="F1179" i="7"/>
  <c r="E1179" i="7"/>
  <c r="D1179" i="7"/>
  <c r="C1179" i="7"/>
  <c r="B1179" i="7"/>
  <c r="A1179" i="7"/>
  <c r="J1179" i="7" s="1"/>
  <c r="K1178" i="7"/>
  <c r="H1178" i="7"/>
  <c r="I1178" i="7" s="1"/>
  <c r="G1178" i="7"/>
  <c r="F1178" i="7"/>
  <c r="E1178" i="7"/>
  <c r="D1178" i="7"/>
  <c r="C1178" i="7"/>
  <c r="B1178" i="7"/>
  <c r="A1178" i="7"/>
  <c r="J1178" i="7" s="1"/>
  <c r="K1177" i="7"/>
  <c r="H1177" i="7"/>
  <c r="I1177" i="7" s="1"/>
  <c r="G1177" i="7"/>
  <c r="F1177" i="7"/>
  <c r="E1177" i="7"/>
  <c r="D1177" i="7"/>
  <c r="C1177" i="7"/>
  <c r="B1177" i="7"/>
  <c r="A1177" i="7"/>
  <c r="J1177" i="7" s="1"/>
  <c r="K1176" i="7"/>
  <c r="H1176" i="7"/>
  <c r="I1176" i="7" s="1"/>
  <c r="G1176" i="7"/>
  <c r="F1176" i="7"/>
  <c r="E1176" i="7"/>
  <c r="D1176" i="7"/>
  <c r="C1176" i="7"/>
  <c r="B1176" i="7"/>
  <c r="A1176" i="7"/>
  <c r="J1176" i="7" s="1"/>
  <c r="K1175" i="7"/>
  <c r="H1175" i="7"/>
  <c r="I1175" i="7" s="1"/>
  <c r="G1175" i="7"/>
  <c r="F1175" i="7"/>
  <c r="E1175" i="7"/>
  <c r="D1175" i="7"/>
  <c r="C1175" i="7"/>
  <c r="B1175" i="7"/>
  <c r="A1175" i="7"/>
  <c r="J1175" i="7" s="1"/>
  <c r="K1174" i="7"/>
  <c r="J1174" i="7"/>
  <c r="H1174" i="7"/>
  <c r="I1174" i="7" s="1"/>
  <c r="G1174" i="7"/>
  <c r="F1174" i="7"/>
  <c r="E1174" i="7"/>
  <c r="D1174" i="7"/>
  <c r="C1174" i="7"/>
  <c r="B1174" i="7"/>
  <c r="A1174" i="7"/>
  <c r="K1173" i="7"/>
  <c r="J1173" i="7"/>
  <c r="H1173" i="7"/>
  <c r="I1173" i="7" s="1"/>
  <c r="G1173" i="7"/>
  <c r="F1173" i="7"/>
  <c r="E1173" i="7"/>
  <c r="D1173" i="7"/>
  <c r="C1173" i="7"/>
  <c r="B1173" i="7"/>
  <c r="A1173" i="7"/>
  <c r="K1172" i="7"/>
  <c r="J1172" i="7"/>
  <c r="I1172" i="7"/>
  <c r="H1172" i="7"/>
  <c r="G1172" i="7"/>
  <c r="F1172" i="7"/>
  <c r="E1172" i="7"/>
  <c r="D1172" i="7"/>
  <c r="C1172" i="7"/>
  <c r="B1172" i="7"/>
  <c r="A1172" i="7"/>
  <c r="K1171" i="7"/>
  <c r="J1171" i="7"/>
  <c r="H1171" i="7"/>
  <c r="I1171" i="7" s="1"/>
  <c r="G1171" i="7"/>
  <c r="F1171" i="7"/>
  <c r="E1171" i="7"/>
  <c r="D1171" i="7"/>
  <c r="C1171" i="7"/>
  <c r="B1171" i="7"/>
  <c r="A1171" i="7"/>
  <c r="K1170" i="7"/>
  <c r="H1170" i="7"/>
  <c r="I1170" i="7" s="1"/>
  <c r="G1170" i="7"/>
  <c r="F1170" i="7"/>
  <c r="E1170" i="7"/>
  <c r="D1170" i="7"/>
  <c r="C1170" i="7"/>
  <c r="B1170" i="7"/>
  <c r="A1170" i="7"/>
  <c r="J1170" i="7" s="1"/>
  <c r="K1169" i="7"/>
  <c r="H1169" i="7"/>
  <c r="I1169" i="7" s="1"/>
  <c r="G1169" i="7"/>
  <c r="F1169" i="7"/>
  <c r="E1169" i="7"/>
  <c r="D1169" i="7"/>
  <c r="C1169" i="7"/>
  <c r="B1169" i="7"/>
  <c r="A1169" i="7"/>
  <c r="J1169" i="7" s="1"/>
  <c r="K1168" i="7"/>
  <c r="H1168" i="7"/>
  <c r="I1168" i="7" s="1"/>
  <c r="G1168" i="7"/>
  <c r="F1168" i="7"/>
  <c r="E1168" i="7"/>
  <c r="D1168" i="7"/>
  <c r="C1168" i="7"/>
  <c r="B1168" i="7"/>
  <c r="A1168" i="7"/>
  <c r="J1168" i="7" s="1"/>
  <c r="K1167" i="7"/>
  <c r="H1167" i="7"/>
  <c r="I1167" i="7" s="1"/>
  <c r="G1167" i="7"/>
  <c r="F1167" i="7"/>
  <c r="E1167" i="7"/>
  <c r="D1167" i="7"/>
  <c r="C1167" i="7"/>
  <c r="B1167" i="7"/>
  <c r="A1167" i="7"/>
  <c r="J1167" i="7" s="1"/>
  <c r="K1166" i="7"/>
  <c r="H1166" i="7"/>
  <c r="I1166" i="7" s="1"/>
  <c r="G1166" i="7"/>
  <c r="F1166" i="7"/>
  <c r="E1166" i="7"/>
  <c r="D1166" i="7"/>
  <c r="C1166" i="7"/>
  <c r="B1166" i="7"/>
  <c r="A1166" i="7"/>
  <c r="J1166" i="7" s="1"/>
  <c r="K1165" i="7"/>
  <c r="H1165" i="7"/>
  <c r="I1165" i="7" s="1"/>
  <c r="G1165" i="7"/>
  <c r="F1165" i="7"/>
  <c r="E1165" i="7"/>
  <c r="D1165" i="7"/>
  <c r="C1165" i="7"/>
  <c r="B1165" i="7"/>
  <c r="A1165" i="7"/>
  <c r="J1165" i="7" s="1"/>
  <c r="K1164" i="7"/>
  <c r="H1164" i="7"/>
  <c r="I1164" i="7" s="1"/>
  <c r="G1164" i="7"/>
  <c r="F1164" i="7"/>
  <c r="E1164" i="7"/>
  <c r="D1164" i="7"/>
  <c r="C1164" i="7"/>
  <c r="B1164" i="7"/>
  <c r="A1164" i="7"/>
  <c r="J1164" i="7" s="1"/>
  <c r="K1163" i="7"/>
  <c r="H1163" i="7"/>
  <c r="I1163" i="7" s="1"/>
  <c r="G1163" i="7"/>
  <c r="F1163" i="7"/>
  <c r="E1163" i="7"/>
  <c r="D1163" i="7"/>
  <c r="C1163" i="7"/>
  <c r="B1163" i="7"/>
  <c r="A1163" i="7"/>
  <c r="J1163" i="7" s="1"/>
  <c r="K1162" i="7"/>
  <c r="J1162" i="7"/>
  <c r="I1162" i="7"/>
  <c r="H1162" i="7"/>
  <c r="G1162" i="7"/>
  <c r="F1162" i="7"/>
  <c r="E1162" i="7"/>
  <c r="D1162" i="7"/>
  <c r="C1162" i="7"/>
  <c r="B1162" i="7"/>
  <c r="A1162" i="7"/>
  <c r="K1161" i="7"/>
  <c r="J1161" i="7"/>
  <c r="I1161" i="7"/>
  <c r="H1161" i="7"/>
  <c r="G1161" i="7"/>
  <c r="F1161" i="7"/>
  <c r="E1161" i="7"/>
  <c r="D1161" i="7"/>
  <c r="C1161" i="7"/>
  <c r="B1161" i="7"/>
  <c r="A1161" i="7"/>
  <c r="K1160" i="7"/>
  <c r="J1160" i="7"/>
  <c r="H1160" i="7"/>
  <c r="I1160" i="7" s="1"/>
  <c r="G1160" i="7"/>
  <c r="F1160" i="7"/>
  <c r="E1160" i="7"/>
  <c r="D1160" i="7"/>
  <c r="C1160" i="7"/>
  <c r="B1160" i="7"/>
  <c r="A1160" i="7"/>
  <c r="K1159" i="7"/>
  <c r="J1159" i="7"/>
  <c r="H1159" i="7"/>
  <c r="I1159" i="7" s="1"/>
  <c r="G1159" i="7"/>
  <c r="F1159" i="7"/>
  <c r="E1159" i="7"/>
  <c r="D1159" i="7"/>
  <c r="C1159" i="7"/>
  <c r="B1159" i="7"/>
  <c r="A1159" i="7"/>
  <c r="K1158" i="7"/>
  <c r="H1158" i="7"/>
  <c r="I1158" i="7" s="1"/>
  <c r="G1158" i="7"/>
  <c r="F1158" i="7"/>
  <c r="E1158" i="7"/>
  <c r="D1158" i="7"/>
  <c r="C1158" i="7"/>
  <c r="B1158" i="7"/>
  <c r="A1158" i="7"/>
  <c r="J1158" i="7" s="1"/>
  <c r="K1157" i="7"/>
  <c r="H1157" i="7"/>
  <c r="I1157" i="7" s="1"/>
  <c r="G1157" i="7"/>
  <c r="F1157" i="7"/>
  <c r="E1157" i="7"/>
  <c r="D1157" i="7"/>
  <c r="C1157" i="7"/>
  <c r="B1157" i="7"/>
  <c r="A1157" i="7"/>
  <c r="J1157" i="7" s="1"/>
  <c r="K1156" i="7"/>
  <c r="I1156" i="7"/>
  <c r="H1156" i="7"/>
  <c r="G1156" i="7"/>
  <c r="F1156" i="7"/>
  <c r="E1156" i="7"/>
  <c r="D1156" i="7"/>
  <c r="C1156" i="7"/>
  <c r="B1156" i="7"/>
  <c r="A1156" i="7"/>
  <c r="J1156" i="7" s="1"/>
  <c r="K1155" i="7"/>
  <c r="H1155" i="7"/>
  <c r="I1155" i="7" s="1"/>
  <c r="G1155" i="7"/>
  <c r="F1155" i="7"/>
  <c r="E1155" i="7"/>
  <c r="D1155" i="7"/>
  <c r="C1155" i="7"/>
  <c r="B1155" i="7"/>
  <c r="A1155" i="7"/>
  <c r="J1155" i="7" s="1"/>
  <c r="K1154" i="7"/>
  <c r="H1154" i="7"/>
  <c r="I1154" i="7" s="1"/>
  <c r="G1154" i="7"/>
  <c r="F1154" i="7"/>
  <c r="E1154" i="7"/>
  <c r="D1154" i="7"/>
  <c r="C1154" i="7"/>
  <c r="B1154" i="7"/>
  <c r="A1154" i="7"/>
  <c r="J1154" i="7" s="1"/>
  <c r="K1153" i="7"/>
  <c r="H1153" i="7"/>
  <c r="I1153" i="7" s="1"/>
  <c r="G1153" i="7"/>
  <c r="F1153" i="7"/>
  <c r="E1153" i="7"/>
  <c r="D1153" i="7"/>
  <c r="C1153" i="7"/>
  <c r="B1153" i="7"/>
  <c r="A1153" i="7"/>
  <c r="J1153" i="7" s="1"/>
  <c r="K1152" i="7"/>
  <c r="H1152" i="7"/>
  <c r="I1152" i="7" s="1"/>
  <c r="G1152" i="7"/>
  <c r="F1152" i="7"/>
  <c r="E1152" i="7"/>
  <c r="D1152" i="7"/>
  <c r="C1152" i="7"/>
  <c r="B1152" i="7"/>
  <c r="A1152" i="7"/>
  <c r="J1152" i="7" s="1"/>
  <c r="K1151" i="7"/>
  <c r="H1151" i="7"/>
  <c r="I1151" i="7" s="1"/>
  <c r="G1151" i="7"/>
  <c r="F1151" i="7"/>
  <c r="E1151" i="7"/>
  <c r="D1151" i="7"/>
  <c r="C1151" i="7"/>
  <c r="B1151" i="7"/>
  <c r="A1151" i="7"/>
  <c r="J1151" i="7" s="1"/>
  <c r="K1150" i="7"/>
  <c r="J1150" i="7"/>
  <c r="H1150" i="7"/>
  <c r="I1150" i="7" s="1"/>
  <c r="G1150" i="7"/>
  <c r="F1150" i="7"/>
  <c r="E1150" i="7"/>
  <c r="D1150" i="7"/>
  <c r="C1150" i="7"/>
  <c r="B1150" i="7"/>
  <c r="A1150" i="7"/>
  <c r="K1149" i="7"/>
  <c r="J1149" i="7"/>
  <c r="H1149" i="7"/>
  <c r="I1149" i="7" s="1"/>
  <c r="G1149" i="7"/>
  <c r="F1149" i="7"/>
  <c r="E1149" i="7"/>
  <c r="D1149" i="7"/>
  <c r="C1149" i="7"/>
  <c r="B1149" i="7"/>
  <c r="A1149" i="7"/>
  <c r="K1148" i="7"/>
  <c r="H1148" i="7"/>
  <c r="I1148" i="7" s="1"/>
  <c r="G1148" i="7"/>
  <c r="F1148" i="7"/>
  <c r="E1148" i="7"/>
  <c r="D1148" i="7"/>
  <c r="C1148" i="7"/>
  <c r="B1148" i="7"/>
  <c r="A1148" i="7"/>
  <c r="J1148" i="7" s="1"/>
  <c r="K1147" i="7"/>
  <c r="J1147" i="7"/>
  <c r="H1147" i="7"/>
  <c r="I1147" i="7" s="1"/>
  <c r="G1147" i="7"/>
  <c r="F1147" i="7"/>
  <c r="E1147" i="7"/>
  <c r="D1147" i="7"/>
  <c r="C1147" i="7"/>
  <c r="B1147" i="7"/>
  <c r="A1147" i="7"/>
  <c r="K1146" i="7"/>
  <c r="H1146" i="7"/>
  <c r="I1146" i="7" s="1"/>
  <c r="G1146" i="7"/>
  <c r="F1146" i="7"/>
  <c r="E1146" i="7"/>
  <c r="D1146" i="7"/>
  <c r="C1146" i="7"/>
  <c r="B1146" i="7"/>
  <c r="A1146" i="7"/>
  <c r="J1146" i="7" s="1"/>
  <c r="K1145" i="7"/>
  <c r="H1145" i="7"/>
  <c r="I1145" i="7" s="1"/>
  <c r="G1145" i="7"/>
  <c r="F1145" i="7"/>
  <c r="E1145" i="7"/>
  <c r="D1145" i="7"/>
  <c r="C1145" i="7"/>
  <c r="B1145" i="7"/>
  <c r="A1145" i="7"/>
  <c r="J1145" i="7" s="1"/>
  <c r="K1144" i="7"/>
  <c r="I1144" i="7"/>
  <c r="H1144" i="7"/>
  <c r="G1144" i="7"/>
  <c r="F1144" i="7"/>
  <c r="E1144" i="7"/>
  <c r="D1144" i="7"/>
  <c r="C1144" i="7"/>
  <c r="B1144" i="7"/>
  <c r="A1144" i="7"/>
  <c r="J1144" i="7" s="1"/>
  <c r="K1143" i="7"/>
  <c r="H1143" i="7"/>
  <c r="I1143" i="7" s="1"/>
  <c r="G1143" i="7"/>
  <c r="F1143" i="7"/>
  <c r="E1143" i="7"/>
  <c r="D1143" i="7"/>
  <c r="C1143" i="7"/>
  <c r="B1143" i="7"/>
  <c r="A1143" i="7"/>
  <c r="J1143" i="7" s="1"/>
  <c r="K1142" i="7"/>
  <c r="H1142" i="7"/>
  <c r="I1142" i="7" s="1"/>
  <c r="G1142" i="7"/>
  <c r="F1142" i="7"/>
  <c r="E1142" i="7"/>
  <c r="D1142" i="7"/>
  <c r="C1142" i="7"/>
  <c r="B1142" i="7"/>
  <c r="A1142" i="7"/>
  <c r="J1142" i="7" s="1"/>
  <c r="K1141" i="7"/>
  <c r="H1141" i="7"/>
  <c r="I1141" i="7" s="1"/>
  <c r="G1141" i="7"/>
  <c r="F1141" i="7"/>
  <c r="E1141" i="7"/>
  <c r="D1141" i="7"/>
  <c r="C1141" i="7"/>
  <c r="B1141" i="7"/>
  <c r="A1141" i="7"/>
  <c r="J1141" i="7" s="1"/>
  <c r="K1140" i="7"/>
  <c r="H1140" i="7"/>
  <c r="I1140" i="7" s="1"/>
  <c r="G1140" i="7"/>
  <c r="F1140" i="7"/>
  <c r="E1140" i="7"/>
  <c r="D1140" i="7"/>
  <c r="C1140" i="7"/>
  <c r="B1140" i="7"/>
  <c r="A1140" i="7"/>
  <c r="J1140" i="7" s="1"/>
  <c r="K1139" i="7"/>
  <c r="H1139" i="7"/>
  <c r="I1139" i="7" s="1"/>
  <c r="G1139" i="7"/>
  <c r="F1139" i="7"/>
  <c r="E1139" i="7"/>
  <c r="D1139" i="7"/>
  <c r="C1139" i="7"/>
  <c r="B1139" i="7"/>
  <c r="A1139" i="7"/>
  <c r="J1139" i="7" s="1"/>
  <c r="K1138" i="7"/>
  <c r="J1138" i="7"/>
  <c r="I1138" i="7"/>
  <c r="H1138" i="7"/>
  <c r="G1138" i="7"/>
  <c r="F1138" i="7"/>
  <c r="E1138" i="7"/>
  <c r="D1138" i="7"/>
  <c r="C1138" i="7"/>
  <c r="B1138" i="7"/>
  <c r="A1138" i="7"/>
  <c r="K1137" i="7"/>
  <c r="J1137" i="7"/>
  <c r="H1137" i="7"/>
  <c r="I1137" i="7" s="1"/>
  <c r="G1137" i="7"/>
  <c r="F1137" i="7"/>
  <c r="E1137" i="7"/>
  <c r="D1137" i="7"/>
  <c r="C1137" i="7"/>
  <c r="B1137" i="7"/>
  <c r="A1137" i="7"/>
  <c r="K1136" i="7"/>
  <c r="H1136" i="7"/>
  <c r="I1136" i="7" s="1"/>
  <c r="G1136" i="7"/>
  <c r="F1136" i="7"/>
  <c r="E1136" i="7"/>
  <c r="D1136" i="7"/>
  <c r="C1136" i="7"/>
  <c r="B1136" i="7"/>
  <c r="A1136" i="7"/>
  <c r="J1136" i="7" s="1"/>
  <c r="K1135" i="7"/>
  <c r="J1135" i="7"/>
  <c r="H1135" i="7"/>
  <c r="I1135" i="7" s="1"/>
  <c r="G1135" i="7"/>
  <c r="F1135" i="7"/>
  <c r="E1135" i="7"/>
  <c r="D1135" i="7"/>
  <c r="C1135" i="7"/>
  <c r="B1135" i="7"/>
  <c r="A1135" i="7"/>
  <c r="K1134" i="7"/>
  <c r="H1134" i="7"/>
  <c r="I1134" i="7" s="1"/>
  <c r="G1134" i="7"/>
  <c r="F1134" i="7"/>
  <c r="E1134" i="7"/>
  <c r="D1134" i="7"/>
  <c r="C1134" i="7"/>
  <c r="B1134" i="7"/>
  <c r="A1134" i="7"/>
  <c r="J1134" i="7" s="1"/>
  <c r="K1133" i="7"/>
  <c r="I1133" i="7"/>
  <c r="H1133" i="7"/>
  <c r="G1133" i="7"/>
  <c r="F1133" i="7"/>
  <c r="E1133" i="7"/>
  <c r="D1133" i="7"/>
  <c r="C1133" i="7"/>
  <c r="B1133" i="7"/>
  <c r="A1133" i="7"/>
  <c r="J1133" i="7" s="1"/>
  <c r="K1132" i="7"/>
  <c r="J1132" i="7"/>
  <c r="I1132" i="7"/>
  <c r="H1132" i="7"/>
  <c r="G1132" i="7"/>
  <c r="F1132" i="7"/>
  <c r="E1132" i="7"/>
  <c r="D1132" i="7"/>
  <c r="C1132" i="7"/>
  <c r="B1132" i="7"/>
  <c r="A1132" i="7"/>
  <c r="K1131" i="7"/>
  <c r="H1131" i="7"/>
  <c r="I1131" i="7" s="1"/>
  <c r="G1131" i="7"/>
  <c r="F1131" i="7"/>
  <c r="E1131" i="7"/>
  <c r="D1131" i="7"/>
  <c r="C1131" i="7"/>
  <c r="B1131" i="7"/>
  <c r="A1131" i="7"/>
  <c r="J1131" i="7" s="1"/>
  <c r="K1130" i="7"/>
  <c r="H1130" i="7"/>
  <c r="I1130" i="7" s="1"/>
  <c r="G1130" i="7"/>
  <c r="F1130" i="7"/>
  <c r="E1130" i="7"/>
  <c r="D1130" i="7"/>
  <c r="C1130" i="7"/>
  <c r="B1130" i="7"/>
  <c r="A1130" i="7"/>
  <c r="J1130" i="7" s="1"/>
  <c r="K1129" i="7"/>
  <c r="H1129" i="7"/>
  <c r="I1129" i="7" s="1"/>
  <c r="G1129" i="7"/>
  <c r="F1129" i="7"/>
  <c r="E1129" i="7"/>
  <c r="D1129" i="7"/>
  <c r="C1129" i="7"/>
  <c r="B1129" i="7"/>
  <c r="A1129" i="7"/>
  <c r="J1129" i="7" s="1"/>
  <c r="K1128" i="7"/>
  <c r="H1128" i="7"/>
  <c r="I1128" i="7" s="1"/>
  <c r="G1128" i="7"/>
  <c r="F1128" i="7"/>
  <c r="E1128" i="7"/>
  <c r="D1128" i="7"/>
  <c r="C1128" i="7"/>
  <c r="B1128" i="7"/>
  <c r="A1128" i="7"/>
  <c r="J1128" i="7" s="1"/>
  <c r="K1127" i="7"/>
  <c r="J1127" i="7"/>
  <c r="H1127" i="7"/>
  <c r="I1127" i="7" s="1"/>
  <c r="G1127" i="7"/>
  <c r="F1127" i="7"/>
  <c r="E1127" i="7"/>
  <c r="D1127" i="7"/>
  <c r="C1127" i="7"/>
  <c r="B1127" i="7"/>
  <c r="A1127" i="7"/>
  <c r="K1126" i="7"/>
  <c r="J1126" i="7"/>
  <c r="H1126" i="7"/>
  <c r="I1126" i="7" s="1"/>
  <c r="G1126" i="7"/>
  <c r="F1126" i="7"/>
  <c r="E1126" i="7"/>
  <c r="D1126" i="7"/>
  <c r="C1126" i="7"/>
  <c r="B1126" i="7"/>
  <c r="A1126" i="7"/>
  <c r="K1125" i="7"/>
  <c r="J1125" i="7"/>
  <c r="H1125" i="7"/>
  <c r="I1125" i="7" s="1"/>
  <c r="G1125" i="7"/>
  <c r="F1125" i="7"/>
  <c r="E1125" i="7"/>
  <c r="D1125" i="7"/>
  <c r="C1125" i="7"/>
  <c r="B1125" i="7"/>
  <c r="A1125" i="7"/>
  <c r="K1124" i="7"/>
  <c r="J1124" i="7"/>
  <c r="H1124" i="7"/>
  <c r="I1124" i="7" s="1"/>
  <c r="G1124" i="7"/>
  <c r="F1124" i="7"/>
  <c r="E1124" i="7"/>
  <c r="D1124" i="7"/>
  <c r="C1124" i="7"/>
  <c r="B1124" i="7"/>
  <c r="A1124" i="7"/>
  <c r="K1123" i="7"/>
  <c r="J1123" i="7"/>
  <c r="H1123" i="7"/>
  <c r="I1123" i="7" s="1"/>
  <c r="G1123" i="7"/>
  <c r="F1123" i="7"/>
  <c r="E1123" i="7"/>
  <c r="D1123" i="7"/>
  <c r="C1123" i="7"/>
  <c r="B1123" i="7"/>
  <c r="A1123" i="7"/>
  <c r="K1122" i="7"/>
  <c r="H1122" i="7"/>
  <c r="I1122" i="7" s="1"/>
  <c r="G1122" i="7"/>
  <c r="F1122" i="7"/>
  <c r="E1122" i="7"/>
  <c r="D1122" i="7"/>
  <c r="C1122" i="7"/>
  <c r="B1122" i="7"/>
  <c r="A1122" i="7"/>
  <c r="J1122" i="7" s="1"/>
  <c r="K1121" i="7"/>
  <c r="J1121" i="7"/>
  <c r="I1121" i="7"/>
  <c r="H1121" i="7"/>
  <c r="G1121" i="7"/>
  <c r="F1121" i="7"/>
  <c r="E1121" i="7"/>
  <c r="D1121" i="7"/>
  <c r="C1121" i="7"/>
  <c r="B1121" i="7"/>
  <c r="A1121" i="7"/>
  <c r="K1120" i="7"/>
  <c r="J1120" i="7"/>
  <c r="I1120" i="7"/>
  <c r="H1120" i="7"/>
  <c r="G1120" i="7"/>
  <c r="F1120" i="7"/>
  <c r="E1120" i="7"/>
  <c r="D1120" i="7"/>
  <c r="C1120" i="7"/>
  <c r="B1120" i="7"/>
  <c r="A1120" i="7"/>
  <c r="K1119" i="7"/>
  <c r="H1119" i="7"/>
  <c r="I1119" i="7" s="1"/>
  <c r="G1119" i="7"/>
  <c r="F1119" i="7"/>
  <c r="E1119" i="7"/>
  <c r="D1119" i="7"/>
  <c r="C1119" i="7"/>
  <c r="B1119" i="7"/>
  <c r="A1119" i="7"/>
  <c r="J1119" i="7" s="1"/>
  <c r="K1118" i="7"/>
  <c r="H1118" i="7"/>
  <c r="I1118" i="7" s="1"/>
  <c r="G1118" i="7"/>
  <c r="F1118" i="7"/>
  <c r="E1118" i="7"/>
  <c r="D1118" i="7"/>
  <c r="C1118" i="7"/>
  <c r="B1118" i="7"/>
  <c r="A1118" i="7"/>
  <c r="J1118" i="7" s="1"/>
  <c r="K1117" i="7"/>
  <c r="H1117" i="7"/>
  <c r="I1117" i="7" s="1"/>
  <c r="G1117" i="7"/>
  <c r="F1117" i="7"/>
  <c r="E1117" i="7"/>
  <c r="D1117" i="7"/>
  <c r="C1117" i="7"/>
  <c r="B1117" i="7"/>
  <c r="A1117" i="7"/>
  <c r="J1117" i="7" s="1"/>
  <c r="K1116" i="7"/>
  <c r="I1116" i="7"/>
  <c r="H1116" i="7"/>
  <c r="G1116" i="7"/>
  <c r="F1116" i="7"/>
  <c r="E1116" i="7"/>
  <c r="D1116" i="7"/>
  <c r="C1116" i="7"/>
  <c r="B1116" i="7"/>
  <c r="A1116" i="7"/>
  <c r="J1116" i="7" s="1"/>
  <c r="K1115" i="7"/>
  <c r="J1115" i="7"/>
  <c r="H1115" i="7"/>
  <c r="I1115" i="7" s="1"/>
  <c r="G1115" i="7"/>
  <c r="F1115" i="7"/>
  <c r="E1115" i="7"/>
  <c r="D1115" i="7"/>
  <c r="C1115" i="7"/>
  <c r="B1115" i="7"/>
  <c r="A1115" i="7"/>
  <c r="K1114" i="7"/>
  <c r="J1114" i="7"/>
  <c r="H1114" i="7"/>
  <c r="I1114" i="7" s="1"/>
  <c r="G1114" i="7"/>
  <c r="F1114" i="7"/>
  <c r="E1114" i="7"/>
  <c r="D1114" i="7"/>
  <c r="C1114" i="7"/>
  <c r="B1114" i="7"/>
  <c r="A1114" i="7"/>
  <c r="K1113" i="7"/>
  <c r="H1113" i="7"/>
  <c r="I1113" i="7" s="1"/>
  <c r="G1113" i="7"/>
  <c r="F1113" i="7"/>
  <c r="E1113" i="7"/>
  <c r="D1113" i="7"/>
  <c r="C1113" i="7"/>
  <c r="B1113" i="7"/>
  <c r="A1113" i="7"/>
  <c r="J1113" i="7" s="1"/>
  <c r="K1112" i="7"/>
  <c r="I1112" i="7"/>
  <c r="H1112" i="7"/>
  <c r="G1112" i="7"/>
  <c r="F1112" i="7"/>
  <c r="E1112" i="7"/>
  <c r="D1112" i="7"/>
  <c r="C1112" i="7"/>
  <c r="B1112" i="7"/>
  <c r="A1112" i="7"/>
  <c r="J1112" i="7" s="1"/>
  <c r="K1111" i="7"/>
  <c r="H1111" i="7"/>
  <c r="I1111" i="7" s="1"/>
  <c r="G1111" i="7"/>
  <c r="F1111" i="7"/>
  <c r="E1111" i="7"/>
  <c r="D1111" i="7"/>
  <c r="C1111" i="7"/>
  <c r="B1111" i="7"/>
  <c r="A1111" i="7"/>
  <c r="J1111" i="7" s="1"/>
  <c r="K1110" i="7"/>
  <c r="H1110" i="7"/>
  <c r="I1110" i="7" s="1"/>
  <c r="G1110" i="7"/>
  <c r="F1110" i="7"/>
  <c r="E1110" i="7"/>
  <c r="D1110" i="7"/>
  <c r="C1110" i="7"/>
  <c r="B1110" i="7"/>
  <c r="A1110" i="7"/>
  <c r="J1110" i="7" s="1"/>
  <c r="K1109" i="7"/>
  <c r="J1109" i="7"/>
  <c r="I1109" i="7"/>
  <c r="H1109" i="7"/>
  <c r="G1109" i="7"/>
  <c r="F1109" i="7"/>
  <c r="E1109" i="7"/>
  <c r="D1109" i="7"/>
  <c r="C1109" i="7"/>
  <c r="B1109" i="7"/>
  <c r="A1109" i="7"/>
  <c r="K1108" i="7"/>
  <c r="I1108" i="7"/>
  <c r="H1108" i="7"/>
  <c r="G1108" i="7"/>
  <c r="F1108" i="7"/>
  <c r="E1108" i="7"/>
  <c r="D1108" i="7"/>
  <c r="C1108" i="7"/>
  <c r="B1108" i="7"/>
  <c r="A1108" i="7"/>
  <c r="J1108" i="7" s="1"/>
  <c r="K1107" i="7"/>
  <c r="H1107" i="7"/>
  <c r="I1107" i="7" s="1"/>
  <c r="G1107" i="7"/>
  <c r="F1107" i="7"/>
  <c r="E1107" i="7"/>
  <c r="D1107" i="7"/>
  <c r="C1107" i="7"/>
  <c r="B1107" i="7"/>
  <c r="A1107" i="7"/>
  <c r="J1107" i="7" s="1"/>
  <c r="K1106" i="7"/>
  <c r="H1106" i="7"/>
  <c r="I1106" i="7" s="1"/>
  <c r="G1106" i="7"/>
  <c r="F1106" i="7"/>
  <c r="E1106" i="7"/>
  <c r="D1106" i="7"/>
  <c r="C1106" i="7"/>
  <c r="B1106" i="7"/>
  <c r="A1106" i="7"/>
  <c r="J1106" i="7" s="1"/>
  <c r="K1105" i="7"/>
  <c r="H1105" i="7"/>
  <c r="I1105" i="7" s="1"/>
  <c r="G1105" i="7"/>
  <c r="F1105" i="7"/>
  <c r="E1105" i="7"/>
  <c r="D1105" i="7"/>
  <c r="C1105" i="7"/>
  <c r="B1105" i="7"/>
  <c r="A1105" i="7"/>
  <c r="J1105" i="7" s="1"/>
  <c r="K1104" i="7"/>
  <c r="J1104" i="7"/>
  <c r="I1104" i="7"/>
  <c r="H1104" i="7"/>
  <c r="G1104" i="7"/>
  <c r="F1104" i="7"/>
  <c r="E1104" i="7"/>
  <c r="D1104" i="7"/>
  <c r="C1104" i="7"/>
  <c r="B1104" i="7"/>
  <c r="A1104" i="7"/>
  <c r="K1103" i="7"/>
  <c r="J1103" i="7"/>
  <c r="H1103" i="7"/>
  <c r="I1103" i="7" s="1"/>
  <c r="G1103" i="7"/>
  <c r="F1103" i="7"/>
  <c r="E1103" i="7"/>
  <c r="D1103" i="7"/>
  <c r="C1103" i="7"/>
  <c r="B1103" i="7"/>
  <c r="A1103" i="7"/>
  <c r="K1102" i="7"/>
  <c r="J1102" i="7"/>
  <c r="H1102" i="7"/>
  <c r="I1102" i="7" s="1"/>
  <c r="G1102" i="7"/>
  <c r="F1102" i="7"/>
  <c r="E1102" i="7"/>
  <c r="D1102" i="7"/>
  <c r="C1102" i="7"/>
  <c r="B1102" i="7"/>
  <c r="A1102" i="7"/>
  <c r="K1101" i="7"/>
  <c r="J1101" i="7"/>
  <c r="H1101" i="7"/>
  <c r="I1101" i="7" s="1"/>
  <c r="G1101" i="7"/>
  <c r="F1101" i="7"/>
  <c r="E1101" i="7"/>
  <c r="D1101" i="7"/>
  <c r="C1101" i="7"/>
  <c r="B1101" i="7"/>
  <c r="A1101" i="7"/>
  <c r="K1100" i="7"/>
  <c r="I1100" i="7"/>
  <c r="H1100" i="7"/>
  <c r="G1100" i="7"/>
  <c r="F1100" i="7"/>
  <c r="E1100" i="7"/>
  <c r="D1100" i="7"/>
  <c r="C1100" i="7"/>
  <c r="B1100" i="7"/>
  <c r="A1100" i="7"/>
  <c r="J1100" i="7" s="1"/>
  <c r="K1099" i="7"/>
  <c r="H1099" i="7"/>
  <c r="I1099" i="7" s="1"/>
  <c r="G1099" i="7"/>
  <c r="F1099" i="7"/>
  <c r="E1099" i="7"/>
  <c r="D1099" i="7"/>
  <c r="C1099" i="7"/>
  <c r="B1099" i="7"/>
  <c r="A1099" i="7"/>
  <c r="J1099" i="7" s="1"/>
  <c r="K1098" i="7"/>
  <c r="H1098" i="7"/>
  <c r="I1098" i="7" s="1"/>
  <c r="G1098" i="7"/>
  <c r="F1098" i="7"/>
  <c r="E1098" i="7"/>
  <c r="D1098" i="7"/>
  <c r="C1098" i="7"/>
  <c r="B1098" i="7"/>
  <c r="A1098" i="7"/>
  <c r="J1098" i="7" s="1"/>
  <c r="K1097" i="7"/>
  <c r="J1097" i="7"/>
  <c r="H1097" i="7"/>
  <c r="I1097" i="7" s="1"/>
  <c r="G1097" i="7"/>
  <c r="F1097" i="7"/>
  <c r="E1097" i="7"/>
  <c r="D1097" i="7"/>
  <c r="C1097" i="7"/>
  <c r="B1097" i="7"/>
  <c r="A1097" i="7"/>
  <c r="K1096" i="7"/>
  <c r="J1096" i="7"/>
  <c r="H1096" i="7"/>
  <c r="I1096" i="7" s="1"/>
  <c r="G1096" i="7"/>
  <c r="F1096" i="7"/>
  <c r="E1096" i="7"/>
  <c r="D1096" i="7"/>
  <c r="C1096" i="7"/>
  <c r="B1096" i="7"/>
  <c r="A1096" i="7"/>
  <c r="K1095" i="7"/>
  <c r="H1095" i="7"/>
  <c r="I1095" i="7" s="1"/>
  <c r="G1095" i="7"/>
  <c r="F1095" i="7"/>
  <c r="E1095" i="7"/>
  <c r="D1095" i="7"/>
  <c r="C1095" i="7"/>
  <c r="B1095" i="7"/>
  <c r="A1095" i="7"/>
  <c r="J1095" i="7" s="1"/>
  <c r="K1094" i="7"/>
  <c r="H1094" i="7"/>
  <c r="I1094" i="7" s="1"/>
  <c r="G1094" i="7"/>
  <c r="F1094" i="7"/>
  <c r="E1094" i="7"/>
  <c r="D1094" i="7"/>
  <c r="C1094" i="7"/>
  <c r="B1094" i="7"/>
  <c r="A1094" i="7"/>
  <c r="J1094" i="7" s="1"/>
  <c r="K1093" i="7"/>
  <c r="H1093" i="7"/>
  <c r="I1093" i="7" s="1"/>
  <c r="G1093" i="7"/>
  <c r="F1093" i="7"/>
  <c r="E1093" i="7"/>
  <c r="D1093" i="7"/>
  <c r="C1093" i="7"/>
  <c r="B1093" i="7"/>
  <c r="A1093" i="7"/>
  <c r="J1093" i="7" s="1"/>
  <c r="K1092" i="7"/>
  <c r="J1092" i="7"/>
  <c r="H1092" i="7"/>
  <c r="I1092" i="7" s="1"/>
  <c r="G1092" i="7"/>
  <c r="F1092" i="7"/>
  <c r="E1092" i="7"/>
  <c r="D1092" i="7"/>
  <c r="C1092" i="7"/>
  <c r="B1092" i="7"/>
  <c r="A1092" i="7"/>
  <c r="K1091" i="7"/>
  <c r="J1091" i="7"/>
  <c r="H1091" i="7"/>
  <c r="I1091" i="7" s="1"/>
  <c r="G1091" i="7"/>
  <c r="F1091" i="7"/>
  <c r="E1091" i="7"/>
  <c r="D1091" i="7"/>
  <c r="C1091" i="7"/>
  <c r="B1091" i="7"/>
  <c r="A1091" i="7"/>
  <c r="K1090" i="7"/>
  <c r="J1090" i="7"/>
  <c r="H1090" i="7"/>
  <c r="I1090" i="7" s="1"/>
  <c r="G1090" i="7"/>
  <c r="F1090" i="7"/>
  <c r="E1090" i="7"/>
  <c r="D1090" i="7"/>
  <c r="C1090" i="7"/>
  <c r="B1090" i="7"/>
  <c r="A1090" i="7"/>
  <c r="K1089" i="7"/>
  <c r="J1089" i="7"/>
  <c r="H1089" i="7"/>
  <c r="I1089" i="7" s="1"/>
  <c r="G1089" i="7"/>
  <c r="F1089" i="7"/>
  <c r="E1089" i="7"/>
  <c r="D1089" i="7"/>
  <c r="C1089" i="7"/>
  <c r="B1089" i="7"/>
  <c r="A1089" i="7"/>
  <c r="K1088" i="7"/>
  <c r="H1088" i="7"/>
  <c r="I1088" i="7" s="1"/>
  <c r="G1088" i="7"/>
  <c r="F1088" i="7"/>
  <c r="E1088" i="7"/>
  <c r="D1088" i="7"/>
  <c r="C1088" i="7"/>
  <c r="B1088" i="7"/>
  <c r="A1088" i="7"/>
  <c r="J1088" i="7" s="1"/>
  <c r="K1087" i="7"/>
  <c r="H1087" i="7"/>
  <c r="I1087" i="7" s="1"/>
  <c r="G1087" i="7"/>
  <c r="F1087" i="7"/>
  <c r="E1087" i="7"/>
  <c r="D1087" i="7"/>
  <c r="C1087" i="7"/>
  <c r="B1087" i="7"/>
  <c r="A1087" i="7"/>
  <c r="J1087" i="7" s="1"/>
  <c r="K1086" i="7"/>
  <c r="H1086" i="7"/>
  <c r="I1086" i="7" s="1"/>
  <c r="G1086" i="7"/>
  <c r="F1086" i="7"/>
  <c r="E1086" i="7"/>
  <c r="D1086" i="7"/>
  <c r="C1086" i="7"/>
  <c r="B1086" i="7"/>
  <c r="A1086" i="7"/>
  <c r="J1086" i="7" s="1"/>
  <c r="K1085" i="7"/>
  <c r="H1085" i="7"/>
  <c r="I1085" i="7" s="1"/>
  <c r="G1085" i="7"/>
  <c r="F1085" i="7"/>
  <c r="E1085" i="7"/>
  <c r="D1085" i="7"/>
  <c r="C1085" i="7"/>
  <c r="B1085" i="7"/>
  <c r="A1085" i="7"/>
  <c r="J1085" i="7" s="1"/>
  <c r="K1084" i="7"/>
  <c r="I1084" i="7"/>
  <c r="H1084" i="7"/>
  <c r="G1084" i="7"/>
  <c r="F1084" i="7"/>
  <c r="E1084" i="7"/>
  <c r="D1084" i="7"/>
  <c r="C1084" i="7"/>
  <c r="B1084" i="7"/>
  <c r="A1084" i="7"/>
  <c r="J1084" i="7" s="1"/>
  <c r="K1083" i="7"/>
  <c r="H1083" i="7"/>
  <c r="I1083" i="7" s="1"/>
  <c r="G1083" i="7"/>
  <c r="F1083" i="7"/>
  <c r="E1083" i="7"/>
  <c r="D1083" i="7"/>
  <c r="C1083" i="7"/>
  <c r="B1083" i="7"/>
  <c r="A1083" i="7"/>
  <c r="J1083" i="7" s="1"/>
  <c r="K1082" i="7"/>
  <c r="H1082" i="7"/>
  <c r="I1082" i="7" s="1"/>
  <c r="G1082" i="7"/>
  <c r="F1082" i="7"/>
  <c r="E1082" i="7"/>
  <c r="D1082" i="7"/>
  <c r="C1082" i="7"/>
  <c r="B1082" i="7"/>
  <c r="A1082" i="7"/>
  <c r="J1082" i="7" s="1"/>
  <c r="K1081" i="7"/>
  <c r="H1081" i="7"/>
  <c r="I1081" i="7" s="1"/>
  <c r="G1081" i="7"/>
  <c r="F1081" i="7"/>
  <c r="E1081" i="7"/>
  <c r="D1081" i="7"/>
  <c r="C1081" i="7"/>
  <c r="B1081" i="7"/>
  <c r="A1081" i="7"/>
  <c r="J1081" i="7" s="1"/>
  <c r="K1080" i="7"/>
  <c r="J1080" i="7"/>
  <c r="H1080" i="7"/>
  <c r="I1080" i="7" s="1"/>
  <c r="G1080" i="7"/>
  <c r="F1080" i="7"/>
  <c r="E1080" i="7"/>
  <c r="D1080" i="7"/>
  <c r="C1080" i="7"/>
  <c r="B1080" i="7"/>
  <c r="A1080" i="7"/>
  <c r="K1079" i="7"/>
  <c r="J1079" i="7"/>
  <c r="H1079" i="7"/>
  <c r="I1079" i="7" s="1"/>
  <c r="G1079" i="7"/>
  <c r="F1079" i="7"/>
  <c r="E1079" i="7"/>
  <c r="D1079" i="7"/>
  <c r="C1079" i="7"/>
  <c r="B1079" i="7"/>
  <c r="A1079" i="7"/>
  <c r="K1078" i="7"/>
  <c r="H1078" i="7"/>
  <c r="I1078" i="7" s="1"/>
  <c r="G1078" i="7"/>
  <c r="F1078" i="7"/>
  <c r="E1078" i="7"/>
  <c r="D1078" i="7"/>
  <c r="C1078" i="7"/>
  <c r="B1078" i="7"/>
  <c r="A1078" i="7"/>
  <c r="J1078" i="7" s="1"/>
  <c r="K1077" i="7"/>
  <c r="H1077" i="7"/>
  <c r="I1077" i="7" s="1"/>
  <c r="G1077" i="7"/>
  <c r="F1077" i="7"/>
  <c r="E1077" i="7"/>
  <c r="D1077" i="7"/>
  <c r="C1077" i="7"/>
  <c r="B1077" i="7"/>
  <c r="A1077" i="7"/>
  <c r="J1077" i="7" s="1"/>
  <c r="K1076" i="7"/>
  <c r="H1076" i="7"/>
  <c r="I1076" i="7" s="1"/>
  <c r="G1076" i="7"/>
  <c r="F1076" i="7"/>
  <c r="E1076" i="7"/>
  <c r="D1076" i="7"/>
  <c r="C1076" i="7"/>
  <c r="B1076" i="7"/>
  <c r="A1076" i="7"/>
  <c r="J1076" i="7" s="1"/>
  <c r="K1075" i="7"/>
  <c r="J1075" i="7"/>
  <c r="H1075" i="7"/>
  <c r="I1075" i="7" s="1"/>
  <c r="G1075" i="7"/>
  <c r="F1075" i="7"/>
  <c r="E1075" i="7"/>
  <c r="D1075" i="7"/>
  <c r="C1075" i="7"/>
  <c r="B1075" i="7"/>
  <c r="A1075" i="7"/>
  <c r="K1074" i="7"/>
  <c r="H1074" i="7"/>
  <c r="I1074" i="7" s="1"/>
  <c r="G1074" i="7"/>
  <c r="F1074" i="7"/>
  <c r="E1074" i="7"/>
  <c r="D1074" i="7"/>
  <c r="C1074" i="7"/>
  <c r="B1074" i="7"/>
  <c r="A1074" i="7"/>
  <c r="J1074" i="7" s="1"/>
  <c r="K1073" i="7"/>
  <c r="J1073" i="7"/>
  <c r="H1073" i="7"/>
  <c r="I1073" i="7" s="1"/>
  <c r="G1073" i="7"/>
  <c r="F1073" i="7"/>
  <c r="E1073" i="7"/>
  <c r="D1073" i="7"/>
  <c r="C1073" i="7"/>
  <c r="B1073" i="7"/>
  <c r="A1073" i="7"/>
  <c r="K1072" i="7"/>
  <c r="J1072" i="7"/>
  <c r="I1072" i="7"/>
  <c r="H1072" i="7"/>
  <c r="G1072" i="7"/>
  <c r="F1072" i="7"/>
  <c r="E1072" i="7"/>
  <c r="D1072" i="7"/>
  <c r="C1072" i="7"/>
  <c r="B1072" i="7"/>
  <c r="A1072" i="7"/>
  <c r="K1071" i="7"/>
  <c r="H1071" i="7"/>
  <c r="I1071" i="7" s="1"/>
  <c r="G1071" i="7"/>
  <c r="F1071" i="7"/>
  <c r="E1071" i="7"/>
  <c r="D1071" i="7"/>
  <c r="C1071" i="7"/>
  <c r="B1071" i="7"/>
  <c r="A1071" i="7"/>
  <c r="J1071" i="7" s="1"/>
  <c r="K1070" i="7"/>
  <c r="H1070" i="7"/>
  <c r="I1070" i="7" s="1"/>
  <c r="G1070" i="7"/>
  <c r="F1070" i="7"/>
  <c r="E1070" i="7"/>
  <c r="D1070" i="7"/>
  <c r="C1070" i="7"/>
  <c r="B1070" i="7"/>
  <c r="A1070" i="7"/>
  <c r="J1070" i="7" s="1"/>
  <c r="K1069" i="7"/>
  <c r="J1069" i="7"/>
  <c r="I1069" i="7"/>
  <c r="H1069" i="7"/>
  <c r="G1069" i="7"/>
  <c r="F1069" i="7"/>
  <c r="E1069" i="7"/>
  <c r="D1069" i="7"/>
  <c r="C1069" i="7"/>
  <c r="B1069" i="7"/>
  <c r="A1069" i="7"/>
  <c r="K1068" i="7"/>
  <c r="J1068" i="7"/>
  <c r="H1068" i="7"/>
  <c r="I1068" i="7" s="1"/>
  <c r="G1068" i="7"/>
  <c r="F1068" i="7"/>
  <c r="E1068" i="7"/>
  <c r="D1068" i="7"/>
  <c r="C1068" i="7"/>
  <c r="B1068" i="7"/>
  <c r="A1068" i="7"/>
  <c r="K1067" i="7"/>
  <c r="J1067" i="7"/>
  <c r="H1067" i="7"/>
  <c r="I1067" i="7" s="1"/>
  <c r="G1067" i="7"/>
  <c r="F1067" i="7"/>
  <c r="E1067" i="7"/>
  <c r="D1067" i="7"/>
  <c r="C1067" i="7"/>
  <c r="B1067" i="7"/>
  <c r="A1067" i="7"/>
  <c r="K1066" i="7"/>
  <c r="I1066" i="7"/>
  <c r="H1066" i="7"/>
  <c r="G1066" i="7"/>
  <c r="F1066" i="7"/>
  <c r="E1066" i="7"/>
  <c r="D1066" i="7"/>
  <c r="C1066" i="7"/>
  <c r="B1066" i="7"/>
  <c r="A1066" i="7"/>
  <c r="J1066" i="7" s="1"/>
  <c r="K1065" i="7"/>
  <c r="I1065" i="7"/>
  <c r="H1065" i="7"/>
  <c r="G1065" i="7"/>
  <c r="F1065" i="7"/>
  <c r="E1065" i="7"/>
  <c r="D1065" i="7"/>
  <c r="C1065" i="7"/>
  <c r="B1065" i="7"/>
  <c r="A1065" i="7"/>
  <c r="J1065" i="7" s="1"/>
  <c r="K1064" i="7"/>
  <c r="I1064" i="7"/>
  <c r="H1064" i="7"/>
  <c r="G1064" i="7"/>
  <c r="F1064" i="7"/>
  <c r="E1064" i="7"/>
  <c r="D1064" i="7"/>
  <c r="C1064" i="7"/>
  <c r="B1064" i="7"/>
  <c r="A1064" i="7"/>
  <c r="J1064" i="7" s="1"/>
  <c r="K1063" i="7"/>
  <c r="H1063" i="7"/>
  <c r="I1063" i="7" s="1"/>
  <c r="G1063" i="7"/>
  <c r="F1063" i="7"/>
  <c r="E1063" i="7"/>
  <c r="D1063" i="7"/>
  <c r="C1063" i="7"/>
  <c r="B1063" i="7"/>
  <c r="A1063" i="7"/>
  <c r="J1063" i="7" s="1"/>
  <c r="K1062" i="7"/>
  <c r="H1062" i="7"/>
  <c r="I1062" i="7" s="1"/>
  <c r="G1062" i="7"/>
  <c r="F1062" i="7"/>
  <c r="E1062" i="7"/>
  <c r="D1062" i="7"/>
  <c r="C1062" i="7"/>
  <c r="B1062" i="7"/>
  <c r="A1062" i="7"/>
  <c r="J1062" i="7" s="1"/>
  <c r="K1061" i="7"/>
  <c r="J1061" i="7"/>
  <c r="H1061" i="7"/>
  <c r="I1061" i="7" s="1"/>
  <c r="G1061" i="7"/>
  <c r="F1061" i="7"/>
  <c r="E1061" i="7"/>
  <c r="D1061" i="7"/>
  <c r="C1061" i="7"/>
  <c r="B1061" i="7"/>
  <c r="A1061" i="7"/>
  <c r="K1060" i="7"/>
  <c r="H1060" i="7"/>
  <c r="I1060" i="7" s="1"/>
  <c r="G1060" i="7"/>
  <c r="F1060" i="7"/>
  <c r="E1060" i="7"/>
  <c r="D1060" i="7"/>
  <c r="C1060" i="7"/>
  <c r="B1060" i="7"/>
  <c r="A1060" i="7"/>
  <c r="J1060" i="7" s="1"/>
  <c r="K1059" i="7"/>
  <c r="H1059" i="7"/>
  <c r="I1059" i="7" s="1"/>
  <c r="G1059" i="7"/>
  <c r="F1059" i="7"/>
  <c r="E1059" i="7"/>
  <c r="D1059" i="7"/>
  <c r="C1059" i="7"/>
  <c r="B1059" i="7"/>
  <c r="A1059" i="7"/>
  <c r="J1059" i="7" s="1"/>
  <c r="K1058" i="7"/>
  <c r="I1058" i="7"/>
  <c r="H1058" i="7"/>
  <c r="G1058" i="7"/>
  <c r="F1058" i="7"/>
  <c r="E1058" i="7"/>
  <c r="D1058" i="7"/>
  <c r="C1058" i="7"/>
  <c r="B1058" i="7"/>
  <c r="A1058" i="7"/>
  <c r="J1058" i="7" s="1"/>
  <c r="K1057" i="7"/>
  <c r="H1057" i="7"/>
  <c r="I1057" i="7" s="1"/>
  <c r="G1057" i="7"/>
  <c r="F1057" i="7"/>
  <c r="E1057" i="7"/>
  <c r="D1057" i="7"/>
  <c r="C1057" i="7"/>
  <c r="B1057" i="7"/>
  <c r="A1057" i="7"/>
  <c r="J1057" i="7" s="1"/>
  <c r="K1056" i="7"/>
  <c r="J1056" i="7"/>
  <c r="H1056" i="7"/>
  <c r="I1056" i="7" s="1"/>
  <c r="G1056" i="7"/>
  <c r="F1056" i="7"/>
  <c r="E1056" i="7"/>
  <c r="D1056" i="7"/>
  <c r="C1056" i="7"/>
  <c r="B1056" i="7"/>
  <c r="A1056" i="7"/>
  <c r="K1055" i="7"/>
  <c r="H1055" i="7"/>
  <c r="I1055" i="7" s="1"/>
  <c r="G1055" i="7"/>
  <c r="F1055" i="7"/>
  <c r="E1055" i="7"/>
  <c r="D1055" i="7"/>
  <c r="C1055" i="7"/>
  <c r="B1055" i="7"/>
  <c r="A1055" i="7"/>
  <c r="J1055" i="7" s="1"/>
  <c r="K1054" i="7"/>
  <c r="H1054" i="7"/>
  <c r="I1054" i="7" s="1"/>
  <c r="G1054" i="7"/>
  <c r="F1054" i="7"/>
  <c r="E1054" i="7"/>
  <c r="D1054" i="7"/>
  <c r="C1054" i="7"/>
  <c r="B1054" i="7"/>
  <c r="A1054" i="7"/>
  <c r="J1054" i="7" s="1"/>
  <c r="K1053" i="7"/>
  <c r="H1053" i="7"/>
  <c r="I1053" i="7" s="1"/>
  <c r="G1053" i="7"/>
  <c r="F1053" i="7"/>
  <c r="E1053" i="7"/>
  <c r="D1053" i="7"/>
  <c r="C1053" i="7"/>
  <c r="B1053" i="7"/>
  <c r="A1053" i="7"/>
  <c r="J1053" i="7" s="1"/>
  <c r="K1052" i="7"/>
  <c r="H1052" i="7"/>
  <c r="I1052" i="7" s="1"/>
  <c r="G1052" i="7"/>
  <c r="F1052" i="7"/>
  <c r="E1052" i="7"/>
  <c r="D1052" i="7"/>
  <c r="C1052" i="7"/>
  <c r="B1052" i="7"/>
  <c r="A1052" i="7"/>
  <c r="J1052" i="7" s="1"/>
  <c r="K1051" i="7"/>
  <c r="J1051" i="7"/>
  <c r="H1051" i="7"/>
  <c r="I1051" i="7" s="1"/>
  <c r="G1051" i="7"/>
  <c r="F1051" i="7"/>
  <c r="E1051" i="7"/>
  <c r="D1051" i="7"/>
  <c r="C1051" i="7"/>
  <c r="B1051" i="7"/>
  <c r="A1051" i="7"/>
  <c r="K1050" i="7"/>
  <c r="H1050" i="7"/>
  <c r="I1050" i="7" s="1"/>
  <c r="G1050" i="7"/>
  <c r="F1050" i="7"/>
  <c r="E1050" i="7"/>
  <c r="D1050" i="7"/>
  <c r="C1050" i="7"/>
  <c r="B1050" i="7"/>
  <c r="A1050" i="7"/>
  <c r="J1050" i="7" s="1"/>
  <c r="K1049" i="7"/>
  <c r="H1049" i="7"/>
  <c r="I1049" i="7" s="1"/>
  <c r="G1049" i="7"/>
  <c r="F1049" i="7"/>
  <c r="E1049" i="7"/>
  <c r="D1049" i="7"/>
  <c r="C1049" i="7"/>
  <c r="B1049" i="7"/>
  <c r="A1049" i="7"/>
  <c r="J1049" i="7" s="1"/>
  <c r="K1048" i="7"/>
  <c r="J1048" i="7"/>
  <c r="H1048" i="7"/>
  <c r="I1048" i="7" s="1"/>
  <c r="G1048" i="7"/>
  <c r="F1048" i="7"/>
  <c r="E1048" i="7"/>
  <c r="D1048" i="7"/>
  <c r="C1048" i="7"/>
  <c r="B1048" i="7"/>
  <c r="A1048" i="7"/>
  <c r="K1047" i="7"/>
  <c r="H1047" i="7"/>
  <c r="I1047" i="7" s="1"/>
  <c r="G1047" i="7"/>
  <c r="F1047" i="7"/>
  <c r="E1047" i="7"/>
  <c r="D1047" i="7"/>
  <c r="C1047" i="7"/>
  <c r="B1047" i="7"/>
  <c r="A1047" i="7"/>
  <c r="J1047" i="7" s="1"/>
  <c r="K1046" i="7"/>
  <c r="H1046" i="7"/>
  <c r="I1046" i="7" s="1"/>
  <c r="G1046" i="7"/>
  <c r="F1046" i="7"/>
  <c r="E1046" i="7"/>
  <c r="D1046" i="7"/>
  <c r="C1046" i="7"/>
  <c r="B1046" i="7"/>
  <c r="A1046" i="7"/>
  <c r="J1046" i="7" s="1"/>
  <c r="K1045" i="7"/>
  <c r="H1045" i="7"/>
  <c r="I1045" i="7" s="1"/>
  <c r="G1045" i="7"/>
  <c r="F1045" i="7"/>
  <c r="E1045" i="7"/>
  <c r="D1045" i="7"/>
  <c r="C1045" i="7"/>
  <c r="B1045" i="7"/>
  <c r="A1045" i="7"/>
  <c r="J1045" i="7" s="1"/>
  <c r="K1044" i="7"/>
  <c r="J1044" i="7"/>
  <c r="I1044" i="7"/>
  <c r="H1044" i="7"/>
  <c r="G1044" i="7"/>
  <c r="F1044" i="7"/>
  <c r="E1044" i="7"/>
  <c r="D1044" i="7"/>
  <c r="C1044" i="7"/>
  <c r="B1044" i="7"/>
  <c r="A1044" i="7"/>
  <c r="K1043" i="7"/>
  <c r="J1043" i="7"/>
  <c r="H1043" i="7"/>
  <c r="I1043" i="7" s="1"/>
  <c r="G1043" i="7"/>
  <c r="F1043" i="7"/>
  <c r="E1043" i="7"/>
  <c r="D1043" i="7"/>
  <c r="C1043" i="7"/>
  <c r="B1043" i="7"/>
  <c r="A1043" i="7"/>
  <c r="K1042" i="7"/>
  <c r="H1042" i="7"/>
  <c r="I1042" i="7" s="1"/>
  <c r="G1042" i="7"/>
  <c r="F1042" i="7"/>
  <c r="E1042" i="7"/>
  <c r="D1042" i="7"/>
  <c r="C1042" i="7"/>
  <c r="B1042" i="7"/>
  <c r="A1042" i="7"/>
  <c r="J1042" i="7" s="1"/>
  <c r="K1041" i="7"/>
  <c r="I1041" i="7"/>
  <c r="H1041" i="7"/>
  <c r="G1041" i="7"/>
  <c r="F1041" i="7"/>
  <c r="E1041" i="7"/>
  <c r="D1041" i="7"/>
  <c r="C1041" i="7"/>
  <c r="B1041" i="7"/>
  <c r="A1041" i="7"/>
  <c r="J1041" i="7" s="1"/>
  <c r="K1040" i="7"/>
  <c r="I1040" i="7"/>
  <c r="H1040" i="7"/>
  <c r="G1040" i="7"/>
  <c r="F1040" i="7"/>
  <c r="E1040" i="7"/>
  <c r="D1040" i="7"/>
  <c r="C1040" i="7"/>
  <c r="B1040" i="7"/>
  <c r="A1040" i="7"/>
  <c r="J1040" i="7" s="1"/>
  <c r="K1039" i="7"/>
  <c r="H1039" i="7"/>
  <c r="I1039" i="7" s="1"/>
  <c r="G1039" i="7"/>
  <c r="F1039" i="7"/>
  <c r="E1039" i="7"/>
  <c r="D1039" i="7"/>
  <c r="C1039" i="7"/>
  <c r="B1039" i="7"/>
  <c r="A1039" i="7"/>
  <c r="J1039" i="7" s="1"/>
  <c r="K1038" i="7"/>
  <c r="H1038" i="7"/>
  <c r="I1038" i="7" s="1"/>
  <c r="G1038" i="7"/>
  <c r="F1038" i="7"/>
  <c r="E1038" i="7"/>
  <c r="D1038" i="7"/>
  <c r="C1038" i="7"/>
  <c r="B1038" i="7"/>
  <c r="A1038" i="7"/>
  <c r="J1038" i="7" s="1"/>
  <c r="K1037" i="7"/>
  <c r="J1037" i="7"/>
  <c r="I1037" i="7"/>
  <c r="H1037" i="7"/>
  <c r="G1037" i="7"/>
  <c r="F1037" i="7"/>
  <c r="E1037" i="7"/>
  <c r="D1037" i="7"/>
  <c r="C1037" i="7"/>
  <c r="B1037" i="7"/>
  <c r="A1037" i="7"/>
  <c r="K1036" i="7"/>
  <c r="I1036" i="7"/>
  <c r="H1036" i="7"/>
  <c r="G1036" i="7"/>
  <c r="F1036" i="7"/>
  <c r="E1036" i="7"/>
  <c r="D1036" i="7"/>
  <c r="C1036" i="7"/>
  <c r="B1036" i="7"/>
  <c r="A1036" i="7"/>
  <c r="J1036" i="7" s="1"/>
  <c r="K1035" i="7"/>
  <c r="H1035" i="7"/>
  <c r="I1035" i="7" s="1"/>
  <c r="G1035" i="7"/>
  <c r="F1035" i="7"/>
  <c r="E1035" i="7"/>
  <c r="D1035" i="7"/>
  <c r="C1035" i="7"/>
  <c r="B1035" i="7"/>
  <c r="A1035" i="7"/>
  <c r="J1035" i="7" s="1"/>
  <c r="K1034" i="7"/>
  <c r="H1034" i="7"/>
  <c r="I1034" i="7" s="1"/>
  <c r="G1034" i="7"/>
  <c r="F1034" i="7"/>
  <c r="E1034" i="7"/>
  <c r="D1034" i="7"/>
  <c r="C1034" i="7"/>
  <c r="B1034" i="7"/>
  <c r="A1034" i="7"/>
  <c r="J1034" i="7" s="1"/>
  <c r="K1033" i="7"/>
  <c r="H1033" i="7"/>
  <c r="I1033" i="7" s="1"/>
  <c r="G1033" i="7"/>
  <c r="F1033" i="7"/>
  <c r="E1033" i="7"/>
  <c r="D1033" i="7"/>
  <c r="C1033" i="7"/>
  <c r="B1033" i="7"/>
  <c r="A1033" i="7"/>
  <c r="J1033" i="7" s="1"/>
  <c r="K1032" i="7"/>
  <c r="J1032" i="7"/>
  <c r="H1032" i="7"/>
  <c r="I1032" i="7" s="1"/>
  <c r="G1032" i="7"/>
  <c r="F1032" i="7"/>
  <c r="E1032" i="7"/>
  <c r="D1032" i="7"/>
  <c r="C1032" i="7"/>
  <c r="B1032" i="7"/>
  <c r="A1032" i="7"/>
  <c r="K1031" i="7"/>
  <c r="J1031" i="7"/>
  <c r="I1031" i="7"/>
  <c r="H1031" i="7"/>
  <c r="G1031" i="7"/>
  <c r="F1031" i="7"/>
  <c r="E1031" i="7"/>
  <c r="D1031" i="7"/>
  <c r="C1031" i="7"/>
  <c r="B1031" i="7"/>
  <c r="A1031" i="7"/>
  <c r="K1030" i="7"/>
  <c r="H1030" i="7"/>
  <c r="I1030" i="7" s="1"/>
  <c r="G1030" i="7"/>
  <c r="F1030" i="7"/>
  <c r="E1030" i="7"/>
  <c r="D1030" i="7"/>
  <c r="C1030" i="7"/>
  <c r="B1030" i="7"/>
  <c r="A1030" i="7"/>
  <c r="J1030" i="7" s="1"/>
  <c r="K1029" i="7"/>
  <c r="J1029" i="7"/>
  <c r="H1029" i="7"/>
  <c r="I1029" i="7" s="1"/>
  <c r="G1029" i="7"/>
  <c r="F1029" i="7"/>
  <c r="E1029" i="7"/>
  <c r="D1029" i="7"/>
  <c r="C1029" i="7"/>
  <c r="B1029" i="7"/>
  <c r="A1029" i="7"/>
  <c r="K1028" i="7"/>
  <c r="H1028" i="7"/>
  <c r="I1028" i="7" s="1"/>
  <c r="G1028" i="7"/>
  <c r="F1028" i="7"/>
  <c r="E1028" i="7"/>
  <c r="D1028" i="7"/>
  <c r="C1028" i="7"/>
  <c r="B1028" i="7"/>
  <c r="A1028" i="7"/>
  <c r="J1028" i="7" s="1"/>
  <c r="K1027" i="7"/>
  <c r="H1027" i="7"/>
  <c r="I1027" i="7" s="1"/>
  <c r="G1027" i="7"/>
  <c r="F1027" i="7"/>
  <c r="E1027" i="7"/>
  <c r="D1027" i="7"/>
  <c r="C1027" i="7"/>
  <c r="B1027" i="7"/>
  <c r="A1027" i="7"/>
  <c r="J1027" i="7" s="1"/>
  <c r="K1026" i="7"/>
  <c r="H1026" i="7"/>
  <c r="I1026" i="7" s="1"/>
  <c r="G1026" i="7"/>
  <c r="F1026" i="7"/>
  <c r="E1026" i="7"/>
  <c r="D1026" i="7"/>
  <c r="C1026" i="7"/>
  <c r="B1026" i="7"/>
  <c r="A1026" i="7"/>
  <c r="J1026" i="7" s="1"/>
  <c r="K1025" i="7"/>
  <c r="H1025" i="7"/>
  <c r="I1025" i="7" s="1"/>
  <c r="G1025" i="7"/>
  <c r="F1025" i="7"/>
  <c r="E1025" i="7"/>
  <c r="D1025" i="7"/>
  <c r="C1025" i="7"/>
  <c r="B1025" i="7"/>
  <c r="A1025" i="7"/>
  <c r="J1025" i="7" s="1"/>
  <c r="K1024" i="7"/>
  <c r="H1024" i="7"/>
  <c r="I1024" i="7" s="1"/>
  <c r="G1024" i="7"/>
  <c r="F1024" i="7"/>
  <c r="E1024" i="7"/>
  <c r="D1024" i="7"/>
  <c r="C1024" i="7"/>
  <c r="B1024" i="7"/>
  <c r="A1024" i="7"/>
  <c r="J1024" i="7" s="1"/>
  <c r="K1023" i="7"/>
  <c r="H1023" i="7"/>
  <c r="I1023" i="7" s="1"/>
  <c r="G1023" i="7"/>
  <c r="F1023" i="7"/>
  <c r="E1023" i="7"/>
  <c r="D1023" i="7"/>
  <c r="C1023" i="7"/>
  <c r="B1023" i="7"/>
  <c r="A1023" i="7"/>
  <c r="J1023" i="7" s="1"/>
  <c r="K1022" i="7"/>
  <c r="H1022" i="7"/>
  <c r="I1022" i="7" s="1"/>
  <c r="G1022" i="7"/>
  <c r="F1022" i="7"/>
  <c r="E1022" i="7"/>
  <c r="D1022" i="7"/>
  <c r="C1022" i="7"/>
  <c r="B1022" i="7"/>
  <c r="A1022" i="7"/>
  <c r="J1022" i="7" s="1"/>
  <c r="K1021" i="7"/>
  <c r="I1021" i="7"/>
  <c r="H1021" i="7"/>
  <c r="G1021" i="7"/>
  <c r="F1021" i="7"/>
  <c r="E1021" i="7"/>
  <c r="D1021" i="7"/>
  <c r="C1021" i="7"/>
  <c r="B1021" i="7"/>
  <c r="A1021" i="7"/>
  <c r="J1021" i="7" s="1"/>
  <c r="K1020" i="7"/>
  <c r="J1020" i="7"/>
  <c r="H1020" i="7"/>
  <c r="I1020" i="7" s="1"/>
  <c r="G1020" i="7"/>
  <c r="F1020" i="7"/>
  <c r="E1020" i="7"/>
  <c r="D1020" i="7"/>
  <c r="C1020" i="7"/>
  <c r="B1020" i="7"/>
  <c r="A1020" i="7"/>
  <c r="K1019" i="7"/>
  <c r="J1019" i="7"/>
  <c r="H1019" i="7"/>
  <c r="I1019" i="7" s="1"/>
  <c r="G1019" i="7"/>
  <c r="F1019" i="7"/>
  <c r="E1019" i="7"/>
  <c r="D1019" i="7"/>
  <c r="C1019" i="7"/>
  <c r="B1019" i="7"/>
  <c r="A1019" i="7"/>
  <c r="K1018" i="7"/>
  <c r="H1018" i="7"/>
  <c r="I1018" i="7" s="1"/>
  <c r="G1018" i="7"/>
  <c r="F1018" i="7"/>
  <c r="E1018" i="7"/>
  <c r="D1018" i="7"/>
  <c r="C1018" i="7"/>
  <c r="B1018" i="7"/>
  <c r="A1018" i="7"/>
  <c r="J1018" i="7" s="1"/>
  <c r="K1017" i="7"/>
  <c r="J1017" i="7"/>
  <c r="H1017" i="7"/>
  <c r="I1017" i="7" s="1"/>
  <c r="G1017" i="7"/>
  <c r="F1017" i="7"/>
  <c r="E1017" i="7"/>
  <c r="D1017" i="7"/>
  <c r="C1017" i="7"/>
  <c r="B1017" i="7"/>
  <c r="A1017" i="7"/>
  <c r="K1016" i="7"/>
  <c r="H1016" i="7"/>
  <c r="I1016" i="7" s="1"/>
  <c r="G1016" i="7"/>
  <c r="F1016" i="7"/>
  <c r="E1016" i="7"/>
  <c r="D1016" i="7"/>
  <c r="C1016" i="7"/>
  <c r="B1016" i="7"/>
  <c r="A1016" i="7"/>
  <c r="J1016" i="7" s="1"/>
  <c r="K1015" i="7"/>
  <c r="H1015" i="7"/>
  <c r="I1015" i="7" s="1"/>
  <c r="G1015" i="7"/>
  <c r="F1015" i="7"/>
  <c r="E1015" i="7"/>
  <c r="D1015" i="7"/>
  <c r="C1015" i="7"/>
  <c r="B1015" i="7"/>
  <c r="A1015" i="7"/>
  <c r="J1015" i="7" s="1"/>
  <c r="K1014" i="7"/>
  <c r="H1014" i="7"/>
  <c r="I1014" i="7" s="1"/>
  <c r="G1014" i="7"/>
  <c r="F1014" i="7"/>
  <c r="E1014" i="7"/>
  <c r="D1014" i="7"/>
  <c r="C1014" i="7"/>
  <c r="B1014" i="7"/>
  <c r="A1014" i="7"/>
  <c r="J1014" i="7" s="1"/>
  <c r="K1013" i="7"/>
  <c r="J1013" i="7"/>
  <c r="H1013" i="7"/>
  <c r="I1013" i="7" s="1"/>
  <c r="G1013" i="7"/>
  <c r="F1013" i="7"/>
  <c r="E1013" i="7"/>
  <c r="D1013" i="7"/>
  <c r="C1013" i="7"/>
  <c r="B1013" i="7"/>
  <c r="A1013" i="7"/>
  <c r="K1012" i="7"/>
  <c r="I1012" i="7"/>
  <c r="H1012" i="7"/>
  <c r="G1012" i="7"/>
  <c r="F1012" i="7"/>
  <c r="E1012" i="7"/>
  <c r="D1012" i="7"/>
  <c r="C1012" i="7"/>
  <c r="B1012" i="7"/>
  <c r="A1012" i="7"/>
  <c r="J1012" i="7" s="1"/>
  <c r="K1011" i="7"/>
  <c r="H1011" i="7"/>
  <c r="I1011" i="7" s="1"/>
  <c r="G1011" i="7"/>
  <c r="F1011" i="7"/>
  <c r="E1011" i="7"/>
  <c r="D1011" i="7"/>
  <c r="C1011" i="7"/>
  <c r="B1011" i="7"/>
  <c r="A1011" i="7"/>
  <c r="J1011" i="7" s="1"/>
  <c r="K1010" i="7"/>
  <c r="H1010" i="7"/>
  <c r="I1010" i="7" s="1"/>
  <c r="G1010" i="7"/>
  <c r="F1010" i="7"/>
  <c r="E1010" i="7"/>
  <c r="D1010" i="7"/>
  <c r="C1010" i="7"/>
  <c r="B1010" i="7"/>
  <c r="A1010" i="7"/>
  <c r="J1010" i="7" s="1"/>
  <c r="K1009" i="7"/>
  <c r="H1009" i="7"/>
  <c r="I1009" i="7" s="1"/>
  <c r="G1009" i="7"/>
  <c r="F1009" i="7"/>
  <c r="E1009" i="7"/>
  <c r="D1009" i="7"/>
  <c r="C1009" i="7"/>
  <c r="B1009" i="7"/>
  <c r="A1009" i="7"/>
  <c r="J1009" i="7" s="1"/>
  <c r="K1008" i="7"/>
  <c r="J1008" i="7"/>
  <c r="H1008" i="7"/>
  <c r="I1008" i="7" s="1"/>
  <c r="G1008" i="7"/>
  <c r="F1008" i="7"/>
  <c r="E1008" i="7"/>
  <c r="D1008" i="7"/>
  <c r="C1008" i="7"/>
  <c r="B1008" i="7"/>
  <c r="A1008" i="7"/>
  <c r="K1007" i="7"/>
  <c r="J1007" i="7"/>
  <c r="I1007" i="7"/>
  <c r="H1007" i="7"/>
  <c r="G1007" i="7"/>
  <c r="F1007" i="7"/>
  <c r="E1007" i="7"/>
  <c r="D1007" i="7"/>
  <c r="C1007" i="7"/>
  <c r="B1007" i="7"/>
  <c r="A1007" i="7"/>
  <c r="K1006" i="7"/>
  <c r="H1006" i="7"/>
  <c r="I1006" i="7" s="1"/>
  <c r="G1006" i="7"/>
  <c r="F1006" i="7"/>
  <c r="E1006" i="7"/>
  <c r="D1006" i="7"/>
  <c r="C1006" i="7"/>
  <c r="B1006" i="7"/>
  <c r="A1006" i="7"/>
  <c r="J1006" i="7" s="1"/>
  <c r="K1005" i="7"/>
  <c r="H1005" i="7"/>
  <c r="I1005" i="7" s="1"/>
  <c r="G1005" i="7"/>
  <c r="F1005" i="7"/>
  <c r="E1005" i="7"/>
  <c r="D1005" i="7"/>
  <c r="C1005" i="7"/>
  <c r="B1005" i="7"/>
  <c r="A1005" i="7"/>
  <c r="J1005" i="7" s="1"/>
  <c r="K1004" i="7"/>
  <c r="H1004" i="7"/>
  <c r="I1004" i="7" s="1"/>
  <c r="G1004" i="7"/>
  <c r="F1004" i="7"/>
  <c r="E1004" i="7"/>
  <c r="D1004" i="7"/>
  <c r="C1004" i="7"/>
  <c r="B1004" i="7"/>
  <c r="A1004" i="7"/>
  <c r="J1004" i="7" s="1"/>
  <c r="K1003" i="7"/>
  <c r="H1003" i="7"/>
  <c r="I1003" i="7" s="1"/>
  <c r="G1003" i="7"/>
  <c r="F1003" i="7"/>
  <c r="E1003" i="7"/>
  <c r="D1003" i="7"/>
  <c r="C1003" i="7"/>
  <c r="B1003" i="7"/>
  <c r="A1003" i="7"/>
  <c r="J1003" i="7" s="1"/>
  <c r="K1002" i="7"/>
  <c r="I1002" i="7"/>
  <c r="H1002" i="7"/>
  <c r="G1002" i="7"/>
  <c r="F1002" i="7"/>
  <c r="E1002" i="7"/>
  <c r="D1002" i="7"/>
  <c r="C1002" i="7"/>
  <c r="B1002" i="7"/>
  <c r="A1002" i="7"/>
  <c r="J1002" i="7" s="1"/>
  <c r="K1001" i="7"/>
  <c r="H1001" i="7"/>
  <c r="I1001" i="7" s="1"/>
  <c r="G1001" i="7"/>
  <c r="F1001" i="7"/>
  <c r="E1001" i="7"/>
  <c r="D1001" i="7"/>
  <c r="C1001" i="7"/>
  <c r="B1001" i="7"/>
  <c r="A1001" i="7"/>
  <c r="J1001" i="7" s="1"/>
  <c r="K1000" i="7"/>
  <c r="J1000" i="7"/>
  <c r="H1000" i="7"/>
  <c r="I1000" i="7" s="1"/>
  <c r="G1000" i="7"/>
  <c r="F1000" i="7"/>
  <c r="E1000" i="7"/>
  <c r="D1000" i="7"/>
  <c r="C1000" i="7"/>
  <c r="B1000" i="7"/>
  <c r="A1000" i="7"/>
  <c r="K999" i="7"/>
  <c r="H999" i="7"/>
  <c r="I999" i="7" s="1"/>
  <c r="G999" i="7"/>
  <c r="F999" i="7"/>
  <c r="E999" i="7"/>
  <c r="D999" i="7"/>
  <c r="C999" i="7"/>
  <c r="B999" i="7"/>
  <c r="A999" i="7"/>
  <c r="J999" i="7" s="1"/>
  <c r="K998" i="7"/>
  <c r="H998" i="7"/>
  <c r="I998" i="7" s="1"/>
  <c r="G998" i="7"/>
  <c r="F998" i="7"/>
  <c r="E998" i="7"/>
  <c r="D998" i="7"/>
  <c r="C998" i="7"/>
  <c r="B998" i="7"/>
  <c r="A998" i="7"/>
  <c r="J998" i="7" s="1"/>
  <c r="K997" i="7"/>
  <c r="J997" i="7"/>
  <c r="I997" i="7"/>
  <c r="H997" i="7"/>
  <c r="G997" i="7"/>
  <c r="F997" i="7"/>
  <c r="E997" i="7"/>
  <c r="D997" i="7"/>
  <c r="C997" i="7"/>
  <c r="B997" i="7"/>
  <c r="A997" i="7"/>
  <c r="K996" i="7"/>
  <c r="J996" i="7"/>
  <c r="H996" i="7"/>
  <c r="I996" i="7" s="1"/>
  <c r="G996" i="7"/>
  <c r="F996" i="7"/>
  <c r="E996" i="7"/>
  <c r="D996" i="7"/>
  <c r="C996" i="7"/>
  <c r="B996" i="7"/>
  <c r="A996" i="7"/>
  <c r="K995" i="7"/>
  <c r="J995" i="7"/>
  <c r="H995" i="7"/>
  <c r="I995" i="7" s="1"/>
  <c r="G995" i="7"/>
  <c r="F995" i="7"/>
  <c r="E995" i="7"/>
  <c r="D995" i="7"/>
  <c r="C995" i="7"/>
  <c r="B995" i="7"/>
  <c r="A995" i="7"/>
  <c r="K994" i="7"/>
  <c r="J994" i="7"/>
  <c r="H994" i="7"/>
  <c r="I994" i="7" s="1"/>
  <c r="G994" i="7"/>
  <c r="F994" i="7"/>
  <c r="E994" i="7"/>
  <c r="D994" i="7"/>
  <c r="C994" i="7"/>
  <c r="B994" i="7"/>
  <c r="A994" i="7"/>
  <c r="K993" i="7"/>
  <c r="H993" i="7"/>
  <c r="I993" i="7" s="1"/>
  <c r="G993" i="7"/>
  <c r="F993" i="7"/>
  <c r="E993" i="7"/>
  <c r="D993" i="7"/>
  <c r="C993" i="7"/>
  <c r="B993" i="7"/>
  <c r="A993" i="7"/>
  <c r="J993" i="7" s="1"/>
  <c r="K992" i="7"/>
  <c r="I992" i="7"/>
  <c r="H992" i="7"/>
  <c r="G992" i="7"/>
  <c r="F992" i="7"/>
  <c r="E992" i="7"/>
  <c r="D992" i="7"/>
  <c r="C992" i="7"/>
  <c r="B992" i="7"/>
  <c r="A992" i="7"/>
  <c r="J992" i="7" s="1"/>
  <c r="K991" i="7"/>
  <c r="H991" i="7"/>
  <c r="I991" i="7" s="1"/>
  <c r="G991" i="7"/>
  <c r="F991" i="7"/>
  <c r="E991" i="7"/>
  <c r="D991" i="7"/>
  <c r="C991" i="7"/>
  <c r="B991" i="7"/>
  <c r="A991" i="7"/>
  <c r="J991" i="7" s="1"/>
  <c r="K990" i="7"/>
  <c r="H990" i="7"/>
  <c r="I990" i="7" s="1"/>
  <c r="G990" i="7"/>
  <c r="F990" i="7"/>
  <c r="E990" i="7"/>
  <c r="D990" i="7"/>
  <c r="C990" i="7"/>
  <c r="B990" i="7"/>
  <c r="A990" i="7"/>
  <c r="J990" i="7" s="1"/>
  <c r="K989" i="7"/>
  <c r="J989" i="7"/>
  <c r="H989" i="7"/>
  <c r="I989" i="7" s="1"/>
  <c r="G989" i="7"/>
  <c r="F989" i="7"/>
  <c r="E989" i="7"/>
  <c r="D989" i="7"/>
  <c r="C989" i="7"/>
  <c r="B989" i="7"/>
  <c r="A989" i="7"/>
  <c r="K988" i="7"/>
  <c r="J988" i="7"/>
  <c r="H988" i="7"/>
  <c r="I988" i="7" s="1"/>
  <c r="G988" i="7"/>
  <c r="F988" i="7"/>
  <c r="E988" i="7"/>
  <c r="D988" i="7"/>
  <c r="C988" i="7"/>
  <c r="B988" i="7"/>
  <c r="A988" i="7"/>
  <c r="K987" i="7"/>
  <c r="H987" i="7"/>
  <c r="I987" i="7" s="1"/>
  <c r="G987" i="7"/>
  <c r="F987" i="7"/>
  <c r="E987" i="7"/>
  <c r="D987" i="7"/>
  <c r="C987" i="7"/>
  <c r="B987" i="7"/>
  <c r="A987" i="7"/>
  <c r="J987" i="7" s="1"/>
  <c r="K986" i="7"/>
  <c r="H986" i="7"/>
  <c r="I986" i="7" s="1"/>
  <c r="G986" i="7"/>
  <c r="F986" i="7"/>
  <c r="E986" i="7"/>
  <c r="D986" i="7"/>
  <c r="C986" i="7"/>
  <c r="B986" i="7"/>
  <c r="A986" i="7"/>
  <c r="J986" i="7" s="1"/>
  <c r="K985" i="7"/>
  <c r="I985" i="7"/>
  <c r="H985" i="7"/>
  <c r="G985" i="7"/>
  <c r="F985" i="7"/>
  <c r="E985" i="7"/>
  <c r="D985" i="7"/>
  <c r="C985" i="7"/>
  <c r="B985" i="7"/>
  <c r="A985" i="7"/>
  <c r="J985" i="7" s="1"/>
  <c r="K984" i="7"/>
  <c r="H984" i="7"/>
  <c r="I984" i="7" s="1"/>
  <c r="G984" i="7"/>
  <c r="F984" i="7"/>
  <c r="E984" i="7"/>
  <c r="D984" i="7"/>
  <c r="C984" i="7"/>
  <c r="B984" i="7"/>
  <c r="A984" i="7"/>
  <c r="J984" i="7" s="1"/>
  <c r="K983" i="7"/>
  <c r="J983" i="7"/>
  <c r="I983" i="7"/>
  <c r="H983" i="7"/>
  <c r="G983" i="7"/>
  <c r="F983" i="7"/>
  <c r="E983" i="7"/>
  <c r="D983" i="7"/>
  <c r="C983" i="7"/>
  <c r="B983" i="7"/>
  <c r="A983" i="7"/>
  <c r="K982" i="7"/>
  <c r="H982" i="7"/>
  <c r="I982" i="7" s="1"/>
  <c r="G982" i="7"/>
  <c r="F982" i="7"/>
  <c r="E982" i="7"/>
  <c r="D982" i="7"/>
  <c r="C982" i="7"/>
  <c r="B982" i="7"/>
  <c r="A982" i="7"/>
  <c r="J982" i="7" s="1"/>
  <c r="K981" i="7"/>
  <c r="H981" i="7"/>
  <c r="I981" i="7" s="1"/>
  <c r="G981" i="7"/>
  <c r="F981" i="7"/>
  <c r="E981" i="7"/>
  <c r="D981" i="7"/>
  <c r="C981" i="7"/>
  <c r="B981" i="7"/>
  <c r="A981" i="7"/>
  <c r="J981" i="7" s="1"/>
  <c r="K980" i="7"/>
  <c r="I980" i="7"/>
  <c r="H980" i="7"/>
  <c r="G980" i="7"/>
  <c r="F980" i="7"/>
  <c r="E980" i="7"/>
  <c r="D980" i="7"/>
  <c r="C980" i="7"/>
  <c r="B980" i="7"/>
  <c r="A980" i="7"/>
  <c r="J980" i="7" s="1"/>
  <c r="K979" i="7"/>
  <c r="H979" i="7"/>
  <c r="I979" i="7" s="1"/>
  <c r="G979" i="7"/>
  <c r="F979" i="7"/>
  <c r="E979" i="7"/>
  <c r="D979" i="7"/>
  <c r="C979" i="7"/>
  <c r="B979" i="7"/>
  <c r="A979" i="7"/>
  <c r="J979" i="7" s="1"/>
  <c r="K978" i="7"/>
  <c r="I978" i="7"/>
  <c r="H978" i="7"/>
  <c r="G978" i="7"/>
  <c r="F978" i="7"/>
  <c r="E978" i="7"/>
  <c r="D978" i="7"/>
  <c r="C978" i="7"/>
  <c r="B978" i="7"/>
  <c r="A978" i="7"/>
  <c r="J978" i="7" s="1"/>
  <c r="K977" i="7"/>
  <c r="H977" i="7"/>
  <c r="I977" i="7" s="1"/>
  <c r="G977" i="7"/>
  <c r="F977" i="7"/>
  <c r="E977" i="7"/>
  <c r="D977" i="7"/>
  <c r="C977" i="7"/>
  <c r="B977" i="7"/>
  <c r="A977" i="7"/>
  <c r="J977" i="7" s="1"/>
  <c r="K976" i="7"/>
  <c r="I976" i="7"/>
  <c r="H976" i="7"/>
  <c r="G976" i="7"/>
  <c r="F976" i="7"/>
  <c r="E976" i="7"/>
  <c r="D976" i="7"/>
  <c r="C976" i="7"/>
  <c r="B976" i="7"/>
  <c r="A976" i="7"/>
  <c r="J976" i="7" s="1"/>
  <c r="K975" i="7"/>
  <c r="H975" i="7"/>
  <c r="I975" i="7" s="1"/>
  <c r="G975" i="7"/>
  <c r="F975" i="7"/>
  <c r="E975" i="7"/>
  <c r="D975" i="7"/>
  <c r="C975" i="7"/>
  <c r="B975" i="7"/>
  <c r="A975" i="7"/>
  <c r="J975" i="7" s="1"/>
  <c r="K974" i="7"/>
  <c r="H974" i="7"/>
  <c r="I974" i="7" s="1"/>
  <c r="G974" i="7"/>
  <c r="F974" i="7"/>
  <c r="E974" i="7"/>
  <c r="D974" i="7"/>
  <c r="C974" i="7"/>
  <c r="B974" i="7"/>
  <c r="A974" i="7"/>
  <c r="J974" i="7" s="1"/>
  <c r="K973" i="7"/>
  <c r="H973" i="7"/>
  <c r="I973" i="7" s="1"/>
  <c r="G973" i="7"/>
  <c r="F973" i="7"/>
  <c r="E973" i="7"/>
  <c r="D973" i="7"/>
  <c r="C973" i="7"/>
  <c r="B973" i="7"/>
  <c r="A973" i="7"/>
  <c r="J973" i="7" s="1"/>
  <c r="K972" i="7"/>
  <c r="J972" i="7"/>
  <c r="H972" i="7"/>
  <c r="I972" i="7" s="1"/>
  <c r="G972" i="7"/>
  <c r="F972" i="7"/>
  <c r="E972" i="7"/>
  <c r="D972" i="7"/>
  <c r="C972" i="7"/>
  <c r="B972" i="7"/>
  <c r="A972" i="7"/>
  <c r="K971" i="7"/>
  <c r="J971" i="7"/>
  <c r="I971" i="7"/>
  <c r="H971" i="7"/>
  <c r="G971" i="7"/>
  <c r="F971" i="7"/>
  <c r="E971" i="7"/>
  <c r="D971" i="7"/>
  <c r="C971" i="7"/>
  <c r="B971" i="7"/>
  <c r="A971" i="7"/>
  <c r="K970" i="7"/>
  <c r="J970" i="7"/>
  <c r="H970" i="7"/>
  <c r="I970" i="7" s="1"/>
  <c r="G970" i="7"/>
  <c r="F970" i="7"/>
  <c r="E970" i="7"/>
  <c r="D970" i="7"/>
  <c r="C970" i="7"/>
  <c r="B970" i="7"/>
  <c r="A970" i="7"/>
  <c r="K969" i="7"/>
  <c r="J969" i="7"/>
  <c r="I969" i="7"/>
  <c r="H969" i="7"/>
  <c r="G969" i="7"/>
  <c r="F969" i="7"/>
  <c r="E969" i="7"/>
  <c r="D969" i="7"/>
  <c r="C969" i="7"/>
  <c r="B969" i="7"/>
  <c r="A969" i="7"/>
  <c r="K968" i="7"/>
  <c r="J968" i="7"/>
  <c r="H968" i="7"/>
  <c r="I968" i="7" s="1"/>
  <c r="G968" i="7"/>
  <c r="F968" i="7"/>
  <c r="E968" i="7"/>
  <c r="D968" i="7"/>
  <c r="C968" i="7"/>
  <c r="B968" i="7"/>
  <c r="A968" i="7"/>
  <c r="K967" i="7"/>
  <c r="H967" i="7"/>
  <c r="I967" i="7" s="1"/>
  <c r="G967" i="7"/>
  <c r="F967" i="7"/>
  <c r="E967" i="7"/>
  <c r="D967" i="7"/>
  <c r="C967" i="7"/>
  <c r="B967" i="7"/>
  <c r="A967" i="7"/>
  <c r="J967" i="7" s="1"/>
  <c r="K966" i="7"/>
  <c r="I966" i="7"/>
  <c r="H966" i="7"/>
  <c r="G966" i="7"/>
  <c r="F966" i="7"/>
  <c r="E966" i="7"/>
  <c r="D966" i="7"/>
  <c r="C966" i="7"/>
  <c r="B966" i="7"/>
  <c r="A966" i="7"/>
  <c r="J966" i="7" s="1"/>
  <c r="K965" i="7"/>
  <c r="I965" i="7"/>
  <c r="H965" i="7"/>
  <c r="G965" i="7"/>
  <c r="F965" i="7"/>
  <c r="E965" i="7"/>
  <c r="D965" i="7"/>
  <c r="C965" i="7"/>
  <c r="B965" i="7"/>
  <c r="A965" i="7"/>
  <c r="J965" i="7" s="1"/>
  <c r="K964" i="7"/>
  <c r="I964" i="7"/>
  <c r="H964" i="7"/>
  <c r="G964" i="7"/>
  <c r="F964" i="7"/>
  <c r="E964" i="7"/>
  <c r="D964" i="7"/>
  <c r="C964" i="7"/>
  <c r="B964" i="7"/>
  <c r="A964" i="7"/>
  <c r="J964" i="7" s="1"/>
  <c r="K963" i="7"/>
  <c r="H963" i="7"/>
  <c r="I963" i="7" s="1"/>
  <c r="G963" i="7"/>
  <c r="F963" i="7"/>
  <c r="E963" i="7"/>
  <c r="D963" i="7"/>
  <c r="C963" i="7"/>
  <c r="B963" i="7"/>
  <c r="A963" i="7"/>
  <c r="J963" i="7" s="1"/>
  <c r="K962" i="7"/>
  <c r="H962" i="7"/>
  <c r="I962" i="7" s="1"/>
  <c r="G962" i="7"/>
  <c r="F962" i="7"/>
  <c r="E962" i="7"/>
  <c r="D962" i="7"/>
  <c r="C962" i="7"/>
  <c r="B962" i="7"/>
  <c r="A962" i="7"/>
  <c r="J962" i="7" s="1"/>
  <c r="K961" i="7"/>
  <c r="I961" i="7"/>
  <c r="H961" i="7"/>
  <c r="G961" i="7"/>
  <c r="F961" i="7"/>
  <c r="E961" i="7"/>
  <c r="D961" i="7"/>
  <c r="C961" i="7"/>
  <c r="B961" i="7"/>
  <c r="A961" i="7"/>
  <c r="J961" i="7" s="1"/>
  <c r="K960" i="7"/>
  <c r="J960" i="7"/>
  <c r="I960" i="7"/>
  <c r="H960" i="7"/>
  <c r="G960" i="7"/>
  <c r="F960" i="7"/>
  <c r="E960" i="7"/>
  <c r="D960" i="7"/>
  <c r="C960" i="7"/>
  <c r="B960" i="7"/>
  <c r="A960" i="7"/>
  <c r="K959" i="7"/>
  <c r="J959" i="7"/>
  <c r="H959" i="7"/>
  <c r="I959" i="7" s="1"/>
  <c r="G959" i="7"/>
  <c r="F959" i="7"/>
  <c r="E959" i="7"/>
  <c r="D959" i="7"/>
  <c r="C959" i="7"/>
  <c r="B959" i="7"/>
  <c r="A959" i="7"/>
  <c r="K958" i="7"/>
  <c r="H958" i="7"/>
  <c r="I958" i="7" s="1"/>
  <c r="G958" i="7"/>
  <c r="F958" i="7"/>
  <c r="E958" i="7"/>
  <c r="D958" i="7"/>
  <c r="C958" i="7"/>
  <c r="B958" i="7"/>
  <c r="A958" i="7"/>
  <c r="J958" i="7" s="1"/>
  <c r="K957" i="7"/>
  <c r="H957" i="7"/>
  <c r="I957" i="7" s="1"/>
  <c r="G957" i="7"/>
  <c r="F957" i="7"/>
  <c r="E957" i="7"/>
  <c r="D957" i="7"/>
  <c r="C957" i="7"/>
  <c r="B957" i="7"/>
  <c r="A957" i="7"/>
  <c r="J957" i="7" s="1"/>
  <c r="K956" i="7"/>
  <c r="I956" i="7"/>
  <c r="H956" i="7"/>
  <c r="G956" i="7"/>
  <c r="F956" i="7"/>
  <c r="E956" i="7"/>
  <c r="D956" i="7"/>
  <c r="C956" i="7"/>
  <c r="B956" i="7"/>
  <c r="A956" i="7"/>
  <c r="J956" i="7" s="1"/>
  <c r="K955" i="7"/>
  <c r="H955" i="7"/>
  <c r="I955" i="7" s="1"/>
  <c r="G955" i="7"/>
  <c r="F955" i="7"/>
  <c r="E955" i="7"/>
  <c r="D955" i="7"/>
  <c r="C955" i="7"/>
  <c r="B955" i="7"/>
  <c r="A955" i="7"/>
  <c r="J955" i="7" s="1"/>
  <c r="K954" i="7"/>
  <c r="H954" i="7"/>
  <c r="I954" i="7" s="1"/>
  <c r="G954" i="7"/>
  <c r="F954" i="7"/>
  <c r="E954" i="7"/>
  <c r="D954" i="7"/>
  <c r="C954" i="7"/>
  <c r="B954" i="7"/>
  <c r="A954" i="7"/>
  <c r="J954" i="7" s="1"/>
  <c r="K953" i="7"/>
  <c r="H953" i="7"/>
  <c r="I953" i="7" s="1"/>
  <c r="G953" i="7"/>
  <c r="F953" i="7"/>
  <c r="E953" i="7"/>
  <c r="D953" i="7"/>
  <c r="C953" i="7"/>
  <c r="B953" i="7"/>
  <c r="A953" i="7"/>
  <c r="J953" i="7" s="1"/>
  <c r="K952" i="7"/>
  <c r="J952" i="7"/>
  <c r="H952" i="7"/>
  <c r="I952" i="7" s="1"/>
  <c r="G952" i="7"/>
  <c r="F952" i="7"/>
  <c r="E952" i="7"/>
  <c r="D952" i="7"/>
  <c r="C952" i="7"/>
  <c r="B952" i="7"/>
  <c r="A952" i="7"/>
  <c r="K951" i="7"/>
  <c r="H951" i="7"/>
  <c r="I951" i="7" s="1"/>
  <c r="G951" i="7"/>
  <c r="F951" i="7"/>
  <c r="E951" i="7"/>
  <c r="D951" i="7"/>
  <c r="C951" i="7"/>
  <c r="B951" i="7"/>
  <c r="A951" i="7"/>
  <c r="J951" i="7" s="1"/>
  <c r="K950" i="7"/>
  <c r="I950" i="7"/>
  <c r="H950" i="7"/>
  <c r="G950" i="7"/>
  <c r="F950" i="7"/>
  <c r="E950" i="7"/>
  <c r="D950" i="7"/>
  <c r="C950" i="7"/>
  <c r="B950" i="7"/>
  <c r="A950" i="7"/>
  <c r="J950" i="7" s="1"/>
  <c r="K949" i="7"/>
  <c r="H949" i="7"/>
  <c r="I949" i="7" s="1"/>
  <c r="G949" i="7"/>
  <c r="F949" i="7"/>
  <c r="E949" i="7"/>
  <c r="D949" i="7"/>
  <c r="C949" i="7"/>
  <c r="B949" i="7"/>
  <c r="A949" i="7"/>
  <c r="J949" i="7" s="1"/>
  <c r="K948" i="7"/>
  <c r="J948" i="7"/>
  <c r="H948" i="7"/>
  <c r="I948" i="7" s="1"/>
  <c r="G948" i="7"/>
  <c r="F948" i="7"/>
  <c r="E948" i="7"/>
  <c r="D948" i="7"/>
  <c r="C948" i="7"/>
  <c r="B948" i="7"/>
  <c r="A948" i="7"/>
  <c r="K947" i="7"/>
  <c r="J947" i="7"/>
  <c r="I947" i="7"/>
  <c r="H947" i="7"/>
  <c r="G947" i="7"/>
  <c r="F947" i="7"/>
  <c r="E947" i="7"/>
  <c r="D947" i="7"/>
  <c r="C947" i="7"/>
  <c r="B947" i="7"/>
  <c r="A947" i="7"/>
  <c r="K946" i="7"/>
  <c r="H946" i="7"/>
  <c r="I946" i="7" s="1"/>
  <c r="G946" i="7"/>
  <c r="F946" i="7"/>
  <c r="E946" i="7"/>
  <c r="D946" i="7"/>
  <c r="C946" i="7"/>
  <c r="B946" i="7"/>
  <c r="A946" i="7"/>
  <c r="J946" i="7" s="1"/>
  <c r="K945" i="7"/>
  <c r="H945" i="7"/>
  <c r="I945" i="7" s="1"/>
  <c r="G945" i="7"/>
  <c r="F945" i="7"/>
  <c r="E945" i="7"/>
  <c r="D945" i="7"/>
  <c r="C945" i="7"/>
  <c r="B945" i="7"/>
  <c r="A945" i="7"/>
  <c r="J945" i="7" s="1"/>
  <c r="K944" i="7"/>
  <c r="H944" i="7"/>
  <c r="I944" i="7" s="1"/>
  <c r="G944" i="7"/>
  <c r="F944" i="7"/>
  <c r="E944" i="7"/>
  <c r="D944" i="7"/>
  <c r="C944" i="7"/>
  <c r="B944" i="7"/>
  <c r="A944" i="7"/>
  <c r="J944" i="7" s="1"/>
  <c r="K943" i="7"/>
  <c r="H943" i="7"/>
  <c r="I943" i="7" s="1"/>
  <c r="G943" i="7"/>
  <c r="F943" i="7"/>
  <c r="E943" i="7"/>
  <c r="D943" i="7"/>
  <c r="C943" i="7"/>
  <c r="B943" i="7"/>
  <c r="A943" i="7"/>
  <c r="J943" i="7" s="1"/>
  <c r="K942" i="7"/>
  <c r="H942" i="7"/>
  <c r="I942" i="7" s="1"/>
  <c r="G942" i="7"/>
  <c r="F942" i="7"/>
  <c r="E942" i="7"/>
  <c r="D942" i="7"/>
  <c r="C942" i="7"/>
  <c r="B942" i="7"/>
  <c r="A942" i="7"/>
  <c r="J942" i="7" s="1"/>
  <c r="K941" i="7"/>
  <c r="H941" i="7"/>
  <c r="I941" i="7" s="1"/>
  <c r="G941" i="7"/>
  <c r="F941" i="7"/>
  <c r="E941" i="7"/>
  <c r="D941" i="7"/>
  <c r="C941" i="7"/>
  <c r="B941" i="7"/>
  <c r="A941" i="7"/>
  <c r="J941" i="7" s="1"/>
  <c r="K940" i="7"/>
  <c r="I940" i="7"/>
  <c r="H940" i="7"/>
  <c r="G940" i="7"/>
  <c r="F940" i="7"/>
  <c r="E940" i="7"/>
  <c r="D940" i="7"/>
  <c r="C940" i="7"/>
  <c r="B940" i="7"/>
  <c r="A940" i="7"/>
  <c r="J940" i="7" s="1"/>
  <c r="K939" i="7"/>
  <c r="H939" i="7"/>
  <c r="I939" i="7" s="1"/>
  <c r="G939" i="7"/>
  <c r="F939" i="7"/>
  <c r="E939" i="7"/>
  <c r="D939" i="7"/>
  <c r="C939" i="7"/>
  <c r="B939" i="7"/>
  <c r="A939" i="7"/>
  <c r="J939" i="7" s="1"/>
  <c r="K938" i="7"/>
  <c r="I938" i="7"/>
  <c r="H938" i="7"/>
  <c r="G938" i="7"/>
  <c r="F938" i="7"/>
  <c r="E938" i="7"/>
  <c r="D938" i="7"/>
  <c r="C938" i="7"/>
  <c r="B938" i="7"/>
  <c r="A938" i="7"/>
  <c r="J938" i="7" s="1"/>
  <c r="K937" i="7"/>
  <c r="H937" i="7"/>
  <c r="I937" i="7" s="1"/>
  <c r="G937" i="7"/>
  <c r="F937" i="7"/>
  <c r="E937" i="7"/>
  <c r="D937" i="7"/>
  <c r="C937" i="7"/>
  <c r="B937" i="7"/>
  <c r="A937" i="7"/>
  <c r="J937" i="7" s="1"/>
  <c r="K936" i="7"/>
  <c r="J936" i="7"/>
  <c r="H936" i="7"/>
  <c r="I936" i="7" s="1"/>
  <c r="G936" i="7"/>
  <c r="F936" i="7"/>
  <c r="E936" i="7"/>
  <c r="D936" i="7"/>
  <c r="C936" i="7"/>
  <c r="B936" i="7"/>
  <c r="A936" i="7"/>
  <c r="K935" i="7"/>
  <c r="J935" i="7"/>
  <c r="H935" i="7"/>
  <c r="I935" i="7" s="1"/>
  <c r="G935" i="7"/>
  <c r="F935" i="7"/>
  <c r="E935" i="7"/>
  <c r="D935" i="7"/>
  <c r="C935" i="7"/>
  <c r="B935" i="7"/>
  <c r="A935" i="7"/>
  <c r="K934" i="7"/>
  <c r="J934" i="7"/>
  <c r="H934" i="7"/>
  <c r="I934" i="7" s="1"/>
  <c r="G934" i="7"/>
  <c r="F934" i="7"/>
  <c r="E934" i="7"/>
  <c r="D934" i="7"/>
  <c r="C934" i="7"/>
  <c r="B934" i="7"/>
  <c r="A934" i="7"/>
  <c r="K933" i="7"/>
  <c r="H933" i="7"/>
  <c r="I933" i="7" s="1"/>
  <c r="G933" i="7"/>
  <c r="F933" i="7"/>
  <c r="E933" i="7"/>
  <c r="D933" i="7"/>
  <c r="C933" i="7"/>
  <c r="B933" i="7"/>
  <c r="A933" i="7"/>
  <c r="J933" i="7" s="1"/>
  <c r="K932" i="7"/>
  <c r="I932" i="7"/>
  <c r="H932" i="7"/>
  <c r="G932" i="7"/>
  <c r="F932" i="7"/>
  <c r="E932" i="7"/>
  <c r="D932" i="7"/>
  <c r="C932" i="7"/>
  <c r="B932" i="7"/>
  <c r="A932" i="7"/>
  <c r="J932" i="7" s="1"/>
  <c r="K931" i="7"/>
  <c r="H931" i="7"/>
  <c r="I931" i="7" s="1"/>
  <c r="G931" i="7"/>
  <c r="F931" i="7"/>
  <c r="E931" i="7"/>
  <c r="D931" i="7"/>
  <c r="C931" i="7"/>
  <c r="B931" i="7"/>
  <c r="A931" i="7"/>
  <c r="J931" i="7" s="1"/>
  <c r="K930" i="7"/>
  <c r="H930" i="7"/>
  <c r="I930" i="7" s="1"/>
  <c r="G930" i="7"/>
  <c r="F930" i="7"/>
  <c r="E930" i="7"/>
  <c r="D930" i="7"/>
  <c r="C930" i="7"/>
  <c r="B930" i="7"/>
  <c r="A930" i="7"/>
  <c r="J930" i="7" s="1"/>
  <c r="K929" i="7"/>
  <c r="H929" i="7"/>
  <c r="I929" i="7" s="1"/>
  <c r="G929" i="7"/>
  <c r="F929" i="7"/>
  <c r="E929" i="7"/>
  <c r="D929" i="7"/>
  <c r="C929" i="7"/>
  <c r="B929" i="7"/>
  <c r="A929" i="7"/>
  <c r="J929" i="7" s="1"/>
  <c r="K928" i="7"/>
  <c r="J928" i="7"/>
  <c r="H928" i="7"/>
  <c r="I928" i="7" s="1"/>
  <c r="G928" i="7"/>
  <c r="F928" i="7"/>
  <c r="E928" i="7"/>
  <c r="D928" i="7"/>
  <c r="C928" i="7"/>
  <c r="B928" i="7"/>
  <c r="A928" i="7"/>
  <c r="K927" i="7"/>
  <c r="H927" i="7"/>
  <c r="I927" i="7" s="1"/>
  <c r="G927" i="7"/>
  <c r="F927" i="7"/>
  <c r="E927" i="7"/>
  <c r="D927" i="7"/>
  <c r="C927" i="7"/>
  <c r="B927" i="7"/>
  <c r="A927" i="7"/>
  <c r="J927" i="7" s="1"/>
  <c r="K926" i="7"/>
  <c r="H926" i="7"/>
  <c r="I926" i="7" s="1"/>
  <c r="G926" i="7"/>
  <c r="F926" i="7"/>
  <c r="E926" i="7"/>
  <c r="D926" i="7"/>
  <c r="C926" i="7"/>
  <c r="B926" i="7"/>
  <c r="A926" i="7"/>
  <c r="J926" i="7" s="1"/>
  <c r="K925" i="7"/>
  <c r="J925" i="7"/>
  <c r="I925" i="7"/>
  <c r="H925" i="7"/>
  <c r="G925" i="7"/>
  <c r="F925" i="7"/>
  <c r="E925" i="7"/>
  <c r="D925" i="7"/>
  <c r="C925" i="7"/>
  <c r="B925" i="7"/>
  <c r="A925" i="7"/>
  <c r="K924" i="7"/>
  <c r="J924" i="7"/>
  <c r="I924" i="7"/>
  <c r="H924" i="7"/>
  <c r="G924" i="7"/>
  <c r="F924" i="7"/>
  <c r="E924" i="7"/>
  <c r="D924" i="7"/>
  <c r="C924" i="7"/>
  <c r="B924" i="7"/>
  <c r="A924" i="7"/>
  <c r="K923" i="7"/>
  <c r="J923" i="7"/>
  <c r="H923" i="7"/>
  <c r="I923" i="7" s="1"/>
  <c r="G923" i="7"/>
  <c r="F923" i="7"/>
  <c r="E923" i="7"/>
  <c r="D923" i="7"/>
  <c r="C923" i="7"/>
  <c r="B923" i="7"/>
  <c r="A923" i="7"/>
  <c r="K922" i="7"/>
  <c r="H922" i="7"/>
  <c r="I922" i="7" s="1"/>
  <c r="G922" i="7"/>
  <c r="F922" i="7"/>
  <c r="E922" i="7"/>
  <c r="D922" i="7"/>
  <c r="C922" i="7"/>
  <c r="B922" i="7"/>
  <c r="A922" i="7"/>
  <c r="J922" i="7" s="1"/>
  <c r="K921" i="7"/>
  <c r="H921" i="7"/>
  <c r="I921" i="7" s="1"/>
  <c r="G921" i="7"/>
  <c r="F921" i="7"/>
  <c r="E921" i="7"/>
  <c r="D921" i="7"/>
  <c r="C921" i="7"/>
  <c r="B921" i="7"/>
  <c r="A921" i="7"/>
  <c r="J921" i="7" s="1"/>
  <c r="K920" i="7"/>
  <c r="H920" i="7"/>
  <c r="I920" i="7" s="1"/>
  <c r="G920" i="7"/>
  <c r="F920" i="7"/>
  <c r="E920" i="7"/>
  <c r="D920" i="7"/>
  <c r="C920" i="7"/>
  <c r="B920" i="7"/>
  <c r="A920" i="7"/>
  <c r="J920" i="7" s="1"/>
  <c r="K919" i="7"/>
  <c r="H919" i="7"/>
  <c r="I919" i="7" s="1"/>
  <c r="G919" i="7"/>
  <c r="F919" i="7"/>
  <c r="E919" i="7"/>
  <c r="D919" i="7"/>
  <c r="C919" i="7"/>
  <c r="B919" i="7"/>
  <c r="A919" i="7"/>
  <c r="J919" i="7" s="1"/>
  <c r="K918" i="7"/>
  <c r="H918" i="7"/>
  <c r="I918" i="7" s="1"/>
  <c r="G918" i="7"/>
  <c r="F918" i="7"/>
  <c r="E918" i="7"/>
  <c r="D918" i="7"/>
  <c r="C918" i="7"/>
  <c r="B918" i="7"/>
  <c r="A918" i="7"/>
  <c r="J918" i="7" s="1"/>
  <c r="K917" i="7"/>
  <c r="H917" i="7"/>
  <c r="I917" i="7" s="1"/>
  <c r="G917" i="7"/>
  <c r="F917" i="7"/>
  <c r="E917" i="7"/>
  <c r="D917" i="7"/>
  <c r="C917" i="7"/>
  <c r="B917" i="7"/>
  <c r="A917" i="7"/>
  <c r="J917" i="7" s="1"/>
  <c r="K916" i="7"/>
  <c r="H916" i="7"/>
  <c r="I916" i="7" s="1"/>
  <c r="G916" i="7"/>
  <c r="F916" i="7"/>
  <c r="E916" i="7"/>
  <c r="D916" i="7"/>
  <c r="C916" i="7"/>
  <c r="B916" i="7"/>
  <c r="A916" i="7"/>
  <c r="J916" i="7" s="1"/>
  <c r="K915" i="7"/>
  <c r="H915" i="7"/>
  <c r="I915" i="7" s="1"/>
  <c r="G915" i="7"/>
  <c r="F915" i="7"/>
  <c r="E915" i="7"/>
  <c r="D915" i="7"/>
  <c r="C915" i="7"/>
  <c r="B915" i="7"/>
  <c r="A915" i="7"/>
  <c r="J915" i="7" s="1"/>
  <c r="K914" i="7"/>
  <c r="H914" i="7"/>
  <c r="I914" i="7" s="1"/>
  <c r="G914" i="7"/>
  <c r="F914" i="7"/>
  <c r="E914" i="7"/>
  <c r="D914" i="7"/>
  <c r="C914" i="7"/>
  <c r="B914" i="7"/>
  <c r="A914" i="7"/>
  <c r="J914" i="7" s="1"/>
  <c r="K913" i="7"/>
  <c r="H913" i="7"/>
  <c r="I913" i="7" s="1"/>
  <c r="G913" i="7"/>
  <c r="F913" i="7"/>
  <c r="E913" i="7"/>
  <c r="D913" i="7"/>
  <c r="C913" i="7"/>
  <c r="B913" i="7"/>
  <c r="A913" i="7"/>
  <c r="J913" i="7" s="1"/>
  <c r="K912" i="7"/>
  <c r="J912" i="7"/>
  <c r="H912" i="7"/>
  <c r="I912" i="7" s="1"/>
  <c r="G912" i="7"/>
  <c r="F912" i="7"/>
  <c r="E912" i="7"/>
  <c r="D912" i="7"/>
  <c r="C912" i="7"/>
  <c r="B912" i="7"/>
  <c r="A912" i="7"/>
  <c r="K911" i="7"/>
  <c r="J911" i="7"/>
  <c r="H911" i="7"/>
  <c r="I911" i="7" s="1"/>
  <c r="G911" i="7"/>
  <c r="F911" i="7"/>
  <c r="E911" i="7"/>
  <c r="D911" i="7"/>
  <c r="C911" i="7"/>
  <c r="B911" i="7"/>
  <c r="A911" i="7"/>
  <c r="K910" i="7"/>
  <c r="H910" i="7"/>
  <c r="I910" i="7" s="1"/>
  <c r="G910" i="7"/>
  <c r="F910" i="7"/>
  <c r="E910" i="7"/>
  <c r="D910" i="7"/>
  <c r="C910" i="7"/>
  <c r="B910" i="7"/>
  <c r="A910" i="7"/>
  <c r="J910" i="7" s="1"/>
  <c r="K909" i="7"/>
  <c r="H909" i="7"/>
  <c r="I909" i="7" s="1"/>
  <c r="G909" i="7"/>
  <c r="F909" i="7"/>
  <c r="E909" i="7"/>
  <c r="D909" i="7"/>
  <c r="C909" i="7"/>
  <c r="B909" i="7"/>
  <c r="A909" i="7"/>
  <c r="J909" i="7" s="1"/>
  <c r="K908" i="7"/>
  <c r="J908" i="7"/>
  <c r="I908" i="7"/>
  <c r="H908" i="7"/>
  <c r="G908" i="7"/>
  <c r="F908" i="7"/>
  <c r="E908" i="7"/>
  <c r="D908" i="7"/>
  <c r="C908" i="7"/>
  <c r="B908" i="7"/>
  <c r="A908" i="7"/>
  <c r="K907" i="7"/>
  <c r="J907" i="7"/>
  <c r="H907" i="7"/>
  <c r="I907" i="7" s="1"/>
  <c r="G907" i="7"/>
  <c r="F907" i="7"/>
  <c r="E907" i="7"/>
  <c r="D907" i="7"/>
  <c r="C907" i="7"/>
  <c r="B907" i="7"/>
  <c r="A907" i="7"/>
  <c r="K906" i="7"/>
  <c r="I906" i="7"/>
  <c r="H906" i="7"/>
  <c r="G906" i="7"/>
  <c r="F906" i="7"/>
  <c r="E906" i="7"/>
  <c r="D906" i="7"/>
  <c r="C906" i="7"/>
  <c r="B906" i="7"/>
  <c r="A906" i="7"/>
  <c r="J906" i="7" s="1"/>
  <c r="K905" i="7"/>
  <c r="I905" i="7"/>
  <c r="H905" i="7"/>
  <c r="G905" i="7"/>
  <c r="F905" i="7"/>
  <c r="E905" i="7"/>
  <c r="D905" i="7"/>
  <c r="C905" i="7"/>
  <c r="B905" i="7"/>
  <c r="A905" i="7"/>
  <c r="J905" i="7" s="1"/>
  <c r="K904" i="7"/>
  <c r="J904" i="7"/>
  <c r="H904" i="7"/>
  <c r="I904" i="7" s="1"/>
  <c r="G904" i="7"/>
  <c r="F904" i="7"/>
  <c r="E904" i="7"/>
  <c r="D904" i="7"/>
  <c r="C904" i="7"/>
  <c r="B904" i="7"/>
  <c r="A904" i="7"/>
  <c r="K903" i="7"/>
  <c r="H903" i="7"/>
  <c r="I903" i="7" s="1"/>
  <c r="G903" i="7"/>
  <c r="F903" i="7"/>
  <c r="E903" i="7"/>
  <c r="D903" i="7"/>
  <c r="C903" i="7"/>
  <c r="B903" i="7"/>
  <c r="A903" i="7"/>
  <c r="J903" i="7" s="1"/>
  <c r="K902" i="7"/>
  <c r="I902" i="7"/>
  <c r="H902" i="7"/>
  <c r="G902" i="7"/>
  <c r="F902" i="7"/>
  <c r="E902" i="7"/>
  <c r="D902" i="7"/>
  <c r="C902" i="7"/>
  <c r="B902" i="7"/>
  <c r="A902" i="7"/>
  <c r="J902" i="7" s="1"/>
  <c r="K901" i="7"/>
  <c r="J901" i="7"/>
  <c r="I901" i="7"/>
  <c r="H901" i="7"/>
  <c r="G901" i="7"/>
  <c r="F901" i="7"/>
  <c r="E901" i="7"/>
  <c r="D901" i="7"/>
  <c r="C901" i="7"/>
  <c r="B901" i="7"/>
  <c r="A901" i="7"/>
  <c r="K900" i="7"/>
  <c r="J900" i="7"/>
  <c r="I900" i="7"/>
  <c r="H900" i="7"/>
  <c r="G900" i="7"/>
  <c r="F900" i="7"/>
  <c r="E900" i="7"/>
  <c r="D900" i="7"/>
  <c r="C900" i="7"/>
  <c r="B900" i="7"/>
  <c r="A900" i="7"/>
  <c r="K899" i="7"/>
  <c r="J899" i="7"/>
  <c r="I899" i="7"/>
  <c r="H899" i="7"/>
  <c r="G899" i="7"/>
  <c r="F899" i="7"/>
  <c r="E899" i="7"/>
  <c r="D899" i="7"/>
  <c r="C899" i="7"/>
  <c r="B899" i="7"/>
  <c r="A899" i="7"/>
  <c r="K898" i="7"/>
  <c r="H898" i="7"/>
  <c r="I898" i="7" s="1"/>
  <c r="G898" i="7"/>
  <c r="F898" i="7"/>
  <c r="E898" i="7"/>
  <c r="D898" i="7"/>
  <c r="C898" i="7"/>
  <c r="B898" i="7"/>
  <c r="A898" i="7"/>
  <c r="J898" i="7" s="1"/>
  <c r="K897" i="7"/>
  <c r="H897" i="7"/>
  <c r="I897" i="7" s="1"/>
  <c r="G897" i="7"/>
  <c r="F897" i="7"/>
  <c r="E897" i="7"/>
  <c r="D897" i="7"/>
  <c r="C897" i="7"/>
  <c r="B897" i="7"/>
  <c r="A897" i="7"/>
  <c r="J897" i="7" s="1"/>
  <c r="K896" i="7"/>
  <c r="H896" i="7"/>
  <c r="I896" i="7" s="1"/>
  <c r="G896" i="7"/>
  <c r="F896" i="7"/>
  <c r="E896" i="7"/>
  <c r="D896" i="7"/>
  <c r="C896" i="7"/>
  <c r="B896" i="7"/>
  <c r="A896" i="7"/>
  <c r="J896" i="7" s="1"/>
  <c r="K895" i="7"/>
  <c r="H895" i="7"/>
  <c r="I895" i="7" s="1"/>
  <c r="G895" i="7"/>
  <c r="F895" i="7"/>
  <c r="E895" i="7"/>
  <c r="D895" i="7"/>
  <c r="C895" i="7"/>
  <c r="B895" i="7"/>
  <c r="A895" i="7"/>
  <c r="J895" i="7" s="1"/>
  <c r="K894" i="7"/>
  <c r="H894" i="7"/>
  <c r="I894" i="7" s="1"/>
  <c r="G894" i="7"/>
  <c r="F894" i="7"/>
  <c r="E894" i="7"/>
  <c r="D894" i="7"/>
  <c r="C894" i="7"/>
  <c r="B894" i="7"/>
  <c r="A894" i="7"/>
  <c r="J894" i="7" s="1"/>
  <c r="K893" i="7"/>
  <c r="I893" i="7"/>
  <c r="H893" i="7"/>
  <c r="G893" i="7"/>
  <c r="F893" i="7"/>
  <c r="E893" i="7"/>
  <c r="D893" i="7"/>
  <c r="C893" i="7"/>
  <c r="B893" i="7"/>
  <c r="A893" i="7"/>
  <c r="J893" i="7" s="1"/>
  <c r="K892" i="7"/>
  <c r="J892" i="7"/>
  <c r="H892" i="7"/>
  <c r="I892" i="7" s="1"/>
  <c r="G892" i="7"/>
  <c r="F892" i="7"/>
  <c r="E892" i="7"/>
  <c r="D892" i="7"/>
  <c r="C892" i="7"/>
  <c r="B892" i="7"/>
  <c r="A892" i="7"/>
  <c r="K891" i="7"/>
  <c r="H891" i="7"/>
  <c r="I891" i="7" s="1"/>
  <c r="G891" i="7"/>
  <c r="F891" i="7"/>
  <c r="E891" i="7"/>
  <c r="D891" i="7"/>
  <c r="C891" i="7"/>
  <c r="B891" i="7"/>
  <c r="A891" i="7"/>
  <c r="J891" i="7" s="1"/>
  <c r="K890" i="7"/>
  <c r="H890" i="7"/>
  <c r="I890" i="7" s="1"/>
  <c r="G890" i="7"/>
  <c r="F890" i="7"/>
  <c r="E890" i="7"/>
  <c r="D890" i="7"/>
  <c r="C890" i="7"/>
  <c r="B890" i="7"/>
  <c r="A890" i="7"/>
  <c r="J890" i="7" s="1"/>
  <c r="K889" i="7"/>
  <c r="J889" i="7"/>
  <c r="H889" i="7"/>
  <c r="I889" i="7" s="1"/>
  <c r="G889" i="7"/>
  <c r="F889" i="7"/>
  <c r="E889" i="7"/>
  <c r="D889" i="7"/>
  <c r="C889" i="7"/>
  <c r="B889" i="7"/>
  <c r="A889" i="7"/>
  <c r="K888" i="7"/>
  <c r="J888" i="7"/>
  <c r="H888" i="7"/>
  <c r="I888" i="7" s="1"/>
  <c r="G888" i="7"/>
  <c r="F888" i="7"/>
  <c r="E888" i="7"/>
  <c r="D888" i="7"/>
  <c r="C888" i="7"/>
  <c r="B888" i="7"/>
  <c r="A888" i="7"/>
  <c r="K887" i="7"/>
  <c r="H887" i="7"/>
  <c r="I887" i="7" s="1"/>
  <c r="G887" i="7"/>
  <c r="F887" i="7"/>
  <c r="E887" i="7"/>
  <c r="D887" i="7"/>
  <c r="C887" i="7"/>
  <c r="B887" i="7"/>
  <c r="A887" i="7"/>
  <c r="J887" i="7" s="1"/>
  <c r="K886" i="7"/>
  <c r="I886" i="7"/>
  <c r="H886" i="7"/>
  <c r="G886" i="7"/>
  <c r="F886" i="7"/>
  <c r="E886" i="7"/>
  <c r="D886" i="7"/>
  <c r="C886" i="7"/>
  <c r="B886" i="7"/>
  <c r="A886" i="7"/>
  <c r="J886" i="7" s="1"/>
  <c r="K885" i="7"/>
  <c r="H885" i="7"/>
  <c r="I885" i="7" s="1"/>
  <c r="G885" i="7"/>
  <c r="F885" i="7"/>
  <c r="E885" i="7"/>
  <c r="D885" i="7"/>
  <c r="C885" i="7"/>
  <c r="B885" i="7"/>
  <c r="A885" i="7"/>
  <c r="J885" i="7" s="1"/>
  <c r="K884" i="7"/>
  <c r="I884" i="7"/>
  <c r="H884" i="7"/>
  <c r="G884" i="7"/>
  <c r="F884" i="7"/>
  <c r="E884" i="7"/>
  <c r="D884" i="7"/>
  <c r="C884" i="7"/>
  <c r="B884" i="7"/>
  <c r="A884" i="7"/>
  <c r="J884" i="7" s="1"/>
  <c r="K883" i="7"/>
  <c r="H883" i="7"/>
  <c r="I883" i="7" s="1"/>
  <c r="G883" i="7"/>
  <c r="F883" i="7"/>
  <c r="E883" i="7"/>
  <c r="D883" i="7"/>
  <c r="C883" i="7"/>
  <c r="B883" i="7"/>
  <c r="A883" i="7"/>
  <c r="J883" i="7" s="1"/>
  <c r="K882" i="7"/>
  <c r="H882" i="7"/>
  <c r="I882" i="7" s="1"/>
  <c r="G882" i="7"/>
  <c r="F882" i="7"/>
  <c r="E882" i="7"/>
  <c r="D882" i="7"/>
  <c r="C882" i="7"/>
  <c r="B882" i="7"/>
  <c r="A882" i="7"/>
  <c r="J882" i="7" s="1"/>
  <c r="K881" i="7"/>
  <c r="I881" i="7"/>
  <c r="H881" i="7"/>
  <c r="G881" i="7"/>
  <c r="F881" i="7"/>
  <c r="E881" i="7"/>
  <c r="D881" i="7"/>
  <c r="C881" i="7"/>
  <c r="B881" i="7"/>
  <c r="A881" i="7"/>
  <c r="J881" i="7" s="1"/>
  <c r="K880" i="7"/>
  <c r="I880" i="7"/>
  <c r="H880" i="7"/>
  <c r="G880" i="7"/>
  <c r="F880" i="7"/>
  <c r="E880" i="7"/>
  <c r="D880" i="7"/>
  <c r="C880" i="7"/>
  <c r="B880" i="7"/>
  <c r="A880" i="7"/>
  <c r="J880" i="7" s="1"/>
  <c r="K879" i="7"/>
  <c r="H879" i="7"/>
  <c r="I879" i="7" s="1"/>
  <c r="G879" i="7"/>
  <c r="F879" i="7"/>
  <c r="E879" i="7"/>
  <c r="D879" i="7"/>
  <c r="C879" i="7"/>
  <c r="B879" i="7"/>
  <c r="A879" i="7"/>
  <c r="J879" i="7" s="1"/>
  <c r="K878" i="7"/>
  <c r="I878" i="7"/>
  <c r="H878" i="7"/>
  <c r="G878" i="7"/>
  <c r="F878" i="7"/>
  <c r="E878" i="7"/>
  <c r="D878" i="7"/>
  <c r="C878" i="7"/>
  <c r="B878" i="7"/>
  <c r="A878" i="7"/>
  <c r="J878" i="7" s="1"/>
  <c r="K877" i="7"/>
  <c r="H877" i="7"/>
  <c r="I877" i="7" s="1"/>
  <c r="G877" i="7"/>
  <c r="F877" i="7"/>
  <c r="E877" i="7"/>
  <c r="D877" i="7"/>
  <c r="C877" i="7"/>
  <c r="B877" i="7"/>
  <c r="A877" i="7"/>
  <c r="J877" i="7" s="1"/>
  <c r="K876" i="7"/>
  <c r="J876" i="7"/>
  <c r="H876" i="7"/>
  <c r="I876" i="7" s="1"/>
  <c r="G876" i="7"/>
  <c r="F876" i="7"/>
  <c r="E876" i="7"/>
  <c r="D876" i="7"/>
  <c r="C876" i="7"/>
  <c r="B876" i="7"/>
  <c r="A876" i="7"/>
  <c r="K875" i="7"/>
  <c r="H875" i="7"/>
  <c r="I875" i="7" s="1"/>
  <c r="G875" i="7"/>
  <c r="F875" i="7"/>
  <c r="E875" i="7"/>
  <c r="D875" i="7"/>
  <c r="C875" i="7"/>
  <c r="B875" i="7"/>
  <c r="A875" i="7"/>
  <c r="J875" i="7" s="1"/>
  <c r="K874" i="7"/>
  <c r="H874" i="7"/>
  <c r="I874" i="7" s="1"/>
  <c r="G874" i="7"/>
  <c r="F874" i="7"/>
  <c r="E874" i="7"/>
  <c r="D874" i="7"/>
  <c r="C874" i="7"/>
  <c r="B874" i="7"/>
  <c r="A874" i="7"/>
  <c r="J874" i="7" s="1"/>
  <c r="K873" i="7"/>
  <c r="H873" i="7"/>
  <c r="I873" i="7" s="1"/>
  <c r="G873" i="7"/>
  <c r="F873" i="7"/>
  <c r="E873" i="7"/>
  <c r="D873" i="7"/>
  <c r="C873" i="7"/>
  <c r="B873" i="7"/>
  <c r="A873" i="7"/>
  <c r="J873" i="7" s="1"/>
  <c r="K872" i="7"/>
  <c r="J872" i="7"/>
  <c r="I872" i="7"/>
  <c r="H872" i="7"/>
  <c r="G872" i="7"/>
  <c r="F872" i="7"/>
  <c r="E872" i="7"/>
  <c r="D872" i="7"/>
  <c r="C872" i="7"/>
  <c r="B872" i="7"/>
  <c r="A872" i="7"/>
  <c r="K871" i="7"/>
  <c r="J871" i="7"/>
  <c r="H871" i="7"/>
  <c r="I871" i="7" s="1"/>
  <c r="G871" i="7"/>
  <c r="F871" i="7"/>
  <c r="E871" i="7"/>
  <c r="D871" i="7"/>
  <c r="C871" i="7"/>
  <c r="B871" i="7"/>
  <c r="A871" i="7"/>
  <c r="K870" i="7"/>
  <c r="H870" i="7"/>
  <c r="I870" i="7" s="1"/>
  <c r="G870" i="7"/>
  <c r="F870" i="7"/>
  <c r="E870" i="7"/>
  <c r="D870" i="7"/>
  <c r="C870" i="7"/>
  <c r="B870" i="7"/>
  <c r="A870" i="7"/>
  <c r="J870" i="7" s="1"/>
  <c r="K869" i="7"/>
  <c r="J869" i="7"/>
  <c r="H869" i="7"/>
  <c r="I869" i="7" s="1"/>
  <c r="G869" i="7"/>
  <c r="F869" i="7"/>
  <c r="E869" i="7"/>
  <c r="D869" i="7"/>
  <c r="C869" i="7"/>
  <c r="B869" i="7"/>
  <c r="A869" i="7"/>
  <c r="K868" i="7"/>
  <c r="I868" i="7"/>
  <c r="H868" i="7"/>
  <c r="G868" i="7"/>
  <c r="F868" i="7"/>
  <c r="E868" i="7"/>
  <c r="D868" i="7"/>
  <c r="C868" i="7"/>
  <c r="B868" i="7"/>
  <c r="A868" i="7"/>
  <c r="J868" i="7" s="1"/>
  <c r="K867" i="7"/>
  <c r="H867" i="7"/>
  <c r="I867" i="7" s="1"/>
  <c r="G867" i="7"/>
  <c r="F867" i="7"/>
  <c r="E867" i="7"/>
  <c r="D867" i="7"/>
  <c r="C867" i="7"/>
  <c r="B867" i="7"/>
  <c r="A867" i="7"/>
  <c r="J867" i="7" s="1"/>
  <c r="K866" i="7"/>
  <c r="I866" i="7"/>
  <c r="H866" i="7"/>
  <c r="G866" i="7"/>
  <c r="F866" i="7"/>
  <c r="E866" i="7"/>
  <c r="D866" i="7"/>
  <c r="C866" i="7"/>
  <c r="B866" i="7"/>
  <c r="A866" i="7"/>
  <c r="J866" i="7" s="1"/>
  <c r="K865" i="7"/>
  <c r="J865" i="7"/>
  <c r="I865" i="7"/>
  <c r="H865" i="7"/>
  <c r="G865" i="7"/>
  <c r="F865" i="7"/>
  <c r="E865" i="7"/>
  <c r="D865" i="7"/>
  <c r="C865" i="7"/>
  <c r="B865" i="7"/>
  <c r="A865" i="7"/>
  <c r="K864" i="7"/>
  <c r="J864" i="7"/>
  <c r="I864" i="7"/>
  <c r="H864" i="7"/>
  <c r="G864" i="7"/>
  <c r="F864" i="7"/>
  <c r="E864" i="7"/>
  <c r="D864" i="7"/>
  <c r="C864" i="7"/>
  <c r="B864" i="7"/>
  <c r="A864" i="7"/>
  <c r="K863" i="7"/>
  <c r="H863" i="7"/>
  <c r="I863" i="7" s="1"/>
  <c r="G863" i="7"/>
  <c r="F863" i="7"/>
  <c r="E863" i="7"/>
  <c r="D863" i="7"/>
  <c r="C863" i="7"/>
  <c r="B863" i="7"/>
  <c r="A863" i="7"/>
  <c r="J863" i="7" s="1"/>
  <c r="K862" i="7"/>
  <c r="H862" i="7"/>
  <c r="I862" i="7" s="1"/>
  <c r="G862" i="7"/>
  <c r="F862" i="7"/>
  <c r="E862" i="7"/>
  <c r="D862" i="7"/>
  <c r="C862" i="7"/>
  <c r="B862" i="7"/>
  <c r="A862" i="7"/>
  <c r="J862" i="7" s="1"/>
  <c r="K861" i="7"/>
  <c r="H861" i="7"/>
  <c r="I861" i="7" s="1"/>
  <c r="G861" i="7"/>
  <c r="F861" i="7"/>
  <c r="E861" i="7"/>
  <c r="D861" i="7"/>
  <c r="C861" i="7"/>
  <c r="B861" i="7"/>
  <c r="A861" i="7"/>
  <c r="J861" i="7" s="1"/>
  <c r="K860" i="7"/>
  <c r="H860" i="7"/>
  <c r="I860" i="7" s="1"/>
  <c r="G860" i="7"/>
  <c r="F860" i="7"/>
  <c r="E860" i="7"/>
  <c r="D860" i="7"/>
  <c r="C860" i="7"/>
  <c r="B860" i="7"/>
  <c r="A860" i="7"/>
  <c r="J860" i="7" s="1"/>
  <c r="K859" i="7"/>
  <c r="H859" i="7"/>
  <c r="I859" i="7" s="1"/>
  <c r="G859" i="7"/>
  <c r="F859" i="7"/>
  <c r="E859" i="7"/>
  <c r="D859" i="7"/>
  <c r="C859" i="7"/>
  <c r="B859" i="7"/>
  <c r="A859" i="7"/>
  <c r="J859" i="7" s="1"/>
  <c r="K858" i="7"/>
  <c r="H858" i="7"/>
  <c r="I858" i="7" s="1"/>
  <c r="G858" i="7"/>
  <c r="F858" i="7"/>
  <c r="E858" i="7"/>
  <c r="D858" i="7"/>
  <c r="C858" i="7"/>
  <c r="B858" i="7"/>
  <c r="A858" i="7"/>
  <c r="J858" i="7" s="1"/>
  <c r="K857" i="7"/>
  <c r="I857" i="7"/>
  <c r="H857" i="7"/>
  <c r="G857" i="7"/>
  <c r="F857" i="7"/>
  <c r="E857" i="7"/>
  <c r="D857" i="7"/>
  <c r="C857" i="7"/>
  <c r="B857" i="7"/>
  <c r="A857" i="7"/>
  <c r="J857" i="7" s="1"/>
  <c r="K856" i="7"/>
  <c r="I856" i="7"/>
  <c r="H856" i="7"/>
  <c r="G856" i="7"/>
  <c r="F856" i="7"/>
  <c r="E856" i="7"/>
  <c r="D856" i="7"/>
  <c r="C856" i="7"/>
  <c r="B856" i="7"/>
  <c r="A856" i="7"/>
  <c r="J856" i="7" s="1"/>
  <c r="K855" i="7"/>
  <c r="H855" i="7"/>
  <c r="I855" i="7" s="1"/>
  <c r="G855" i="7"/>
  <c r="F855" i="7"/>
  <c r="E855" i="7"/>
  <c r="D855" i="7"/>
  <c r="C855" i="7"/>
  <c r="B855" i="7"/>
  <c r="A855" i="7"/>
  <c r="J855" i="7" s="1"/>
  <c r="K854" i="7"/>
  <c r="H854" i="7"/>
  <c r="I854" i="7" s="1"/>
  <c r="G854" i="7"/>
  <c r="F854" i="7"/>
  <c r="E854" i="7"/>
  <c r="D854" i="7"/>
  <c r="C854" i="7"/>
  <c r="B854" i="7"/>
  <c r="A854" i="7"/>
  <c r="J854" i="7" s="1"/>
  <c r="K853" i="7"/>
  <c r="H853" i="7"/>
  <c r="I853" i="7" s="1"/>
  <c r="G853" i="7"/>
  <c r="F853" i="7"/>
  <c r="E853" i="7"/>
  <c r="D853" i="7"/>
  <c r="C853" i="7"/>
  <c r="B853" i="7"/>
  <c r="A853" i="7"/>
  <c r="J853" i="7" s="1"/>
  <c r="K852" i="7"/>
  <c r="J852" i="7"/>
  <c r="H852" i="7"/>
  <c r="I852" i="7" s="1"/>
  <c r="G852" i="7"/>
  <c r="F852" i="7"/>
  <c r="E852" i="7"/>
  <c r="D852" i="7"/>
  <c r="C852" i="7"/>
  <c r="B852" i="7"/>
  <c r="A852" i="7"/>
  <c r="K851" i="7"/>
  <c r="H851" i="7"/>
  <c r="I851" i="7" s="1"/>
  <c r="G851" i="7"/>
  <c r="F851" i="7"/>
  <c r="E851" i="7"/>
  <c r="D851" i="7"/>
  <c r="C851" i="7"/>
  <c r="B851" i="7"/>
  <c r="A851" i="7"/>
  <c r="J851" i="7" s="1"/>
  <c r="K850" i="7"/>
  <c r="H850" i="7"/>
  <c r="I850" i="7" s="1"/>
  <c r="G850" i="7"/>
  <c r="F850" i="7"/>
  <c r="E850" i="7"/>
  <c r="D850" i="7"/>
  <c r="C850" i="7"/>
  <c r="B850" i="7"/>
  <c r="A850" i="7"/>
  <c r="J850" i="7" s="1"/>
  <c r="K849" i="7"/>
  <c r="I849" i="7"/>
  <c r="H849" i="7"/>
  <c r="G849" i="7"/>
  <c r="F849" i="7"/>
  <c r="E849" i="7"/>
  <c r="D849" i="7"/>
  <c r="C849" i="7"/>
  <c r="B849" i="7"/>
  <c r="A849" i="7"/>
  <c r="J849" i="7" s="1"/>
  <c r="K848" i="7"/>
  <c r="J848" i="7"/>
  <c r="I848" i="7"/>
  <c r="H848" i="7"/>
  <c r="G848" i="7"/>
  <c r="F848" i="7"/>
  <c r="E848" i="7"/>
  <c r="D848" i="7"/>
  <c r="C848" i="7"/>
  <c r="B848" i="7"/>
  <c r="A848" i="7"/>
  <c r="K847" i="7"/>
  <c r="J847" i="7"/>
  <c r="H847" i="7"/>
  <c r="I847" i="7" s="1"/>
  <c r="G847" i="7"/>
  <c r="F847" i="7"/>
  <c r="E847" i="7"/>
  <c r="D847" i="7"/>
  <c r="C847" i="7"/>
  <c r="B847" i="7"/>
  <c r="A847" i="7"/>
  <c r="K846" i="7"/>
  <c r="H846" i="7"/>
  <c r="I846" i="7" s="1"/>
  <c r="G846" i="7"/>
  <c r="F846" i="7"/>
  <c r="E846" i="7"/>
  <c r="D846" i="7"/>
  <c r="C846" i="7"/>
  <c r="B846" i="7"/>
  <c r="A846" i="7"/>
  <c r="J846" i="7" s="1"/>
  <c r="K845" i="7"/>
  <c r="I845" i="7"/>
  <c r="H845" i="7"/>
  <c r="G845" i="7"/>
  <c r="F845" i="7"/>
  <c r="E845" i="7"/>
  <c r="D845" i="7"/>
  <c r="C845" i="7"/>
  <c r="B845" i="7"/>
  <c r="A845" i="7"/>
  <c r="J845" i="7" s="1"/>
  <c r="K844" i="7"/>
  <c r="I844" i="7"/>
  <c r="H844" i="7"/>
  <c r="G844" i="7"/>
  <c r="F844" i="7"/>
  <c r="E844" i="7"/>
  <c r="D844" i="7"/>
  <c r="C844" i="7"/>
  <c r="B844" i="7"/>
  <c r="A844" i="7"/>
  <c r="J844" i="7" s="1"/>
  <c r="K843" i="7"/>
  <c r="H843" i="7"/>
  <c r="I843" i="7" s="1"/>
  <c r="G843" i="7"/>
  <c r="F843" i="7"/>
  <c r="E843" i="7"/>
  <c r="D843" i="7"/>
  <c r="C843" i="7"/>
  <c r="B843" i="7"/>
  <c r="A843" i="7"/>
  <c r="J843" i="7" s="1"/>
  <c r="K842" i="7"/>
  <c r="H842" i="7"/>
  <c r="I842" i="7" s="1"/>
  <c r="G842" i="7"/>
  <c r="F842" i="7"/>
  <c r="E842" i="7"/>
  <c r="D842" i="7"/>
  <c r="C842" i="7"/>
  <c r="B842" i="7"/>
  <c r="A842" i="7"/>
  <c r="J842" i="7" s="1"/>
  <c r="K841" i="7"/>
  <c r="H841" i="7"/>
  <c r="I841" i="7" s="1"/>
  <c r="G841" i="7"/>
  <c r="F841" i="7"/>
  <c r="E841" i="7"/>
  <c r="D841" i="7"/>
  <c r="C841" i="7"/>
  <c r="B841" i="7"/>
  <c r="A841" i="7"/>
  <c r="J841" i="7" s="1"/>
  <c r="K840" i="7"/>
  <c r="J840" i="7"/>
  <c r="H840" i="7"/>
  <c r="I840" i="7" s="1"/>
  <c r="G840" i="7"/>
  <c r="F840" i="7"/>
  <c r="E840" i="7"/>
  <c r="D840" i="7"/>
  <c r="C840" i="7"/>
  <c r="B840" i="7"/>
  <c r="A840" i="7"/>
  <c r="K839" i="7"/>
  <c r="J839" i="7"/>
  <c r="H839" i="7"/>
  <c r="I839" i="7" s="1"/>
  <c r="G839" i="7"/>
  <c r="F839" i="7"/>
  <c r="E839" i="7"/>
  <c r="D839" i="7"/>
  <c r="C839" i="7"/>
  <c r="B839" i="7"/>
  <c r="A839" i="7"/>
  <c r="K838" i="7"/>
  <c r="H838" i="7"/>
  <c r="I838" i="7" s="1"/>
  <c r="G838" i="7"/>
  <c r="F838" i="7"/>
  <c r="E838" i="7"/>
  <c r="D838" i="7"/>
  <c r="C838" i="7"/>
  <c r="B838" i="7"/>
  <c r="A838" i="7"/>
  <c r="J838" i="7" s="1"/>
  <c r="K837" i="7"/>
  <c r="H837" i="7"/>
  <c r="I837" i="7" s="1"/>
  <c r="G837" i="7"/>
  <c r="F837" i="7"/>
  <c r="E837" i="7"/>
  <c r="D837" i="7"/>
  <c r="C837" i="7"/>
  <c r="B837" i="7"/>
  <c r="A837" i="7"/>
  <c r="J837" i="7" s="1"/>
  <c r="K836" i="7"/>
  <c r="H836" i="7"/>
  <c r="I836" i="7" s="1"/>
  <c r="G836" i="7"/>
  <c r="F836" i="7"/>
  <c r="E836" i="7"/>
  <c r="D836" i="7"/>
  <c r="C836" i="7"/>
  <c r="B836" i="7"/>
  <c r="A836" i="7"/>
  <c r="J836" i="7" s="1"/>
  <c r="K835" i="7"/>
  <c r="H835" i="7"/>
  <c r="I835" i="7" s="1"/>
  <c r="G835" i="7"/>
  <c r="F835" i="7"/>
  <c r="E835" i="7"/>
  <c r="D835" i="7"/>
  <c r="C835" i="7"/>
  <c r="B835" i="7"/>
  <c r="A835" i="7"/>
  <c r="J835" i="7" s="1"/>
  <c r="K834" i="7"/>
  <c r="H834" i="7"/>
  <c r="I834" i="7" s="1"/>
  <c r="G834" i="7"/>
  <c r="F834" i="7"/>
  <c r="E834" i="7"/>
  <c r="D834" i="7"/>
  <c r="C834" i="7"/>
  <c r="B834" i="7"/>
  <c r="A834" i="7"/>
  <c r="J834" i="7" s="1"/>
  <c r="K833" i="7"/>
  <c r="I833" i="7"/>
  <c r="H833" i="7"/>
  <c r="G833" i="7"/>
  <c r="F833" i="7"/>
  <c r="E833" i="7"/>
  <c r="D833" i="7"/>
  <c r="C833" i="7"/>
  <c r="B833" i="7"/>
  <c r="A833" i="7"/>
  <c r="J833" i="7" s="1"/>
  <c r="K832" i="7"/>
  <c r="H832" i="7"/>
  <c r="I832" i="7" s="1"/>
  <c r="G832" i="7"/>
  <c r="F832" i="7"/>
  <c r="E832" i="7"/>
  <c r="D832" i="7"/>
  <c r="C832" i="7"/>
  <c r="B832" i="7"/>
  <c r="A832" i="7"/>
  <c r="J832" i="7" s="1"/>
  <c r="K831" i="7"/>
  <c r="H831" i="7"/>
  <c r="I831" i="7" s="1"/>
  <c r="G831" i="7"/>
  <c r="F831" i="7"/>
  <c r="E831" i="7"/>
  <c r="D831" i="7"/>
  <c r="C831" i="7"/>
  <c r="B831" i="7"/>
  <c r="A831" i="7"/>
  <c r="J831" i="7" s="1"/>
  <c r="K830" i="7"/>
  <c r="H830" i="7"/>
  <c r="I830" i="7" s="1"/>
  <c r="G830" i="7"/>
  <c r="F830" i="7"/>
  <c r="E830" i="7"/>
  <c r="D830" i="7"/>
  <c r="C830" i="7"/>
  <c r="B830" i="7"/>
  <c r="A830" i="7"/>
  <c r="J830" i="7" s="1"/>
  <c r="K829" i="7"/>
  <c r="J829" i="7"/>
  <c r="H829" i="7"/>
  <c r="I829" i="7" s="1"/>
  <c r="G829" i="7"/>
  <c r="F829" i="7"/>
  <c r="E829" i="7"/>
  <c r="D829" i="7"/>
  <c r="C829" i="7"/>
  <c r="B829" i="7"/>
  <c r="A829" i="7"/>
  <c r="K828" i="7"/>
  <c r="I828" i="7"/>
  <c r="H828" i="7"/>
  <c r="G828" i="7"/>
  <c r="F828" i="7"/>
  <c r="E828" i="7"/>
  <c r="D828" i="7"/>
  <c r="C828" i="7"/>
  <c r="B828" i="7"/>
  <c r="A828" i="7"/>
  <c r="J828" i="7" s="1"/>
  <c r="K827" i="7"/>
  <c r="H827" i="7"/>
  <c r="I827" i="7" s="1"/>
  <c r="G827" i="7"/>
  <c r="F827" i="7"/>
  <c r="E827" i="7"/>
  <c r="D827" i="7"/>
  <c r="C827" i="7"/>
  <c r="B827" i="7"/>
  <c r="A827" i="7"/>
  <c r="J827" i="7" s="1"/>
  <c r="K826" i="7"/>
  <c r="H826" i="7"/>
  <c r="I826" i="7" s="1"/>
  <c r="G826" i="7"/>
  <c r="F826" i="7"/>
  <c r="E826" i="7"/>
  <c r="D826" i="7"/>
  <c r="C826" i="7"/>
  <c r="B826" i="7"/>
  <c r="A826" i="7"/>
  <c r="J826" i="7" s="1"/>
  <c r="K825" i="7"/>
  <c r="J825" i="7"/>
  <c r="I825" i="7"/>
  <c r="H825" i="7"/>
  <c r="G825" i="7"/>
  <c r="F825" i="7"/>
  <c r="E825" i="7"/>
  <c r="D825" i="7"/>
  <c r="C825" i="7"/>
  <c r="B825" i="7"/>
  <c r="A825" i="7"/>
  <c r="K824" i="7"/>
  <c r="J824" i="7"/>
  <c r="I824" i="7"/>
  <c r="H824" i="7"/>
  <c r="G824" i="7"/>
  <c r="F824" i="7"/>
  <c r="E824" i="7"/>
  <c r="D824" i="7"/>
  <c r="C824" i="7"/>
  <c r="B824" i="7"/>
  <c r="A824" i="7"/>
  <c r="K823" i="7"/>
  <c r="H823" i="7"/>
  <c r="I823" i="7" s="1"/>
  <c r="G823" i="7"/>
  <c r="F823" i="7"/>
  <c r="E823" i="7"/>
  <c r="D823" i="7"/>
  <c r="C823" i="7"/>
  <c r="B823" i="7"/>
  <c r="A823" i="7"/>
  <c r="J823" i="7" s="1"/>
  <c r="K822" i="7"/>
  <c r="H822" i="7"/>
  <c r="I822" i="7" s="1"/>
  <c r="G822" i="7"/>
  <c r="F822" i="7"/>
  <c r="E822" i="7"/>
  <c r="D822" i="7"/>
  <c r="C822" i="7"/>
  <c r="B822" i="7"/>
  <c r="A822" i="7"/>
  <c r="J822" i="7" s="1"/>
  <c r="K821" i="7"/>
  <c r="H821" i="7"/>
  <c r="I821" i="7" s="1"/>
  <c r="G821" i="7"/>
  <c r="F821" i="7"/>
  <c r="E821" i="7"/>
  <c r="D821" i="7"/>
  <c r="C821" i="7"/>
  <c r="B821" i="7"/>
  <c r="A821" i="7"/>
  <c r="J821" i="7" s="1"/>
  <c r="K820" i="7"/>
  <c r="H820" i="7"/>
  <c r="I820" i="7" s="1"/>
  <c r="G820" i="7"/>
  <c r="F820" i="7"/>
  <c r="E820" i="7"/>
  <c r="D820" i="7"/>
  <c r="C820" i="7"/>
  <c r="B820" i="7"/>
  <c r="A820" i="7"/>
  <c r="J820" i="7" s="1"/>
  <c r="K819" i="7"/>
  <c r="H819" i="7"/>
  <c r="I819" i="7" s="1"/>
  <c r="G819" i="7"/>
  <c r="F819" i="7"/>
  <c r="E819" i="7"/>
  <c r="D819" i="7"/>
  <c r="C819" i="7"/>
  <c r="B819" i="7"/>
  <c r="A819" i="7"/>
  <c r="J819" i="7" s="1"/>
  <c r="K818" i="7"/>
  <c r="H818" i="7"/>
  <c r="I818" i="7" s="1"/>
  <c r="G818" i="7"/>
  <c r="F818" i="7"/>
  <c r="E818" i="7"/>
  <c r="D818" i="7"/>
  <c r="C818" i="7"/>
  <c r="B818" i="7"/>
  <c r="A818" i="7"/>
  <c r="J818" i="7" s="1"/>
  <c r="K817" i="7"/>
  <c r="H817" i="7"/>
  <c r="I817" i="7" s="1"/>
  <c r="G817" i="7"/>
  <c r="F817" i="7"/>
  <c r="E817" i="7"/>
  <c r="D817" i="7"/>
  <c r="C817" i="7"/>
  <c r="B817" i="7"/>
  <c r="A817" i="7"/>
  <c r="J817" i="7" s="1"/>
  <c r="K816" i="7"/>
  <c r="I816" i="7"/>
  <c r="H816" i="7"/>
  <c r="G816" i="7"/>
  <c r="F816" i="7"/>
  <c r="E816" i="7"/>
  <c r="D816" i="7"/>
  <c r="C816" i="7"/>
  <c r="B816" i="7"/>
  <c r="A816" i="7"/>
  <c r="J816" i="7" s="1"/>
  <c r="K815" i="7"/>
  <c r="H815" i="7"/>
  <c r="I815" i="7" s="1"/>
  <c r="G815" i="7"/>
  <c r="F815" i="7"/>
  <c r="E815" i="7"/>
  <c r="D815" i="7"/>
  <c r="C815" i="7"/>
  <c r="B815" i="7"/>
  <c r="A815" i="7"/>
  <c r="J815" i="7" s="1"/>
  <c r="K814" i="7"/>
  <c r="H814" i="7"/>
  <c r="I814" i="7" s="1"/>
  <c r="G814" i="7"/>
  <c r="F814" i="7"/>
  <c r="E814" i="7"/>
  <c r="D814" i="7"/>
  <c r="C814" i="7"/>
  <c r="B814" i="7"/>
  <c r="A814" i="7"/>
  <c r="J814" i="7" s="1"/>
  <c r="K813" i="7"/>
  <c r="H813" i="7"/>
  <c r="I813" i="7" s="1"/>
  <c r="G813" i="7"/>
  <c r="F813" i="7"/>
  <c r="E813" i="7"/>
  <c r="D813" i="7"/>
  <c r="C813" i="7"/>
  <c r="B813" i="7"/>
  <c r="A813" i="7"/>
  <c r="J813" i="7" s="1"/>
  <c r="K812" i="7"/>
  <c r="J812" i="7"/>
  <c r="H812" i="7"/>
  <c r="I812" i="7" s="1"/>
  <c r="G812" i="7"/>
  <c r="F812" i="7"/>
  <c r="E812" i="7"/>
  <c r="D812" i="7"/>
  <c r="C812" i="7"/>
  <c r="B812" i="7"/>
  <c r="A812" i="7"/>
  <c r="K811" i="7"/>
  <c r="J811" i="7"/>
  <c r="H811" i="7"/>
  <c r="I811" i="7" s="1"/>
  <c r="G811" i="7"/>
  <c r="F811" i="7"/>
  <c r="E811" i="7"/>
  <c r="D811" i="7"/>
  <c r="C811" i="7"/>
  <c r="B811" i="7"/>
  <c r="A811" i="7"/>
  <c r="K810" i="7"/>
  <c r="H810" i="7"/>
  <c r="I810" i="7" s="1"/>
  <c r="G810" i="7"/>
  <c r="F810" i="7"/>
  <c r="E810" i="7"/>
  <c r="D810" i="7"/>
  <c r="C810" i="7"/>
  <c r="B810" i="7"/>
  <c r="A810" i="7"/>
  <c r="J810" i="7" s="1"/>
  <c r="K809" i="7"/>
  <c r="I809" i="7"/>
  <c r="H809" i="7"/>
  <c r="G809" i="7"/>
  <c r="F809" i="7"/>
  <c r="E809" i="7"/>
  <c r="D809" i="7"/>
  <c r="C809" i="7"/>
  <c r="B809" i="7"/>
  <c r="A809" i="7"/>
  <c r="J809" i="7" s="1"/>
  <c r="K808" i="7"/>
  <c r="J808" i="7"/>
  <c r="I808" i="7"/>
  <c r="H808" i="7"/>
  <c r="G808" i="7"/>
  <c r="F808" i="7"/>
  <c r="E808" i="7"/>
  <c r="D808" i="7"/>
  <c r="C808" i="7"/>
  <c r="B808" i="7"/>
  <c r="A808" i="7"/>
  <c r="K807" i="7"/>
  <c r="H807" i="7"/>
  <c r="I807" i="7" s="1"/>
  <c r="G807" i="7"/>
  <c r="F807" i="7"/>
  <c r="E807" i="7"/>
  <c r="D807" i="7"/>
  <c r="C807" i="7"/>
  <c r="B807" i="7"/>
  <c r="A807" i="7"/>
  <c r="J807" i="7" s="1"/>
  <c r="K806" i="7"/>
  <c r="H806" i="7"/>
  <c r="I806" i="7" s="1"/>
  <c r="G806" i="7"/>
  <c r="F806" i="7"/>
  <c r="E806" i="7"/>
  <c r="D806" i="7"/>
  <c r="C806" i="7"/>
  <c r="B806" i="7"/>
  <c r="A806" i="7"/>
  <c r="J806" i="7" s="1"/>
  <c r="K805" i="7"/>
  <c r="J805" i="7"/>
  <c r="H805" i="7"/>
  <c r="I805" i="7" s="1"/>
  <c r="G805" i="7"/>
  <c r="F805" i="7"/>
  <c r="E805" i="7"/>
  <c r="D805" i="7"/>
  <c r="C805" i="7"/>
  <c r="B805" i="7"/>
  <c r="A805" i="7"/>
  <c r="K804" i="7"/>
  <c r="H804" i="7"/>
  <c r="I804" i="7" s="1"/>
  <c r="G804" i="7"/>
  <c r="F804" i="7"/>
  <c r="E804" i="7"/>
  <c r="D804" i="7"/>
  <c r="C804" i="7"/>
  <c r="B804" i="7"/>
  <c r="A804" i="7"/>
  <c r="J804" i="7" s="1"/>
  <c r="K803" i="7"/>
  <c r="H803" i="7"/>
  <c r="I803" i="7" s="1"/>
  <c r="G803" i="7"/>
  <c r="F803" i="7"/>
  <c r="E803" i="7"/>
  <c r="D803" i="7"/>
  <c r="C803" i="7"/>
  <c r="B803" i="7"/>
  <c r="A803" i="7"/>
  <c r="J803" i="7" s="1"/>
  <c r="K802" i="7"/>
  <c r="I802" i="7"/>
  <c r="H802" i="7"/>
  <c r="G802" i="7"/>
  <c r="F802" i="7"/>
  <c r="E802" i="7"/>
  <c r="D802" i="7"/>
  <c r="C802" i="7"/>
  <c r="B802" i="7"/>
  <c r="A802" i="7"/>
  <c r="J802" i="7" s="1"/>
  <c r="K801" i="7"/>
  <c r="H801" i="7"/>
  <c r="I801" i="7" s="1"/>
  <c r="G801" i="7"/>
  <c r="F801" i="7"/>
  <c r="E801" i="7"/>
  <c r="D801" i="7"/>
  <c r="C801" i="7"/>
  <c r="B801" i="7"/>
  <c r="A801" i="7"/>
  <c r="J801" i="7" s="1"/>
  <c r="K800" i="7"/>
  <c r="H800" i="7"/>
  <c r="I800" i="7" s="1"/>
  <c r="G800" i="7"/>
  <c r="F800" i="7"/>
  <c r="E800" i="7"/>
  <c r="D800" i="7"/>
  <c r="C800" i="7"/>
  <c r="B800" i="7"/>
  <c r="A800" i="7"/>
  <c r="J800" i="7" s="1"/>
  <c r="K799" i="7"/>
  <c r="H799" i="7"/>
  <c r="I799" i="7" s="1"/>
  <c r="G799" i="7"/>
  <c r="F799" i="7"/>
  <c r="E799" i="7"/>
  <c r="D799" i="7"/>
  <c r="C799" i="7"/>
  <c r="B799" i="7"/>
  <c r="A799" i="7"/>
  <c r="J799" i="7" s="1"/>
  <c r="K798" i="7"/>
  <c r="H798" i="7"/>
  <c r="I798" i="7" s="1"/>
  <c r="G798" i="7"/>
  <c r="F798" i="7"/>
  <c r="E798" i="7"/>
  <c r="D798" i="7"/>
  <c r="C798" i="7"/>
  <c r="B798" i="7"/>
  <c r="A798" i="7"/>
  <c r="J798" i="7" s="1"/>
  <c r="K797" i="7"/>
  <c r="I797" i="7"/>
  <c r="H797" i="7"/>
  <c r="G797" i="7"/>
  <c r="F797" i="7"/>
  <c r="E797" i="7"/>
  <c r="D797" i="7"/>
  <c r="C797" i="7"/>
  <c r="B797" i="7"/>
  <c r="A797" i="7"/>
  <c r="J797" i="7" s="1"/>
  <c r="K796" i="7"/>
  <c r="H796" i="7"/>
  <c r="I796" i="7" s="1"/>
  <c r="G796" i="7"/>
  <c r="F796" i="7"/>
  <c r="E796" i="7"/>
  <c r="D796" i="7"/>
  <c r="C796" i="7"/>
  <c r="B796" i="7"/>
  <c r="A796" i="7"/>
  <c r="J796" i="7" s="1"/>
  <c r="K795" i="7"/>
  <c r="H795" i="7"/>
  <c r="I795" i="7" s="1"/>
  <c r="G795" i="7"/>
  <c r="F795" i="7"/>
  <c r="E795" i="7"/>
  <c r="D795" i="7"/>
  <c r="C795" i="7"/>
  <c r="B795" i="7"/>
  <c r="A795" i="7"/>
  <c r="J795" i="7" s="1"/>
  <c r="K794" i="7"/>
  <c r="H794" i="7"/>
  <c r="I794" i="7" s="1"/>
  <c r="G794" i="7"/>
  <c r="F794" i="7"/>
  <c r="E794" i="7"/>
  <c r="D794" i="7"/>
  <c r="C794" i="7"/>
  <c r="B794" i="7"/>
  <c r="A794" i="7"/>
  <c r="J794" i="7" s="1"/>
  <c r="K793" i="7"/>
  <c r="H793" i="7"/>
  <c r="I793" i="7" s="1"/>
  <c r="G793" i="7"/>
  <c r="F793" i="7"/>
  <c r="E793" i="7"/>
  <c r="D793" i="7"/>
  <c r="C793" i="7"/>
  <c r="B793" i="7"/>
  <c r="A793" i="7"/>
  <c r="J793" i="7" s="1"/>
  <c r="K792" i="7"/>
  <c r="H792" i="7"/>
  <c r="I792" i="7" s="1"/>
  <c r="G792" i="7"/>
  <c r="F792" i="7"/>
  <c r="E792" i="7"/>
  <c r="D792" i="7"/>
  <c r="C792" i="7"/>
  <c r="B792" i="7"/>
  <c r="A792" i="7"/>
  <c r="J792" i="7" s="1"/>
  <c r="K791" i="7"/>
  <c r="J791" i="7"/>
  <c r="H791" i="7"/>
  <c r="I791" i="7" s="1"/>
  <c r="G791" i="7"/>
  <c r="F791" i="7"/>
  <c r="E791" i="7"/>
  <c r="D791" i="7"/>
  <c r="C791" i="7"/>
  <c r="B791" i="7"/>
  <c r="A791" i="7"/>
  <c r="K790" i="7"/>
  <c r="J790" i="7"/>
  <c r="H790" i="7"/>
  <c r="I790" i="7" s="1"/>
  <c r="G790" i="7"/>
  <c r="F790" i="7"/>
  <c r="E790" i="7"/>
  <c r="D790" i="7"/>
  <c r="C790" i="7"/>
  <c r="B790" i="7"/>
  <c r="A790" i="7"/>
  <c r="K789" i="7"/>
  <c r="J789" i="7"/>
  <c r="H789" i="7"/>
  <c r="I789" i="7" s="1"/>
  <c r="G789" i="7"/>
  <c r="F789" i="7"/>
  <c r="E789" i="7"/>
  <c r="D789" i="7"/>
  <c r="C789" i="7"/>
  <c r="B789" i="7"/>
  <c r="A789" i="7"/>
  <c r="K788" i="7"/>
  <c r="J788" i="7"/>
  <c r="H788" i="7"/>
  <c r="I788" i="7" s="1"/>
  <c r="G788" i="7"/>
  <c r="F788" i="7"/>
  <c r="E788" i="7"/>
  <c r="D788" i="7"/>
  <c r="C788" i="7"/>
  <c r="B788" i="7"/>
  <c r="A788" i="7"/>
  <c r="K787" i="7"/>
  <c r="H787" i="7"/>
  <c r="I787" i="7" s="1"/>
  <c r="G787" i="7"/>
  <c r="F787" i="7"/>
  <c r="E787" i="7"/>
  <c r="D787" i="7"/>
  <c r="C787" i="7"/>
  <c r="B787" i="7"/>
  <c r="A787" i="7"/>
  <c r="J787" i="7" s="1"/>
  <c r="K786" i="7"/>
  <c r="I786" i="7"/>
  <c r="H786" i="7"/>
  <c r="G786" i="7"/>
  <c r="F786" i="7"/>
  <c r="E786" i="7"/>
  <c r="D786" i="7"/>
  <c r="C786" i="7"/>
  <c r="B786" i="7"/>
  <c r="A786" i="7"/>
  <c r="J786" i="7" s="1"/>
  <c r="K785" i="7"/>
  <c r="J785" i="7"/>
  <c r="I785" i="7"/>
  <c r="H785" i="7"/>
  <c r="G785" i="7"/>
  <c r="F785" i="7"/>
  <c r="E785" i="7"/>
  <c r="D785" i="7"/>
  <c r="C785" i="7"/>
  <c r="B785" i="7"/>
  <c r="A785" i="7"/>
  <c r="K784" i="7"/>
  <c r="J784" i="7"/>
  <c r="I784" i="7"/>
  <c r="H784" i="7"/>
  <c r="G784" i="7"/>
  <c r="F784" i="7"/>
  <c r="E784" i="7"/>
  <c r="D784" i="7"/>
  <c r="C784" i="7"/>
  <c r="B784" i="7"/>
  <c r="A784" i="7"/>
  <c r="K783" i="7"/>
  <c r="H783" i="7"/>
  <c r="I783" i="7" s="1"/>
  <c r="G783" i="7"/>
  <c r="F783" i="7"/>
  <c r="E783" i="7"/>
  <c r="D783" i="7"/>
  <c r="C783" i="7"/>
  <c r="B783" i="7"/>
  <c r="A783" i="7"/>
  <c r="J783" i="7" s="1"/>
  <c r="K782" i="7"/>
  <c r="H782" i="7"/>
  <c r="I782" i="7" s="1"/>
  <c r="G782" i="7"/>
  <c r="F782" i="7"/>
  <c r="E782" i="7"/>
  <c r="D782" i="7"/>
  <c r="C782" i="7"/>
  <c r="B782" i="7"/>
  <c r="A782" i="7"/>
  <c r="J782" i="7" s="1"/>
  <c r="K781" i="7"/>
  <c r="H781" i="7"/>
  <c r="I781" i="7" s="1"/>
  <c r="G781" i="7"/>
  <c r="F781" i="7"/>
  <c r="E781" i="7"/>
  <c r="D781" i="7"/>
  <c r="C781" i="7"/>
  <c r="B781" i="7"/>
  <c r="A781" i="7"/>
  <c r="J781" i="7" s="1"/>
  <c r="K780" i="7"/>
  <c r="H780" i="7"/>
  <c r="I780" i="7" s="1"/>
  <c r="G780" i="7"/>
  <c r="F780" i="7"/>
  <c r="E780" i="7"/>
  <c r="D780" i="7"/>
  <c r="C780" i="7"/>
  <c r="B780" i="7"/>
  <c r="A780" i="7"/>
  <c r="J780" i="7" s="1"/>
  <c r="K779" i="7"/>
  <c r="H779" i="7"/>
  <c r="I779" i="7" s="1"/>
  <c r="G779" i="7"/>
  <c r="F779" i="7"/>
  <c r="E779" i="7"/>
  <c r="D779" i="7"/>
  <c r="C779" i="7"/>
  <c r="B779" i="7"/>
  <c r="A779" i="7"/>
  <c r="J779" i="7" s="1"/>
  <c r="K778" i="7"/>
  <c r="I778" i="7"/>
  <c r="H778" i="7"/>
  <c r="G778" i="7"/>
  <c r="F778" i="7"/>
  <c r="E778" i="7"/>
  <c r="D778" i="7"/>
  <c r="C778" i="7"/>
  <c r="B778" i="7"/>
  <c r="A778" i="7"/>
  <c r="J778" i="7" s="1"/>
  <c r="K777" i="7"/>
  <c r="I777" i="7"/>
  <c r="H777" i="7"/>
  <c r="G777" i="7"/>
  <c r="F777" i="7"/>
  <c r="E777" i="7"/>
  <c r="D777" i="7"/>
  <c r="C777" i="7"/>
  <c r="B777" i="7"/>
  <c r="A777" i="7"/>
  <c r="J777" i="7" s="1"/>
  <c r="K776" i="7"/>
  <c r="I776" i="7"/>
  <c r="H776" i="7"/>
  <c r="G776" i="7"/>
  <c r="F776" i="7"/>
  <c r="E776" i="7"/>
  <c r="D776" i="7"/>
  <c r="C776" i="7"/>
  <c r="B776" i="7"/>
  <c r="A776" i="7"/>
  <c r="J776" i="7" s="1"/>
  <c r="K775" i="7"/>
  <c r="H775" i="7"/>
  <c r="I775" i="7" s="1"/>
  <c r="G775" i="7"/>
  <c r="F775" i="7"/>
  <c r="E775" i="7"/>
  <c r="D775" i="7"/>
  <c r="C775" i="7"/>
  <c r="B775" i="7"/>
  <c r="A775" i="7"/>
  <c r="J775" i="7" s="1"/>
  <c r="K774" i="7"/>
  <c r="H774" i="7"/>
  <c r="I774" i="7" s="1"/>
  <c r="G774" i="7"/>
  <c r="F774" i="7"/>
  <c r="E774" i="7"/>
  <c r="D774" i="7"/>
  <c r="C774" i="7"/>
  <c r="B774" i="7"/>
  <c r="A774" i="7"/>
  <c r="J774" i="7" s="1"/>
  <c r="K773" i="7"/>
  <c r="I773" i="7"/>
  <c r="H773" i="7"/>
  <c r="G773" i="7"/>
  <c r="F773" i="7"/>
  <c r="E773" i="7"/>
  <c r="D773" i="7"/>
  <c r="C773" i="7"/>
  <c r="B773" i="7"/>
  <c r="A773" i="7"/>
  <c r="J773" i="7" s="1"/>
  <c r="K772" i="7"/>
  <c r="I772" i="7"/>
  <c r="H772" i="7"/>
  <c r="G772" i="7"/>
  <c r="F772" i="7"/>
  <c r="E772" i="7"/>
  <c r="D772" i="7"/>
  <c r="C772" i="7"/>
  <c r="B772" i="7"/>
  <c r="A772" i="7"/>
  <c r="J772" i="7" s="1"/>
  <c r="K771" i="7"/>
  <c r="H771" i="7"/>
  <c r="I771" i="7" s="1"/>
  <c r="G771" i="7"/>
  <c r="F771" i="7"/>
  <c r="E771" i="7"/>
  <c r="D771" i="7"/>
  <c r="C771" i="7"/>
  <c r="B771" i="7"/>
  <c r="A771" i="7"/>
  <c r="J771" i="7" s="1"/>
  <c r="K770" i="7"/>
  <c r="H770" i="7"/>
  <c r="I770" i="7" s="1"/>
  <c r="G770" i="7"/>
  <c r="F770" i="7"/>
  <c r="E770" i="7"/>
  <c r="D770" i="7"/>
  <c r="C770" i="7"/>
  <c r="B770" i="7"/>
  <c r="A770" i="7"/>
  <c r="J770" i="7" s="1"/>
  <c r="K769" i="7"/>
  <c r="H769" i="7"/>
  <c r="I769" i="7" s="1"/>
  <c r="G769" i="7"/>
  <c r="F769" i="7"/>
  <c r="E769" i="7"/>
  <c r="D769" i="7"/>
  <c r="C769" i="7"/>
  <c r="B769" i="7"/>
  <c r="A769" i="7"/>
  <c r="J769" i="7" s="1"/>
  <c r="K768" i="7"/>
  <c r="J768" i="7"/>
  <c r="H768" i="7"/>
  <c r="I768" i="7" s="1"/>
  <c r="G768" i="7"/>
  <c r="F768" i="7"/>
  <c r="E768" i="7"/>
  <c r="D768" i="7"/>
  <c r="C768" i="7"/>
  <c r="B768" i="7"/>
  <c r="A768" i="7"/>
  <c r="K767" i="7"/>
  <c r="J767" i="7"/>
  <c r="H767" i="7"/>
  <c r="I767" i="7" s="1"/>
  <c r="G767" i="7"/>
  <c r="F767" i="7"/>
  <c r="E767" i="7"/>
  <c r="D767" i="7"/>
  <c r="C767" i="7"/>
  <c r="B767" i="7"/>
  <c r="A767" i="7"/>
  <c r="K766" i="7"/>
  <c r="J766" i="7"/>
  <c r="I766" i="7"/>
  <c r="H766" i="7"/>
  <c r="G766" i="7"/>
  <c r="F766" i="7"/>
  <c r="E766" i="7"/>
  <c r="D766" i="7"/>
  <c r="C766" i="7"/>
  <c r="B766" i="7"/>
  <c r="A766" i="7"/>
  <c r="K765" i="7"/>
  <c r="J765" i="7"/>
  <c r="H765" i="7"/>
  <c r="I765" i="7" s="1"/>
  <c r="G765" i="7"/>
  <c r="F765" i="7"/>
  <c r="E765" i="7"/>
  <c r="D765" i="7"/>
  <c r="C765" i="7"/>
  <c r="B765" i="7"/>
  <c r="A765" i="7"/>
  <c r="K764" i="7"/>
  <c r="H764" i="7"/>
  <c r="I764" i="7" s="1"/>
  <c r="G764" i="7"/>
  <c r="F764" i="7"/>
  <c r="E764" i="7"/>
  <c r="D764" i="7"/>
  <c r="C764" i="7"/>
  <c r="B764" i="7"/>
  <c r="A764" i="7"/>
  <c r="J764" i="7" s="1"/>
  <c r="K763" i="7"/>
  <c r="I763" i="7"/>
  <c r="H763" i="7"/>
  <c r="G763" i="7"/>
  <c r="F763" i="7"/>
  <c r="E763" i="7"/>
  <c r="D763" i="7"/>
  <c r="C763" i="7"/>
  <c r="B763" i="7"/>
  <c r="A763" i="7"/>
  <c r="J763" i="7" s="1"/>
  <c r="K762" i="7"/>
  <c r="J762" i="7"/>
  <c r="H762" i="7"/>
  <c r="I762" i="7" s="1"/>
  <c r="G762" i="7"/>
  <c r="F762" i="7"/>
  <c r="E762" i="7"/>
  <c r="D762" i="7"/>
  <c r="C762" i="7"/>
  <c r="B762" i="7"/>
  <c r="A762" i="7"/>
  <c r="K761" i="7"/>
  <c r="H761" i="7"/>
  <c r="I761" i="7" s="1"/>
  <c r="G761" i="7"/>
  <c r="F761" i="7"/>
  <c r="E761" i="7"/>
  <c r="D761" i="7"/>
  <c r="C761" i="7"/>
  <c r="B761" i="7"/>
  <c r="A761" i="7"/>
  <c r="J761" i="7" s="1"/>
  <c r="K760" i="7"/>
  <c r="H760" i="7"/>
  <c r="I760" i="7" s="1"/>
  <c r="G760" i="7"/>
  <c r="F760" i="7"/>
  <c r="E760" i="7"/>
  <c r="D760" i="7"/>
  <c r="C760" i="7"/>
  <c r="B760" i="7"/>
  <c r="A760" i="7"/>
  <c r="J760" i="7" s="1"/>
  <c r="K759" i="7"/>
  <c r="H759" i="7"/>
  <c r="I759" i="7" s="1"/>
  <c r="G759" i="7"/>
  <c r="F759" i="7"/>
  <c r="E759" i="7"/>
  <c r="D759" i="7"/>
  <c r="C759" i="7"/>
  <c r="B759" i="7"/>
  <c r="A759" i="7"/>
  <c r="J759" i="7" s="1"/>
  <c r="K758" i="7"/>
  <c r="H758" i="7"/>
  <c r="I758" i="7" s="1"/>
  <c r="G758" i="7"/>
  <c r="F758" i="7"/>
  <c r="E758" i="7"/>
  <c r="D758" i="7"/>
  <c r="C758" i="7"/>
  <c r="B758" i="7"/>
  <c r="A758" i="7"/>
  <c r="J758" i="7" s="1"/>
  <c r="K757" i="7"/>
  <c r="H757" i="7"/>
  <c r="I757" i="7" s="1"/>
  <c r="G757" i="7"/>
  <c r="F757" i="7"/>
  <c r="E757" i="7"/>
  <c r="D757" i="7"/>
  <c r="C757" i="7"/>
  <c r="B757" i="7"/>
  <c r="A757" i="7"/>
  <c r="J757" i="7" s="1"/>
  <c r="K756" i="7"/>
  <c r="H756" i="7"/>
  <c r="I756" i="7" s="1"/>
  <c r="G756" i="7"/>
  <c r="F756" i="7"/>
  <c r="E756" i="7"/>
  <c r="D756" i="7"/>
  <c r="C756" i="7"/>
  <c r="B756" i="7"/>
  <c r="A756" i="7"/>
  <c r="J756" i="7" s="1"/>
  <c r="K755" i="7"/>
  <c r="J755" i="7"/>
  <c r="H755" i="7"/>
  <c r="I755" i="7" s="1"/>
  <c r="G755" i="7"/>
  <c r="F755" i="7"/>
  <c r="E755" i="7"/>
  <c r="D755" i="7"/>
  <c r="C755" i="7"/>
  <c r="B755" i="7"/>
  <c r="A755" i="7"/>
  <c r="K754" i="7"/>
  <c r="J754" i="7"/>
  <c r="H754" i="7"/>
  <c r="I754" i="7" s="1"/>
  <c r="G754" i="7"/>
  <c r="F754" i="7"/>
  <c r="E754" i="7"/>
  <c r="D754" i="7"/>
  <c r="C754" i="7"/>
  <c r="B754" i="7"/>
  <c r="A754" i="7"/>
  <c r="K753" i="7"/>
  <c r="H753" i="7"/>
  <c r="I753" i="7" s="1"/>
  <c r="G753" i="7"/>
  <c r="F753" i="7"/>
  <c r="E753" i="7"/>
  <c r="D753" i="7"/>
  <c r="C753" i="7"/>
  <c r="B753" i="7"/>
  <c r="A753" i="7"/>
  <c r="J753" i="7" s="1"/>
  <c r="K752" i="7"/>
  <c r="H752" i="7"/>
  <c r="I752" i="7" s="1"/>
  <c r="G752" i="7"/>
  <c r="F752" i="7"/>
  <c r="E752" i="7"/>
  <c r="D752" i="7"/>
  <c r="C752" i="7"/>
  <c r="B752" i="7"/>
  <c r="A752" i="7"/>
  <c r="J752" i="7" s="1"/>
  <c r="K751" i="7"/>
  <c r="J751" i="7"/>
  <c r="H751" i="7"/>
  <c r="I751" i="7" s="1"/>
  <c r="G751" i="7"/>
  <c r="F751" i="7"/>
  <c r="E751" i="7"/>
  <c r="D751" i="7"/>
  <c r="C751" i="7"/>
  <c r="B751" i="7"/>
  <c r="A751" i="7"/>
  <c r="K750" i="7"/>
  <c r="J750" i="7"/>
  <c r="H750" i="7"/>
  <c r="I750" i="7" s="1"/>
  <c r="G750" i="7"/>
  <c r="F750" i="7"/>
  <c r="E750" i="7"/>
  <c r="D750" i="7"/>
  <c r="C750" i="7"/>
  <c r="B750" i="7"/>
  <c r="A750" i="7"/>
  <c r="K749" i="7"/>
  <c r="J749" i="7"/>
  <c r="H749" i="7"/>
  <c r="I749" i="7" s="1"/>
  <c r="G749" i="7"/>
  <c r="F749" i="7"/>
  <c r="E749" i="7"/>
  <c r="D749" i="7"/>
  <c r="C749" i="7"/>
  <c r="B749" i="7"/>
  <c r="A749" i="7"/>
  <c r="K748" i="7"/>
  <c r="J748" i="7"/>
  <c r="I748" i="7"/>
  <c r="H748" i="7"/>
  <c r="G748" i="7"/>
  <c r="F748" i="7"/>
  <c r="E748" i="7"/>
  <c r="D748" i="7"/>
  <c r="C748" i="7"/>
  <c r="B748" i="7"/>
  <c r="A748" i="7"/>
  <c r="K747" i="7"/>
  <c r="H747" i="7"/>
  <c r="I747" i="7" s="1"/>
  <c r="G747" i="7"/>
  <c r="F747" i="7"/>
  <c r="E747" i="7"/>
  <c r="D747" i="7"/>
  <c r="C747" i="7"/>
  <c r="B747" i="7"/>
  <c r="A747" i="7"/>
  <c r="J747" i="7" s="1"/>
  <c r="K746" i="7"/>
  <c r="H746" i="7"/>
  <c r="I746" i="7" s="1"/>
  <c r="G746" i="7"/>
  <c r="F746" i="7"/>
  <c r="E746" i="7"/>
  <c r="D746" i="7"/>
  <c r="C746" i="7"/>
  <c r="B746" i="7"/>
  <c r="A746" i="7"/>
  <c r="J746" i="7" s="1"/>
  <c r="K745" i="7"/>
  <c r="I745" i="7"/>
  <c r="H745" i="7"/>
  <c r="G745" i="7"/>
  <c r="F745" i="7"/>
  <c r="E745" i="7"/>
  <c r="D745" i="7"/>
  <c r="C745" i="7"/>
  <c r="B745" i="7"/>
  <c r="A745" i="7"/>
  <c r="J745" i="7" s="1"/>
  <c r="K744" i="7"/>
  <c r="H744" i="7"/>
  <c r="I744" i="7" s="1"/>
  <c r="G744" i="7"/>
  <c r="F744" i="7"/>
  <c r="E744" i="7"/>
  <c r="D744" i="7"/>
  <c r="C744" i="7"/>
  <c r="B744" i="7"/>
  <c r="A744" i="7"/>
  <c r="J744" i="7" s="1"/>
  <c r="K743" i="7"/>
  <c r="J743" i="7"/>
  <c r="H743" i="7"/>
  <c r="I743" i="7" s="1"/>
  <c r="G743" i="7"/>
  <c r="F743" i="7"/>
  <c r="E743" i="7"/>
  <c r="D743" i="7"/>
  <c r="C743" i="7"/>
  <c r="B743" i="7"/>
  <c r="A743" i="7"/>
  <c r="K742" i="7"/>
  <c r="H742" i="7"/>
  <c r="I742" i="7" s="1"/>
  <c r="G742" i="7"/>
  <c r="F742" i="7"/>
  <c r="E742" i="7"/>
  <c r="D742" i="7"/>
  <c r="C742" i="7"/>
  <c r="B742" i="7"/>
  <c r="A742" i="7"/>
  <c r="J742" i="7" s="1"/>
  <c r="K741" i="7"/>
  <c r="H741" i="7"/>
  <c r="I741" i="7" s="1"/>
  <c r="G741" i="7"/>
  <c r="F741" i="7"/>
  <c r="E741" i="7"/>
  <c r="D741" i="7"/>
  <c r="C741" i="7"/>
  <c r="B741" i="7"/>
  <c r="A741" i="7"/>
  <c r="J741" i="7" s="1"/>
  <c r="K740" i="7"/>
  <c r="J740" i="7"/>
  <c r="H740" i="7"/>
  <c r="I740" i="7" s="1"/>
  <c r="G740" i="7"/>
  <c r="F740" i="7"/>
  <c r="E740" i="7"/>
  <c r="D740" i="7"/>
  <c r="C740" i="7"/>
  <c r="B740" i="7"/>
  <c r="A740" i="7"/>
  <c r="K739" i="7"/>
  <c r="J739" i="7"/>
  <c r="H739" i="7"/>
  <c r="I739" i="7" s="1"/>
  <c r="G739" i="7"/>
  <c r="F739" i="7"/>
  <c r="E739" i="7"/>
  <c r="D739" i="7"/>
  <c r="C739" i="7"/>
  <c r="B739" i="7"/>
  <c r="A739" i="7"/>
  <c r="K738" i="7"/>
  <c r="J738" i="7"/>
  <c r="H738" i="7"/>
  <c r="I738" i="7" s="1"/>
  <c r="G738" i="7"/>
  <c r="F738" i="7"/>
  <c r="E738" i="7"/>
  <c r="D738" i="7"/>
  <c r="C738" i="7"/>
  <c r="B738" i="7"/>
  <c r="A738" i="7"/>
  <c r="K737" i="7"/>
  <c r="H737" i="7"/>
  <c r="I737" i="7" s="1"/>
  <c r="G737" i="7"/>
  <c r="F737" i="7"/>
  <c r="E737" i="7"/>
  <c r="D737" i="7"/>
  <c r="C737" i="7"/>
  <c r="B737" i="7"/>
  <c r="A737" i="7"/>
  <c r="J737" i="7" s="1"/>
  <c r="K736" i="7"/>
  <c r="I736" i="7"/>
  <c r="H736" i="7"/>
  <c r="G736" i="7"/>
  <c r="F736" i="7"/>
  <c r="E736" i="7"/>
  <c r="D736" i="7"/>
  <c r="C736" i="7"/>
  <c r="B736" i="7"/>
  <c r="A736" i="7"/>
  <c r="J736" i="7" s="1"/>
  <c r="K735" i="7"/>
  <c r="H735" i="7"/>
  <c r="I735" i="7" s="1"/>
  <c r="G735" i="7"/>
  <c r="F735" i="7"/>
  <c r="E735" i="7"/>
  <c r="D735" i="7"/>
  <c r="C735" i="7"/>
  <c r="B735" i="7"/>
  <c r="A735" i="7"/>
  <c r="J735" i="7" s="1"/>
  <c r="K734" i="7"/>
  <c r="I734" i="7"/>
  <c r="H734" i="7"/>
  <c r="G734" i="7"/>
  <c r="F734" i="7"/>
  <c r="E734" i="7"/>
  <c r="D734" i="7"/>
  <c r="C734" i="7"/>
  <c r="B734" i="7"/>
  <c r="A734" i="7"/>
  <c r="J734" i="7" s="1"/>
  <c r="K733" i="7"/>
  <c r="J733" i="7"/>
  <c r="I733" i="7"/>
  <c r="H733" i="7"/>
  <c r="G733" i="7"/>
  <c r="F733" i="7"/>
  <c r="E733" i="7"/>
  <c r="D733" i="7"/>
  <c r="C733" i="7"/>
  <c r="B733" i="7"/>
  <c r="A733" i="7"/>
  <c r="K732" i="7"/>
  <c r="H732" i="7"/>
  <c r="I732" i="7" s="1"/>
  <c r="G732" i="7"/>
  <c r="F732" i="7"/>
  <c r="E732" i="7"/>
  <c r="D732" i="7"/>
  <c r="C732" i="7"/>
  <c r="B732" i="7"/>
  <c r="A732" i="7"/>
  <c r="J732" i="7" s="1"/>
  <c r="K731" i="7"/>
  <c r="J731" i="7"/>
  <c r="H731" i="7"/>
  <c r="I731" i="7" s="1"/>
  <c r="G731" i="7"/>
  <c r="F731" i="7"/>
  <c r="E731" i="7"/>
  <c r="D731" i="7"/>
  <c r="C731" i="7"/>
  <c r="B731" i="7"/>
  <c r="A731" i="7"/>
  <c r="K730" i="7"/>
  <c r="H730" i="7"/>
  <c r="I730" i="7" s="1"/>
  <c r="G730" i="7"/>
  <c r="F730" i="7"/>
  <c r="E730" i="7"/>
  <c r="D730" i="7"/>
  <c r="C730" i="7"/>
  <c r="B730" i="7"/>
  <c r="A730" i="7"/>
  <c r="J730" i="7" s="1"/>
  <c r="K729" i="7"/>
  <c r="H729" i="7"/>
  <c r="I729" i="7" s="1"/>
  <c r="G729" i="7"/>
  <c r="F729" i="7"/>
  <c r="E729" i="7"/>
  <c r="D729" i="7"/>
  <c r="C729" i="7"/>
  <c r="B729" i="7"/>
  <c r="A729" i="7"/>
  <c r="J729" i="7" s="1"/>
  <c r="K728" i="7"/>
  <c r="H728" i="7"/>
  <c r="I728" i="7" s="1"/>
  <c r="G728" i="7"/>
  <c r="F728" i="7"/>
  <c r="E728" i="7"/>
  <c r="D728" i="7"/>
  <c r="C728" i="7"/>
  <c r="B728" i="7"/>
  <c r="A728" i="7"/>
  <c r="J728" i="7" s="1"/>
  <c r="K727" i="7"/>
  <c r="H727" i="7"/>
  <c r="I727" i="7" s="1"/>
  <c r="G727" i="7"/>
  <c r="F727" i="7"/>
  <c r="E727" i="7"/>
  <c r="D727" i="7"/>
  <c r="C727" i="7"/>
  <c r="B727" i="7"/>
  <c r="A727" i="7"/>
  <c r="J727" i="7" s="1"/>
  <c r="K726" i="7"/>
  <c r="J726" i="7"/>
  <c r="H726" i="7"/>
  <c r="I726" i="7" s="1"/>
  <c r="G726" i="7"/>
  <c r="F726" i="7"/>
  <c r="E726" i="7"/>
  <c r="D726" i="7"/>
  <c r="C726" i="7"/>
  <c r="B726" i="7"/>
  <c r="A726" i="7"/>
  <c r="K725" i="7"/>
  <c r="J725" i="7"/>
  <c r="H725" i="7"/>
  <c r="I725" i="7" s="1"/>
  <c r="G725" i="7"/>
  <c r="F725" i="7"/>
  <c r="E725" i="7"/>
  <c r="D725" i="7"/>
  <c r="C725" i="7"/>
  <c r="B725" i="7"/>
  <c r="A725" i="7"/>
  <c r="K724" i="7"/>
  <c r="I724" i="7"/>
  <c r="H724" i="7"/>
  <c r="G724" i="7"/>
  <c r="F724" i="7"/>
  <c r="E724" i="7"/>
  <c r="D724" i="7"/>
  <c r="C724" i="7"/>
  <c r="B724" i="7"/>
  <c r="A724" i="7"/>
  <c r="J724" i="7" s="1"/>
  <c r="K723" i="7"/>
  <c r="H723" i="7"/>
  <c r="I723" i="7" s="1"/>
  <c r="G723" i="7"/>
  <c r="F723" i="7"/>
  <c r="E723" i="7"/>
  <c r="D723" i="7"/>
  <c r="C723" i="7"/>
  <c r="B723" i="7"/>
  <c r="A723" i="7"/>
  <c r="J723" i="7" s="1"/>
  <c r="K722" i="7"/>
  <c r="H722" i="7"/>
  <c r="I722" i="7" s="1"/>
  <c r="G722" i="7"/>
  <c r="F722" i="7"/>
  <c r="E722" i="7"/>
  <c r="D722" i="7"/>
  <c r="C722" i="7"/>
  <c r="B722" i="7"/>
  <c r="A722" i="7"/>
  <c r="J722" i="7" s="1"/>
  <c r="K721" i="7"/>
  <c r="J721" i="7"/>
  <c r="H721" i="7"/>
  <c r="I721" i="7" s="1"/>
  <c r="G721" i="7"/>
  <c r="F721" i="7"/>
  <c r="E721" i="7"/>
  <c r="D721" i="7"/>
  <c r="C721" i="7"/>
  <c r="B721" i="7"/>
  <c r="A721" i="7"/>
  <c r="K720" i="7"/>
  <c r="J720" i="7"/>
  <c r="I720" i="7"/>
  <c r="H720" i="7"/>
  <c r="G720" i="7"/>
  <c r="F720" i="7"/>
  <c r="E720" i="7"/>
  <c r="D720" i="7"/>
  <c r="C720" i="7"/>
  <c r="B720" i="7"/>
  <c r="A720" i="7"/>
  <c r="K719" i="7"/>
  <c r="I719" i="7"/>
  <c r="H719" i="7"/>
  <c r="G719" i="7"/>
  <c r="F719" i="7"/>
  <c r="E719" i="7"/>
  <c r="D719" i="7"/>
  <c r="C719" i="7"/>
  <c r="B719" i="7"/>
  <c r="A719" i="7"/>
  <c r="J719" i="7" s="1"/>
  <c r="K718" i="7"/>
  <c r="H718" i="7"/>
  <c r="I718" i="7" s="1"/>
  <c r="G718" i="7"/>
  <c r="F718" i="7"/>
  <c r="E718" i="7"/>
  <c r="D718" i="7"/>
  <c r="C718" i="7"/>
  <c r="B718" i="7"/>
  <c r="A718" i="7"/>
  <c r="J718" i="7" s="1"/>
  <c r="K717" i="7"/>
  <c r="H717" i="7"/>
  <c r="I717" i="7" s="1"/>
  <c r="G717" i="7"/>
  <c r="F717" i="7"/>
  <c r="E717" i="7"/>
  <c r="D717" i="7"/>
  <c r="C717" i="7"/>
  <c r="B717" i="7"/>
  <c r="A717" i="7"/>
  <c r="J717" i="7" s="1"/>
  <c r="K716" i="7"/>
  <c r="I716" i="7"/>
  <c r="H716" i="7"/>
  <c r="G716" i="7"/>
  <c r="F716" i="7"/>
  <c r="E716" i="7"/>
  <c r="D716" i="7"/>
  <c r="C716" i="7"/>
  <c r="B716" i="7"/>
  <c r="A716" i="7"/>
  <c r="J716" i="7" s="1"/>
  <c r="K715" i="7"/>
  <c r="H715" i="7"/>
  <c r="I715" i="7" s="1"/>
  <c r="G715" i="7"/>
  <c r="F715" i="7"/>
  <c r="E715" i="7"/>
  <c r="D715" i="7"/>
  <c r="C715" i="7"/>
  <c r="B715" i="7"/>
  <c r="A715" i="7"/>
  <c r="J715" i="7" s="1"/>
  <c r="K714" i="7"/>
  <c r="H714" i="7"/>
  <c r="I714" i="7" s="1"/>
  <c r="G714" i="7"/>
  <c r="F714" i="7"/>
  <c r="E714" i="7"/>
  <c r="D714" i="7"/>
  <c r="C714" i="7"/>
  <c r="B714" i="7"/>
  <c r="A714" i="7"/>
  <c r="J714" i="7" s="1"/>
  <c r="K713" i="7"/>
  <c r="H713" i="7"/>
  <c r="I713" i="7" s="1"/>
  <c r="G713" i="7"/>
  <c r="F713" i="7"/>
  <c r="E713" i="7"/>
  <c r="D713" i="7"/>
  <c r="C713" i="7"/>
  <c r="B713" i="7"/>
  <c r="A713" i="7"/>
  <c r="J713" i="7" s="1"/>
  <c r="K712" i="7"/>
  <c r="H712" i="7"/>
  <c r="I712" i="7" s="1"/>
  <c r="G712" i="7"/>
  <c r="F712" i="7"/>
  <c r="E712" i="7"/>
  <c r="D712" i="7"/>
  <c r="C712" i="7"/>
  <c r="B712" i="7"/>
  <c r="A712" i="7"/>
  <c r="J712" i="7" s="1"/>
  <c r="K711" i="7"/>
  <c r="H711" i="7"/>
  <c r="I711" i="7" s="1"/>
  <c r="G711" i="7"/>
  <c r="F711" i="7"/>
  <c r="E711" i="7"/>
  <c r="D711" i="7"/>
  <c r="C711" i="7"/>
  <c r="B711" i="7"/>
  <c r="A711" i="7"/>
  <c r="J711" i="7" s="1"/>
  <c r="K710" i="7"/>
  <c r="H710" i="7"/>
  <c r="I710" i="7" s="1"/>
  <c r="G710" i="7"/>
  <c r="F710" i="7"/>
  <c r="E710" i="7"/>
  <c r="D710" i="7"/>
  <c r="C710" i="7"/>
  <c r="B710" i="7"/>
  <c r="A710" i="7"/>
  <c r="J710" i="7" s="1"/>
  <c r="K709" i="7"/>
  <c r="J709" i="7"/>
  <c r="H709" i="7"/>
  <c r="I709" i="7" s="1"/>
  <c r="G709" i="7"/>
  <c r="F709" i="7"/>
  <c r="E709" i="7"/>
  <c r="D709" i="7"/>
  <c r="C709" i="7"/>
  <c r="B709" i="7"/>
  <c r="A709" i="7"/>
  <c r="K708" i="7"/>
  <c r="J708" i="7"/>
  <c r="H708" i="7"/>
  <c r="I708" i="7" s="1"/>
  <c r="G708" i="7"/>
  <c r="F708" i="7"/>
  <c r="E708" i="7"/>
  <c r="D708" i="7"/>
  <c r="C708" i="7"/>
  <c r="B708" i="7"/>
  <c r="A708" i="7"/>
  <c r="K707" i="7"/>
  <c r="H707" i="7"/>
  <c r="I707" i="7" s="1"/>
  <c r="G707" i="7"/>
  <c r="F707" i="7"/>
  <c r="E707" i="7"/>
  <c r="D707" i="7"/>
  <c r="C707" i="7"/>
  <c r="B707" i="7"/>
  <c r="A707" i="7"/>
  <c r="J707" i="7" s="1"/>
  <c r="K706" i="7"/>
  <c r="H706" i="7"/>
  <c r="I706" i="7" s="1"/>
  <c r="G706" i="7"/>
  <c r="F706" i="7"/>
  <c r="E706" i="7"/>
  <c r="D706" i="7"/>
  <c r="C706" i="7"/>
  <c r="B706" i="7"/>
  <c r="A706" i="7"/>
  <c r="J706" i="7" s="1"/>
  <c r="K705" i="7"/>
  <c r="I705" i="7"/>
  <c r="H705" i="7"/>
  <c r="G705" i="7"/>
  <c r="F705" i="7"/>
  <c r="E705" i="7"/>
  <c r="D705" i="7"/>
  <c r="C705" i="7"/>
  <c r="B705" i="7"/>
  <c r="A705" i="7"/>
  <c r="J705" i="7" s="1"/>
  <c r="K704" i="7"/>
  <c r="H704" i="7"/>
  <c r="I704" i="7" s="1"/>
  <c r="G704" i="7"/>
  <c r="F704" i="7"/>
  <c r="E704" i="7"/>
  <c r="D704" i="7"/>
  <c r="C704" i="7"/>
  <c r="B704" i="7"/>
  <c r="A704" i="7"/>
  <c r="J704" i="7" s="1"/>
  <c r="K703" i="7"/>
  <c r="I703" i="7"/>
  <c r="H703" i="7"/>
  <c r="G703" i="7"/>
  <c r="F703" i="7"/>
  <c r="E703" i="7"/>
  <c r="D703" i="7"/>
  <c r="C703" i="7"/>
  <c r="B703" i="7"/>
  <c r="A703" i="7"/>
  <c r="J703" i="7" s="1"/>
  <c r="K702" i="7"/>
  <c r="I702" i="7"/>
  <c r="H702" i="7"/>
  <c r="G702" i="7"/>
  <c r="F702" i="7"/>
  <c r="E702" i="7"/>
  <c r="D702" i="7"/>
  <c r="C702" i="7"/>
  <c r="B702" i="7"/>
  <c r="A702" i="7"/>
  <c r="J702" i="7" s="1"/>
  <c r="K701" i="7"/>
  <c r="H701" i="7"/>
  <c r="I701" i="7" s="1"/>
  <c r="G701" i="7"/>
  <c r="F701" i="7"/>
  <c r="E701" i="7"/>
  <c r="D701" i="7"/>
  <c r="C701" i="7"/>
  <c r="B701" i="7"/>
  <c r="A701" i="7"/>
  <c r="J701" i="7" s="1"/>
  <c r="K700" i="7"/>
  <c r="I700" i="7"/>
  <c r="H700" i="7"/>
  <c r="G700" i="7"/>
  <c r="F700" i="7"/>
  <c r="E700" i="7"/>
  <c r="D700" i="7"/>
  <c r="C700" i="7"/>
  <c r="B700" i="7"/>
  <c r="A700" i="7"/>
  <c r="J700" i="7" s="1"/>
  <c r="K699" i="7"/>
  <c r="H699" i="7"/>
  <c r="I699" i="7" s="1"/>
  <c r="G699" i="7"/>
  <c r="F699" i="7"/>
  <c r="E699" i="7"/>
  <c r="D699" i="7"/>
  <c r="C699" i="7"/>
  <c r="B699" i="7"/>
  <c r="A699" i="7"/>
  <c r="J699" i="7" s="1"/>
  <c r="K698" i="7"/>
  <c r="H698" i="7"/>
  <c r="I698" i="7" s="1"/>
  <c r="G698" i="7"/>
  <c r="F698" i="7"/>
  <c r="E698" i="7"/>
  <c r="D698" i="7"/>
  <c r="C698" i="7"/>
  <c r="B698" i="7"/>
  <c r="A698" i="7"/>
  <c r="J698" i="7" s="1"/>
  <c r="K697" i="7"/>
  <c r="H697" i="7"/>
  <c r="I697" i="7" s="1"/>
  <c r="G697" i="7"/>
  <c r="F697" i="7"/>
  <c r="E697" i="7"/>
  <c r="D697" i="7"/>
  <c r="C697" i="7"/>
  <c r="B697" i="7"/>
  <c r="A697" i="7"/>
  <c r="J697" i="7" s="1"/>
  <c r="K696" i="7"/>
  <c r="H696" i="7"/>
  <c r="I696" i="7" s="1"/>
  <c r="G696" i="7"/>
  <c r="F696" i="7"/>
  <c r="E696" i="7"/>
  <c r="D696" i="7"/>
  <c r="C696" i="7"/>
  <c r="B696" i="7"/>
  <c r="A696" i="7"/>
  <c r="J696" i="7" s="1"/>
  <c r="K695" i="7"/>
  <c r="I695" i="7"/>
  <c r="H695" i="7"/>
  <c r="G695" i="7"/>
  <c r="F695" i="7"/>
  <c r="E695" i="7"/>
  <c r="D695" i="7"/>
  <c r="C695" i="7"/>
  <c r="B695" i="7"/>
  <c r="A695" i="7"/>
  <c r="J695" i="7" s="1"/>
  <c r="K694" i="7"/>
  <c r="J694" i="7"/>
  <c r="H694" i="7"/>
  <c r="I694" i="7" s="1"/>
  <c r="G694" i="7"/>
  <c r="F694" i="7"/>
  <c r="E694" i="7"/>
  <c r="D694" i="7"/>
  <c r="C694" i="7"/>
  <c r="B694" i="7"/>
  <c r="A694" i="7"/>
  <c r="K693" i="7"/>
  <c r="J693" i="7"/>
  <c r="H693" i="7"/>
  <c r="I693" i="7" s="1"/>
  <c r="G693" i="7"/>
  <c r="F693" i="7"/>
  <c r="E693" i="7"/>
  <c r="D693" i="7"/>
  <c r="C693" i="7"/>
  <c r="B693" i="7"/>
  <c r="A693" i="7"/>
  <c r="K692" i="7"/>
  <c r="I692" i="7"/>
  <c r="H692" i="7"/>
  <c r="G692" i="7"/>
  <c r="F692" i="7"/>
  <c r="E692" i="7"/>
  <c r="D692" i="7"/>
  <c r="C692" i="7"/>
  <c r="B692" i="7"/>
  <c r="A692" i="7"/>
  <c r="J692" i="7" s="1"/>
  <c r="K691" i="7"/>
  <c r="I691" i="7"/>
  <c r="H691" i="7"/>
  <c r="G691" i="7"/>
  <c r="F691" i="7"/>
  <c r="E691" i="7"/>
  <c r="D691" i="7"/>
  <c r="C691" i="7"/>
  <c r="B691" i="7"/>
  <c r="A691" i="7"/>
  <c r="J691" i="7" s="1"/>
  <c r="K690" i="7"/>
  <c r="H690" i="7"/>
  <c r="I690" i="7" s="1"/>
  <c r="G690" i="7"/>
  <c r="F690" i="7"/>
  <c r="E690" i="7"/>
  <c r="D690" i="7"/>
  <c r="C690" i="7"/>
  <c r="B690" i="7"/>
  <c r="A690" i="7"/>
  <c r="J690" i="7" s="1"/>
  <c r="K689" i="7"/>
  <c r="I689" i="7"/>
  <c r="H689" i="7"/>
  <c r="G689" i="7"/>
  <c r="F689" i="7"/>
  <c r="E689" i="7"/>
  <c r="D689" i="7"/>
  <c r="C689" i="7"/>
  <c r="B689" i="7"/>
  <c r="A689" i="7"/>
  <c r="J689" i="7" s="1"/>
  <c r="K688" i="7"/>
  <c r="I688" i="7"/>
  <c r="H688" i="7"/>
  <c r="G688" i="7"/>
  <c r="F688" i="7"/>
  <c r="E688" i="7"/>
  <c r="D688" i="7"/>
  <c r="C688" i="7"/>
  <c r="B688" i="7"/>
  <c r="A688" i="7"/>
  <c r="J688" i="7" s="1"/>
  <c r="K687" i="7"/>
  <c r="H687" i="7"/>
  <c r="I687" i="7" s="1"/>
  <c r="G687" i="7"/>
  <c r="F687" i="7"/>
  <c r="E687" i="7"/>
  <c r="D687" i="7"/>
  <c r="C687" i="7"/>
  <c r="B687" i="7"/>
  <c r="A687" i="7"/>
  <c r="J687" i="7" s="1"/>
  <c r="K686" i="7"/>
  <c r="I686" i="7"/>
  <c r="H686" i="7"/>
  <c r="G686" i="7"/>
  <c r="F686" i="7"/>
  <c r="E686" i="7"/>
  <c r="D686" i="7"/>
  <c r="C686" i="7"/>
  <c r="B686" i="7"/>
  <c r="A686" i="7"/>
  <c r="J686" i="7" s="1"/>
  <c r="K685" i="7"/>
  <c r="H685" i="7"/>
  <c r="I685" i="7" s="1"/>
  <c r="G685" i="7"/>
  <c r="F685" i="7"/>
  <c r="E685" i="7"/>
  <c r="D685" i="7"/>
  <c r="C685" i="7"/>
  <c r="B685" i="7"/>
  <c r="A685" i="7"/>
  <c r="J685" i="7" s="1"/>
  <c r="K684" i="7"/>
  <c r="H684" i="7"/>
  <c r="I684" i="7" s="1"/>
  <c r="G684" i="7"/>
  <c r="F684" i="7"/>
  <c r="E684" i="7"/>
  <c r="D684" i="7"/>
  <c r="C684" i="7"/>
  <c r="B684" i="7"/>
  <c r="A684" i="7"/>
  <c r="J684" i="7" s="1"/>
  <c r="K683" i="7"/>
  <c r="J683" i="7"/>
  <c r="H683" i="7"/>
  <c r="I683" i="7" s="1"/>
  <c r="G683" i="7"/>
  <c r="F683" i="7"/>
  <c r="E683" i="7"/>
  <c r="D683" i="7"/>
  <c r="C683" i="7"/>
  <c r="B683" i="7"/>
  <c r="A683" i="7"/>
  <c r="K682" i="7"/>
  <c r="J682" i="7"/>
  <c r="H682" i="7"/>
  <c r="I682" i="7" s="1"/>
  <c r="G682" i="7"/>
  <c r="F682" i="7"/>
  <c r="E682" i="7"/>
  <c r="D682" i="7"/>
  <c r="C682" i="7"/>
  <c r="B682" i="7"/>
  <c r="A682" i="7"/>
  <c r="K681" i="7"/>
  <c r="J681" i="7"/>
  <c r="H681" i="7"/>
  <c r="I681" i="7" s="1"/>
  <c r="G681" i="7"/>
  <c r="F681" i="7"/>
  <c r="E681" i="7"/>
  <c r="D681" i="7"/>
  <c r="C681" i="7"/>
  <c r="B681" i="7"/>
  <c r="A681" i="7"/>
  <c r="K680" i="7"/>
  <c r="J680" i="7"/>
  <c r="H680" i="7"/>
  <c r="I680" i="7" s="1"/>
  <c r="G680" i="7"/>
  <c r="F680" i="7"/>
  <c r="E680" i="7"/>
  <c r="D680" i="7"/>
  <c r="C680" i="7"/>
  <c r="B680" i="7"/>
  <c r="A680" i="7"/>
  <c r="K679" i="7"/>
  <c r="H679" i="7"/>
  <c r="I679" i="7" s="1"/>
  <c r="G679" i="7"/>
  <c r="F679" i="7"/>
  <c r="E679" i="7"/>
  <c r="D679" i="7"/>
  <c r="C679" i="7"/>
  <c r="B679" i="7"/>
  <c r="A679" i="7"/>
  <c r="J679" i="7" s="1"/>
  <c r="K678" i="7"/>
  <c r="H678" i="7"/>
  <c r="I678" i="7" s="1"/>
  <c r="G678" i="7"/>
  <c r="F678" i="7"/>
  <c r="E678" i="7"/>
  <c r="D678" i="7"/>
  <c r="C678" i="7"/>
  <c r="B678" i="7"/>
  <c r="A678" i="7"/>
  <c r="J678" i="7" s="1"/>
  <c r="K677" i="7"/>
  <c r="I677" i="7"/>
  <c r="H677" i="7"/>
  <c r="G677" i="7"/>
  <c r="F677" i="7"/>
  <c r="E677" i="7"/>
  <c r="D677" i="7"/>
  <c r="C677" i="7"/>
  <c r="B677" i="7"/>
  <c r="A677" i="7"/>
  <c r="J677" i="7" s="1"/>
  <c r="K676" i="7"/>
  <c r="J676" i="7"/>
  <c r="I676" i="7"/>
  <c r="H676" i="7"/>
  <c r="G676" i="7"/>
  <c r="F676" i="7"/>
  <c r="E676" i="7"/>
  <c r="D676" i="7"/>
  <c r="C676" i="7"/>
  <c r="B676" i="7"/>
  <c r="A676" i="7"/>
  <c r="K675" i="7"/>
  <c r="H675" i="7"/>
  <c r="I675" i="7" s="1"/>
  <c r="G675" i="7"/>
  <c r="F675" i="7"/>
  <c r="E675" i="7"/>
  <c r="D675" i="7"/>
  <c r="C675" i="7"/>
  <c r="B675" i="7"/>
  <c r="A675" i="7"/>
  <c r="J675" i="7" s="1"/>
  <c r="K674" i="7"/>
  <c r="I674" i="7"/>
  <c r="H674" i="7"/>
  <c r="G674" i="7"/>
  <c r="F674" i="7"/>
  <c r="E674" i="7"/>
  <c r="D674" i="7"/>
  <c r="C674" i="7"/>
  <c r="B674" i="7"/>
  <c r="A674" i="7"/>
  <c r="J674" i="7" s="1"/>
  <c r="K673" i="7"/>
  <c r="I673" i="7"/>
  <c r="H673" i="7"/>
  <c r="G673" i="7"/>
  <c r="F673" i="7"/>
  <c r="E673" i="7"/>
  <c r="D673" i="7"/>
  <c r="C673" i="7"/>
  <c r="B673" i="7"/>
  <c r="A673" i="7"/>
  <c r="J673" i="7" s="1"/>
  <c r="K672" i="7"/>
  <c r="H672" i="7"/>
  <c r="I672" i="7" s="1"/>
  <c r="G672" i="7"/>
  <c r="F672" i="7"/>
  <c r="E672" i="7"/>
  <c r="D672" i="7"/>
  <c r="C672" i="7"/>
  <c r="B672" i="7"/>
  <c r="A672" i="7"/>
  <c r="J672" i="7" s="1"/>
  <c r="K671" i="7"/>
  <c r="H671" i="7"/>
  <c r="I671" i="7" s="1"/>
  <c r="G671" i="7"/>
  <c r="F671" i="7"/>
  <c r="E671" i="7"/>
  <c r="D671" i="7"/>
  <c r="C671" i="7"/>
  <c r="B671" i="7"/>
  <c r="A671" i="7"/>
  <c r="J671" i="7" s="1"/>
  <c r="K670" i="7"/>
  <c r="H670" i="7"/>
  <c r="I670" i="7" s="1"/>
  <c r="G670" i="7"/>
  <c r="F670" i="7"/>
  <c r="E670" i="7"/>
  <c r="D670" i="7"/>
  <c r="C670" i="7"/>
  <c r="B670" i="7"/>
  <c r="A670" i="7"/>
  <c r="J670" i="7" s="1"/>
  <c r="K669" i="7"/>
  <c r="H669" i="7"/>
  <c r="I669" i="7" s="1"/>
  <c r="G669" i="7"/>
  <c r="F669" i="7"/>
  <c r="E669" i="7"/>
  <c r="D669" i="7"/>
  <c r="C669" i="7"/>
  <c r="B669" i="7"/>
  <c r="A669" i="7"/>
  <c r="J669" i="7" s="1"/>
  <c r="K668" i="7"/>
  <c r="H668" i="7"/>
  <c r="I668" i="7" s="1"/>
  <c r="G668" i="7"/>
  <c r="F668" i="7"/>
  <c r="E668" i="7"/>
  <c r="D668" i="7"/>
  <c r="C668" i="7"/>
  <c r="B668" i="7"/>
  <c r="A668" i="7"/>
  <c r="J668" i="7" s="1"/>
  <c r="K667" i="7"/>
  <c r="H667" i="7"/>
  <c r="I667" i="7" s="1"/>
  <c r="G667" i="7"/>
  <c r="F667" i="7"/>
  <c r="E667" i="7"/>
  <c r="D667" i="7"/>
  <c r="C667" i="7"/>
  <c r="B667" i="7"/>
  <c r="A667" i="7"/>
  <c r="J667" i="7" s="1"/>
  <c r="K666" i="7"/>
  <c r="J666" i="7"/>
  <c r="H666" i="7"/>
  <c r="I666" i="7" s="1"/>
  <c r="G666" i="7"/>
  <c r="F666" i="7"/>
  <c r="E666" i="7"/>
  <c r="D666" i="7"/>
  <c r="C666" i="7"/>
  <c r="B666" i="7"/>
  <c r="A666" i="7"/>
  <c r="K665" i="7"/>
  <c r="J665" i="7"/>
  <c r="H665" i="7"/>
  <c r="I665" i="7" s="1"/>
  <c r="G665" i="7"/>
  <c r="F665" i="7"/>
  <c r="E665" i="7"/>
  <c r="D665" i="7"/>
  <c r="C665" i="7"/>
  <c r="B665" i="7"/>
  <c r="A665" i="7"/>
  <c r="K664" i="7"/>
  <c r="I664" i="7"/>
  <c r="H664" i="7"/>
  <c r="G664" i="7"/>
  <c r="F664" i="7"/>
  <c r="E664" i="7"/>
  <c r="D664" i="7"/>
  <c r="C664" i="7"/>
  <c r="B664" i="7"/>
  <c r="A664" i="7"/>
  <c r="J664" i="7" s="1"/>
  <c r="K663" i="7"/>
  <c r="J663" i="7"/>
  <c r="H663" i="7"/>
  <c r="I663" i="7" s="1"/>
  <c r="G663" i="7"/>
  <c r="F663" i="7"/>
  <c r="E663" i="7"/>
  <c r="D663" i="7"/>
  <c r="C663" i="7"/>
  <c r="B663" i="7"/>
  <c r="A663" i="7"/>
  <c r="K662" i="7"/>
  <c r="I662" i="7"/>
  <c r="H662" i="7"/>
  <c r="G662" i="7"/>
  <c r="F662" i="7"/>
  <c r="E662" i="7"/>
  <c r="D662" i="7"/>
  <c r="C662" i="7"/>
  <c r="B662" i="7"/>
  <c r="A662" i="7"/>
  <c r="J662" i="7" s="1"/>
  <c r="K661" i="7"/>
  <c r="H661" i="7"/>
  <c r="I661" i="7" s="1"/>
  <c r="G661" i="7"/>
  <c r="F661" i="7"/>
  <c r="E661" i="7"/>
  <c r="D661" i="7"/>
  <c r="C661" i="7"/>
  <c r="B661" i="7"/>
  <c r="A661" i="7"/>
  <c r="J661" i="7" s="1"/>
  <c r="K660" i="7"/>
  <c r="H660" i="7"/>
  <c r="I660" i="7" s="1"/>
  <c r="G660" i="7"/>
  <c r="F660" i="7"/>
  <c r="E660" i="7"/>
  <c r="D660" i="7"/>
  <c r="C660" i="7"/>
  <c r="B660" i="7"/>
  <c r="A660" i="7"/>
  <c r="J660" i="7" s="1"/>
  <c r="K659" i="7"/>
  <c r="H659" i="7"/>
  <c r="I659" i="7" s="1"/>
  <c r="G659" i="7"/>
  <c r="F659" i="7"/>
  <c r="E659" i="7"/>
  <c r="D659" i="7"/>
  <c r="C659" i="7"/>
  <c r="B659" i="7"/>
  <c r="A659" i="7"/>
  <c r="J659" i="7" s="1"/>
  <c r="K658" i="7"/>
  <c r="H658" i="7"/>
  <c r="I658" i="7" s="1"/>
  <c r="G658" i="7"/>
  <c r="F658" i="7"/>
  <c r="E658" i="7"/>
  <c r="D658" i="7"/>
  <c r="C658" i="7"/>
  <c r="B658" i="7"/>
  <c r="A658" i="7"/>
  <c r="J658" i="7" s="1"/>
  <c r="K657" i="7"/>
  <c r="I657" i="7"/>
  <c r="H657" i="7"/>
  <c r="G657" i="7"/>
  <c r="F657" i="7"/>
  <c r="E657" i="7"/>
  <c r="D657" i="7"/>
  <c r="C657" i="7"/>
  <c r="B657" i="7"/>
  <c r="A657" i="7"/>
  <c r="J657" i="7" s="1"/>
  <c r="K656" i="7"/>
  <c r="H656" i="7"/>
  <c r="I656" i="7" s="1"/>
  <c r="G656" i="7"/>
  <c r="F656" i="7"/>
  <c r="E656" i="7"/>
  <c r="D656" i="7"/>
  <c r="C656" i="7"/>
  <c r="B656" i="7"/>
  <c r="A656" i="7"/>
  <c r="J656" i="7" s="1"/>
  <c r="K655" i="7"/>
  <c r="I655" i="7"/>
  <c r="H655" i="7"/>
  <c r="G655" i="7"/>
  <c r="F655" i="7"/>
  <c r="E655" i="7"/>
  <c r="D655" i="7"/>
  <c r="C655" i="7"/>
  <c r="B655" i="7"/>
  <c r="A655" i="7"/>
  <c r="J655" i="7" s="1"/>
  <c r="K654" i="7"/>
  <c r="J654" i="7"/>
  <c r="H654" i="7"/>
  <c r="I654" i="7" s="1"/>
  <c r="G654" i="7"/>
  <c r="F654" i="7"/>
  <c r="E654" i="7"/>
  <c r="D654" i="7"/>
  <c r="C654" i="7"/>
  <c r="B654" i="7"/>
  <c r="A654" i="7"/>
  <c r="K653" i="7"/>
  <c r="H653" i="7"/>
  <c r="I653" i="7" s="1"/>
  <c r="G653" i="7"/>
  <c r="F653" i="7"/>
  <c r="E653" i="7"/>
  <c r="D653" i="7"/>
  <c r="C653" i="7"/>
  <c r="B653" i="7"/>
  <c r="A653" i="7"/>
  <c r="J653" i="7" s="1"/>
  <c r="K652" i="7"/>
  <c r="J652" i="7"/>
  <c r="H652" i="7"/>
  <c r="I652" i="7" s="1"/>
  <c r="G652" i="7"/>
  <c r="F652" i="7"/>
  <c r="E652" i="7"/>
  <c r="D652" i="7"/>
  <c r="C652" i="7"/>
  <c r="B652" i="7"/>
  <c r="A652" i="7"/>
  <c r="K651" i="7"/>
  <c r="H651" i="7"/>
  <c r="I651" i="7" s="1"/>
  <c r="G651" i="7"/>
  <c r="F651" i="7"/>
  <c r="E651" i="7"/>
  <c r="D651" i="7"/>
  <c r="C651" i="7"/>
  <c r="B651" i="7"/>
  <c r="A651" i="7"/>
  <c r="J651" i="7" s="1"/>
  <c r="K650" i="7"/>
  <c r="H650" i="7"/>
  <c r="I650" i="7" s="1"/>
  <c r="G650" i="7"/>
  <c r="F650" i="7"/>
  <c r="E650" i="7"/>
  <c r="D650" i="7"/>
  <c r="C650" i="7"/>
  <c r="B650" i="7"/>
  <c r="A650" i="7"/>
  <c r="J650" i="7" s="1"/>
  <c r="K649" i="7"/>
  <c r="I649" i="7"/>
  <c r="H649" i="7"/>
  <c r="G649" i="7"/>
  <c r="F649" i="7"/>
  <c r="E649" i="7"/>
  <c r="D649" i="7"/>
  <c r="C649" i="7"/>
  <c r="B649" i="7"/>
  <c r="A649" i="7"/>
  <c r="J649" i="7" s="1"/>
  <c r="K648" i="7"/>
  <c r="H648" i="7"/>
  <c r="I648" i="7" s="1"/>
  <c r="G648" i="7"/>
  <c r="F648" i="7"/>
  <c r="E648" i="7"/>
  <c r="D648" i="7"/>
  <c r="C648" i="7"/>
  <c r="B648" i="7"/>
  <c r="A648" i="7"/>
  <c r="J648" i="7" s="1"/>
  <c r="K647" i="7"/>
  <c r="H647" i="7"/>
  <c r="I647" i="7" s="1"/>
  <c r="G647" i="7"/>
  <c r="F647" i="7"/>
  <c r="E647" i="7"/>
  <c r="D647" i="7"/>
  <c r="C647" i="7"/>
  <c r="B647" i="7"/>
  <c r="A647" i="7"/>
  <c r="J647" i="7" s="1"/>
  <c r="K646" i="7"/>
  <c r="H646" i="7"/>
  <c r="I646" i="7" s="1"/>
  <c r="G646" i="7"/>
  <c r="F646" i="7"/>
  <c r="E646" i="7"/>
  <c r="D646" i="7"/>
  <c r="C646" i="7"/>
  <c r="B646" i="7"/>
  <c r="A646" i="7"/>
  <c r="J646" i="7" s="1"/>
  <c r="K645" i="7"/>
  <c r="H645" i="7"/>
  <c r="I645" i="7" s="1"/>
  <c r="G645" i="7"/>
  <c r="F645" i="7"/>
  <c r="E645" i="7"/>
  <c r="D645" i="7"/>
  <c r="C645" i="7"/>
  <c r="B645" i="7"/>
  <c r="A645" i="7"/>
  <c r="J645" i="7" s="1"/>
  <c r="K644" i="7"/>
  <c r="I644" i="7"/>
  <c r="H644" i="7"/>
  <c r="G644" i="7"/>
  <c r="F644" i="7"/>
  <c r="E644" i="7"/>
  <c r="D644" i="7"/>
  <c r="C644" i="7"/>
  <c r="B644" i="7"/>
  <c r="A644" i="7"/>
  <c r="J644" i="7" s="1"/>
  <c r="K643" i="7"/>
  <c r="J643" i="7"/>
  <c r="H643" i="7"/>
  <c r="I643" i="7" s="1"/>
  <c r="G643" i="7"/>
  <c r="F643" i="7"/>
  <c r="E643" i="7"/>
  <c r="D643" i="7"/>
  <c r="C643" i="7"/>
  <c r="B643" i="7"/>
  <c r="A643" i="7"/>
  <c r="K642" i="7"/>
  <c r="H642" i="7"/>
  <c r="I642" i="7" s="1"/>
  <c r="G642" i="7"/>
  <c r="F642" i="7"/>
  <c r="E642" i="7"/>
  <c r="D642" i="7"/>
  <c r="C642" i="7"/>
  <c r="B642" i="7"/>
  <c r="A642" i="7"/>
  <c r="J642" i="7" s="1"/>
  <c r="K641" i="7"/>
  <c r="H641" i="7"/>
  <c r="I641" i="7" s="1"/>
  <c r="G641" i="7"/>
  <c r="F641" i="7"/>
  <c r="E641" i="7"/>
  <c r="D641" i="7"/>
  <c r="C641" i="7"/>
  <c r="B641" i="7"/>
  <c r="A641" i="7"/>
  <c r="J641" i="7" s="1"/>
  <c r="K640" i="7"/>
  <c r="H640" i="7"/>
  <c r="I640" i="7" s="1"/>
  <c r="G640" i="7"/>
  <c r="F640" i="7"/>
  <c r="E640" i="7"/>
  <c r="D640" i="7"/>
  <c r="C640" i="7"/>
  <c r="B640" i="7"/>
  <c r="A640" i="7"/>
  <c r="J640" i="7" s="1"/>
  <c r="K639" i="7"/>
  <c r="H639" i="7"/>
  <c r="I639" i="7" s="1"/>
  <c r="G639" i="7"/>
  <c r="F639" i="7"/>
  <c r="E639" i="7"/>
  <c r="D639" i="7"/>
  <c r="C639" i="7"/>
  <c r="B639" i="7"/>
  <c r="A639" i="7"/>
  <c r="J639" i="7" s="1"/>
  <c r="K638" i="7"/>
  <c r="H638" i="7"/>
  <c r="I638" i="7" s="1"/>
  <c r="G638" i="7"/>
  <c r="F638" i="7"/>
  <c r="E638" i="7"/>
  <c r="D638" i="7"/>
  <c r="C638" i="7"/>
  <c r="B638" i="7"/>
  <c r="A638" i="7"/>
  <c r="J638" i="7" s="1"/>
  <c r="K637" i="7"/>
  <c r="H637" i="7"/>
  <c r="I637" i="7" s="1"/>
  <c r="G637" i="7"/>
  <c r="F637" i="7"/>
  <c r="E637" i="7"/>
  <c r="D637" i="7"/>
  <c r="C637" i="7"/>
  <c r="B637" i="7"/>
  <c r="A637" i="7"/>
  <c r="J637" i="7" s="1"/>
  <c r="K636" i="7"/>
  <c r="H636" i="7"/>
  <c r="I636" i="7" s="1"/>
  <c r="G636" i="7"/>
  <c r="F636" i="7"/>
  <c r="E636" i="7"/>
  <c r="D636" i="7"/>
  <c r="C636" i="7"/>
  <c r="B636" i="7"/>
  <c r="A636" i="7"/>
  <c r="J636" i="7" s="1"/>
  <c r="K635" i="7"/>
  <c r="H635" i="7"/>
  <c r="I635" i="7" s="1"/>
  <c r="G635" i="7"/>
  <c r="F635" i="7"/>
  <c r="E635" i="7"/>
  <c r="D635" i="7"/>
  <c r="C635" i="7"/>
  <c r="B635" i="7"/>
  <c r="A635" i="7"/>
  <c r="J635" i="7" s="1"/>
  <c r="K634" i="7"/>
  <c r="H634" i="7"/>
  <c r="I634" i="7" s="1"/>
  <c r="G634" i="7"/>
  <c r="F634" i="7"/>
  <c r="E634" i="7"/>
  <c r="D634" i="7"/>
  <c r="C634" i="7"/>
  <c r="B634" i="7"/>
  <c r="A634" i="7"/>
  <c r="J634" i="7" s="1"/>
  <c r="K633" i="7"/>
  <c r="J633" i="7"/>
  <c r="H633" i="7"/>
  <c r="I633" i="7" s="1"/>
  <c r="G633" i="7"/>
  <c r="F633" i="7"/>
  <c r="E633" i="7"/>
  <c r="D633" i="7"/>
  <c r="C633" i="7"/>
  <c r="B633" i="7"/>
  <c r="A633" i="7"/>
  <c r="K632" i="7"/>
  <c r="J632" i="7"/>
  <c r="H632" i="7"/>
  <c r="I632" i="7" s="1"/>
  <c r="G632" i="7"/>
  <c r="F632" i="7"/>
  <c r="E632" i="7"/>
  <c r="D632" i="7"/>
  <c r="C632" i="7"/>
  <c r="B632" i="7"/>
  <c r="A632" i="7"/>
  <c r="K631" i="7"/>
  <c r="H631" i="7"/>
  <c r="I631" i="7" s="1"/>
  <c r="G631" i="7"/>
  <c r="F631" i="7"/>
  <c r="E631" i="7"/>
  <c r="D631" i="7"/>
  <c r="C631" i="7"/>
  <c r="B631" i="7"/>
  <c r="A631" i="7"/>
  <c r="J631" i="7" s="1"/>
  <c r="K630" i="7"/>
  <c r="H630" i="7"/>
  <c r="I630" i="7" s="1"/>
  <c r="G630" i="7"/>
  <c r="F630" i="7"/>
  <c r="E630" i="7"/>
  <c r="D630" i="7"/>
  <c r="C630" i="7"/>
  <c r="B630" i="7"/>
  <c r="A630" i="7"/>
  <c r="J630" i="7" s="1"/>
  <c r="K629" i="7"/>
  <c r="H629" i="7"/>
  <c r="I629" i="7" s="1"/>
  <c r="G629" i="7"/>
  <c r="F629" i="7"/>
  <c r="E629" i="7"/>
  <c r="D629" i="7"/>
  <c r="C629" i="7"/>
  <c r="B629" i="7"/>
  <c r="A629" i="7"/>
  <c r="J629" i="7" s="1"/>
  <c r="K628" i="7"/>
  <c r="J628" i="7"/>
  <c r="I628" i="7"/>
  <c r="H628" i="7"/>
  <c r="G628" i="7"/>
  <c r="F628" i="7"/>
  <c r="E628" i="7"/>
  <c r="D628" i="7"/>
  <c r="C628" i="7"/>
  <c r="B628" i="7"/>
  <c r="A628" i="7"/>
  <c r="K627" i="7"/>
  <c r="H627" i="7"/>
  <c r="I627" i="7" s="1"/>
  <c r="G627" i="7"/>
  <c r="F627" i="7"/>
  <c r="E627" i="7"/>
  <c r="D627" i="7"/>
  <c r="C627" i="7"/>
  <c r="B627" i="7"/>
  <c r="A627" i="7"/>
  <c r="J627" i="7" s="1"/>
  <c r="K626" i="7"/>
  <c r="H626" i="7"/>
  <c r="I626" i="7" s="1"/>
  <c r="G626" i="7"/>
  <c r="F626" i="7"/>
  <c r="E626" i="7"/>
  <c r="D626" i="7"/>
  <c r="C626" i="7"/>
  <c r="B626" i="7"/>
  <c r="A626" i="7"/>
  <c r="J626" i="7" s="1"/>
  <c r="K625" i="7"/>
  <c r="I625" i="7"/>
  <c r="H625" i="7"/>
  <c r="G625" i="7"/>
  <c r="F625" i="7"/>
  <c r="E625" i="7"/>
  <c r="D625" i="7"/>
  <c r="C625" i="7"/>
  <c r="B625" i="7"/>
  <c r="A625" i="7"/>
  <c r="J625" i="7" s="1"/>
  <c r="K624" i="7"/>
  <c r="H624" i="7"/>
  <c r="I624" i="7" s="1"/>
  <c r="G624" i="7"/>
  <c r="F624" i="7"/>
  <c r="E624" i="7"/>
  <c r="D624" i="7"/>
  <c r="C624" i="7"/>
  <c r="B624" i="7"/>
  <c r="A624" i="7"/>
  <c r="J624" i="7" s="1"/>
  <c r="K623" i="7"/>
  <c r="H623" i="7"/>
  <c r="I623" i="7" s="1"/>
  <c r="G623" i="7"/>
  <c r="F623" i="7"/>
  <c r="E623" i="7"/>
  <c r="D623" i="7"/>
  <c r="C623" i="7"/>
  <c r="B623" i="7"/>
  <c r="A623" i="7"/>
  <c r="J623" i="7" s="1"/>
  <c r="K622" i="7"/>
  <c r="H622" i="7"/>
  <c r="I622" i="7" s="1"/>
  <c r="G622" i="7"/>
  <c r="F622" i="7"/>
  <c r="E622" i="7"/>
  <c r="D622" i="7"/>
  <c r="C622" i="7"/>
  <c r="B622" i="7"/>
  <c r="A622" i="7"/>
  <c r="J622" i="7" s="1"/>
  <c r="K621" i="7"/>
  <c r="I621" i="7"/>
  <c r="H621" i="7"/>
  <c r="G621" i="7"/>
  <c r="F621" i="7"/>
  <c r="E621" i="7"/>
  <c r="D621" i="7"/>
  <c r="C621" i="7"/>
  <c r="B621" i="7"/>
  <c r="A621" i="7"/>
  <c r="J621" i="7" s="1"/>
  <c r="K620" i="7"/>
  <c r="J620" i="7"/>
  <c r="H620" i="7"/>
  <c r="I620" i="7" s="1"/>
  <c r="G620" i="7"/>
  <c r="F620" i="7"/>
  <c r="E620" i="7"/>
  <c r="D620" i="7"/>
  <c r="C620" i="7"/>
  <c r="B620" i="7"/>
  <c r="A620" i="7"/>
  <c r="K619" i="7"/>
  <c r="J619" i="7"/>
  <c r="H619" i="7"/>
  <c r="I619" i="7" s="1"/>
  <c r="G619" i="7"/>
  <c r="F619" i="7"/>
  <c r="E619" i="7"/>
  <c r="D619" i="7"/>
  <c r="C619" i="7"/>
  <c r="B619" i="7"/>
  <c r="A619" i="7"/>
  <c r="K618" i="7"/>
  <c r="H618" i="7"/>
  <c r="I618" i="7" s="1"/>
  <c r="G618" i="7"/>
  <c r="F618" i="7"/>
  <c r="E618" i="7"/>
  <c r="D618" i="7"/>
  <c r="C618" i="7"/>
  <c r="B618" i="7"/>
  <c r="A618" i="7"/>
  <c r="J618" i="7" s="1"/>
  <c r="K617" i="7"/>
  <c r="H617" i="7"/>
  <c r="I617" i="7" s="1"/>
  <c r="G617" i="7"/>
  <c r="F617" i="7"/>
  <c r="E617" i="7"/>
  <c r="D617" i="7"/>
  <c r="C617" i="7"/>
  <c r="B617" i="7"/>
  <c r="A617" i="7"/>
  <c r="J617" i="7" s="1"/>
  <c r="K616" i="7"/>
  <c r="J616" i="7"/>
  <c r="I616" i="7"/>
  <c r="H616" i="7"/>
  <c r="G616" i="7"/>
  <c r="F616" i="7"/>
  <c r="E616" i="7"/>
  <c r="D616" i="7"/>
  <c r="C616" i="7"/>
  <c r="B616" i="7"/>
  <c r="A616" i="7"/>
  <c r="K615" i="7"/>
  <c r="J615" i="7"/>
  <c r="H615" i="7"/>
  <c r="I615" i="7" s="1"/>
  <c r="G615" i="7"/>
  <c r="F615" i="7"/>
  <c r="E615" i="7"/>
  <c r="D615" i="7"/>
  <c r="C615" i="7"/>
  <c r="B615" i="7"/>
  <c r="A615" i="7"/>
  <c r="K614" i="7"/>
  <c r="H614" i="7"/>
  <c r="I614" i="7" s="1"/>
  <c r="G614" i="7"/>
  <c r="F614" i="7"/>
  <c r="E614" i="7"/>
  <c r="D614" i="7"/>
  <c r="C614" i="7"/>
  <c r="B614" i="7"/>
  <c r="A614" i="7"/>
  <c r="J614" i="7" s="1"/>
  <c r="K613" i="7"/>
  <c r="J613" i="7"/>
  <c r="I613" i="7"/>
  <c r="H613" i="7"/>
  <c r="G613" i="7"/>
  <c r="F613" i="7"/>
  <c r="E613" i="7"/>
  <c r="D613" i="7"/>
  <c r="C613" i="7"/>
  <c r="B613" i="7"/>
  <c r="A613" i="7"/>
  <c r="K612" i="7"/>
  <c r="H612" i="7"/>
  <c r="I612" i="7" s="1"/>
  <c r="G612" i="7"/>
  <c r="F612" i="7"/>
  <c r="E612" i="7"/>
  <c r="D612" i="7"/>
  <c r="C612" i="7"/>
  <c r="B612" i="7"/>
  <c r="A612" i="7"/>
  <c r="J612" i="7" s="1"/>
  <c r="K611" i="7"/>
  <c r="H611" i="7"/>
  <c r="I611" i="7" s="1"/>
  <c r="G611" i="7"/>
  <c r="F611" i="7"/>
  <c r="E611" i="7"/>
  <c r="D611" i="7"/>
  <c r="C611" i="7"/>
  <c r="B611" i="7"/>
  <c r="A611" i="7"/>
  <c r="J611" i="7" s="1"/>
  <c r="K610" i="7"/>
  <c r="H610" i="7"/>
  <c r="I610" i="7" s="1"/>
  <c r="G610" i="7"/>
  <c r="F610" i="7"/>
  <c r="E610" i="7"/>
  <c r="D610" i="7"/>
  <c r="C610" i="7"/>
  <c r="B610" i="7"/>
  <c r="A610" i="7"/>
  <c r="J610" i="7" s="1"/>
  <c r="K609" i="7"/>
  <c r="H609" i="7"/>
  <c r="I609" i="7" s="1"/>
  <c r="G609" i="7"/>
  <c r="F609" i="7"/>
  <c r="E609" i="7"/>
  <c r="D609" i="7"/>
  <c r="C609" i="7"/>
  <c r="B609" i="7"/>
  <c r="A609" i="7"/>
  <c r="J609" i="7" s="1"/>
  <c r="K608" i="7"/>
  <c r="J608" i="7"/>
  <c r="H608" i="7"/>
  <c r="I608" i="7" s="1"/>
  <c r="G608" i="7"/>
  <c r="F608" i="7"/>
  <c r="E608" i="7"/>
  <c r="D608" i="7"/>
  <c r="C608" i="7"/>
  <c r="B608" i="7"/>
  <c r="A608" i="7"/>
  <c r="K607" i="7"/>
  <c r="J607" i="7"/>
  <c r="H607" i="7"/>
  <c r="I607" i="7" s="1"/>
  <c r="G607" i="7"/>
  <c r="F607" i="7"/>
  <c r="E607" i="7"/>
  <c r="D607" i="7"/>
  <c r="C607" i="7"/>
  <c r="B607" i="7"/>
  <c r="A607" i="7"/>
  <c r="K606" i="7"/>
  <c r="H606" i="7"/>
  <c r="I606" i="7" s="1"/>
  <c r="G606" i="7"/>
  <c r="F606" i="7"/>
  <c r="E606" i="7"/>
  <c r="D606" i="7"/>
  <c r="C606" i="7"/>
  <c r="B606" i="7"/>
  <c r="A606" i="7"/>
  <c r="J606" i="7" s="1"/>
  <c r="K605" i="7"/>
  <c r="H605" i="7"/>
  <c r="I605" i="7" s="1"/>
  <c r="G605" i="7"/>
  <c r="F605" i="7"/>
  <c r="E605" i="7"/>
  <c r="D605" i="7"/>
  <c r="C605" i="7"/>
  <c r="B605" i="7"/>
  <c r="A605" i="7"/>
  <c r="J605" i="7" s="1"/>
  <c r="K604" i="7"/>
  <c r="J604" i="7"/>
  <c r="I604" i="7"/>
  <c r="H604" i="7"/>
  <c r="G604" i="7"/>
  <c r="F604" i="7"/>
  <c r="E604" i="7"/>
  <c r="D604" i="7"/>
  <c r="C604" i="7"/>
  <c r="B604" i="7"/>
  <c r="A604" i="7"/>
  <c r="K603" i="7"/>
  <c r="J603" i="7"/>
  <c r="H603" i="7"/>
  <c r="I603" i="7" s="1"/>
  <c r="G603" i="7"/>
  <c r="F603" i="7"/>
  <c r="E603" i="7"/>
  <c r="D603" i="7"/>
  <c r="C603" i="7"/>
  <c r="B603" i="7"/>
  <c r="A603" i="7"/>
  <c r="K602" i="7"/>
  <c r="H602" i="7"/>
  <c r="I602" i="7" s="1"/>
  <c r="G602" i="7"/>
  <c r="F602" i="7"/>
  <c r="E602" i="7"/>
  <c r="D602" i="7"/>
  <c r="C602" i="7"/>
  <c r="B602" i="7"/>
  <c r="A602" i="7"/>
  <c r="J602" i="7" s="1"/>
  <c r="K601" i="7"/>
  <c r="I601" i="7"/>
  <c r="H601" i="7"/>
  <c r="G601" i="7"/>
  <c r="F601" i="7"/>
  <c r="E601" i="7"/>
  <c r="D601" i="7"/>
  <c r="C601" i="7"/>
  <c r="B601" i="7"/>
  <c r="A601" i="7"/>
  <c r="J601" i="7" s="1"/>
  <c r="K600" i="7"/>
  <c r="H600" i="7"/>
  <c r="I600" i="7" s="1"/>
  <c r="G600" i="7"/>
  <c r="F600" i="7"/>
  <c r="E600" i="7"/>
  <c r="D600" i="7"/>
  <c r="C600" i="7"/>
  <c r="B600" i="7"/>
  <c r="A600" i="7"/>
  <c r="J600" i="7" s="1"/>
  <c r="K599" i="7"/>
  <c r="H599" i="7"/>
  <c r="I599" i="7" s="1"/>
  <c r="G599" i="7"/>
  <c r="F599" i="7"/>
  <c r="E599" i="7"/>
  <c r="D599" i="7"/>
  <c r="C599" i="7"/>
  <c r="B599" i="7"/>
  <c r="A599" i="7"/>
  <c r="J599" i="7" s="1"/>
  <c r="K598" i="7"/>
  <c r="H598" i="7"/>
  <c r="I598" i="7" s="1"/>
  <c r="G598" i="7"/>
  <c r="F598" i="7"/>
  <c r="E598" i="7"/>
  <c r="D598" i="7"/>
  <c r="C598" i="7"/>
  <c r="B598" i="7"/>
  <c r="A598" i="7"/>
  <c r="J598" i="7" s="1"/>
  <c r="K597" i="7"/>
  <c r="H597" i="7"/>
  <c r="I597" i="7" s="1"/>
  <c r="G597" i="7"/>
  <c r="F597" i="7"/>
  <c r="E597" i="7"/>
  <c r="D597" i="7"/>
  <c r="C597" i="7"/>
  <c r="B597" i="7"/>
  <c r="A597" i="7"/>
  <c r="J597" i="7" s="1"/>
  <c r="K596" i="7"/>
  <c r="H596" i="7"/>
  <c r="I596" i="7" s="1"/>
  <c r="G596" i="7"/>
  <c r="F596" i="7"/>
  <c r="E596" i="7"/>
  <c r="D596" i="7"/>
  <c r="C596" i="7"/>
  <c r="B596" i="7"/>
  <c r="A596" i="7"/>
  <c r="J596" i="7" s="1"/>
  <c r="K595" i="7"/>
  <c r="H595" i="7"/>
  <c r="I595" i="7" s="1"/>
  <c r="G595" i="7"/>
  <c r="F595" i="7"/>
  <c r="E595" i="7"/>
  <c r="D595" i="7"/>
  <c r="C595" i="7"/>
  <c r="B595" i="7"/>
  <c r="A595" i="7"/>
  <c r="J595" i="7" s="1"/>
  <c r="K594" i="7"/>
  <c r="J594" i="7"/>
  <c r="H594" i="7"/>
  <c r="I594" i="7" s="1"/>
  <c r="G594" i="7"/>
  <c r="F594" i="7"/>
  <c r="E594" i="7"/>
  <c r="D594" i="7"/>
  <c r="C594" i="7"/>
  <c r="B594" i="7"/>
  <c r="A594" i="7"/>
  <c r="K593" i="7"/>
  <c r="J593" i="7"/>
  <c r="H593" i="7"/>
  <c r="I593" i="7" s="1"/>
  <c r="G593" i="7"/>
  <c r="F593" i="7"/>
  <c r="E593" i="7"/>
  <c r="D593" i="7"/>
  <c r="C593" i="7"/>
  <c r="B593" i="7"/>
  <c r="A593" i="7"/>
  <c r="K592" i="7"/>
  <c r="J592" i="7"/>
  <c r="H592" i="7"/>
  <c r="I592" i="7" s="1"/>
  <c r="G592" i="7"/>
  <c r="F592" i="7"/>
  <c r="E592" i="7"/>
  <c r="D592" i="7"/>
  <c r="C592" i="7"/>
  <c r="B592" i="7"/>
  <c r="A592" i="7"/>
  <c r="K591" i="7"/>
  <c r="H591" i="7"/>
  <c r="I591" i="7" s="1"/>
  <c r="G591" i="7"/>
  <c r="F591" i="7"/>
  <c r="E591" i="7"/>
  <c r="D591" i="7"/>
  <c r="C591" i="7"/>
  <c r="B591" i="7"/>
  <c r="A591" i="7"/>
  <c r="J591" i="7" s="1"/>
  <c r="K590" i="7"/>
  <c r="I590" i="7"/>
  <c r="H590" i="7"/>
  <c r="G590" i="7"/>
  <c r="F590" i="7"/>
  <c r="E590" i="7"/>
  <c r="D590" i="7"/>
  <c r="C590" i="7"/>
  <c r="B590" i="7"/>
  <c r="A590" i="7"/>
  <c r="J590" i="7" s="1"/>
  <c r="K589" i="7"/>
  <c r="H589" i="7"/>
  <c r="I589" i="7" s="1"/>
  <c r="G589" i="7"/>
  <c r="F589" i="7"/>
  <c r="E589" i="7"/>
  <c r="D589" i="7"/>
  <c r="C589" i="7"/>
  <c r="B589" i="7"/>
  <c r="A589" i="7"/>
  <c r="J589" i="7" s="1"/>
  <c r="K588" i="7"/>
  <c r="H588" i="7"/>
  <c r="I588" i="7" s="1"/>
  <c r="G588" i="7"/>
  <c r="F588" i="7"/>
  <c r="E588" i="7"/>
  <c r="D588" i="7"/>
  <c r="C588" i="7"/>
  <c r="B588" i="7"/>
  <c r="A588" i="7"/>
  <c r="J588" i="7" s="1"/>
  <c r="K587" i="7"/>
  <c r="H587" i="7"/>
  <c r="I587" i="7" s="1"/>
  <c r="G587" i="7"/>
  <c r="F587" i="7"/>
  <c r="E587" i="7"/>
  <c r="D587" i="7"/>
  <c r="C587" i="7"/>
  <c r="B587" i="7"/>
  <c r="A587" i="7"/>
  <c r="J587" i="7" s="1"/>
  <c r="K586" i="7"/>
  <c r="I586" i="7"/>
  <c r="H586" i="7"/>
  <c r="G586" i="7"/>
  <c r="F586" i="7"/>
  <c r="E586" i="7"/>
  <c r="D586" i="7"/>
  <c r="C586" i="7"/>
  <c r="B586" i="7"/>
  <c r="A586" i="7"/>
  <c r="J586" i="7" s="1"/>
  <c r="K585" i="7"/>
  <c r="J585" i="7"/>
  <c r="H585" i="7"/>
  <c r="I585" i="7" s="1"/>
  <c r="G585" i="7"/>
  <c r="F585" i="7"/>
  <c r="E585" i="7"/>
  <c r="D585" i="7"/>
  <c r="C585" i="7"/>
  <c r="B585" i="7"/>
  <c r="A585" i="7"/>
  <c r="K584" i="7"/>
  <c r="H584" i="7"/>
  <c r="I584" i="7" s="1"/>
  <c r="G584" i="7"/>
  <c r="F584" i="7"/>
  <c r="E584" i="7"/>
  <c r="D584" i="7"/>
  <c r="C584" i="7"/>
  <c r="B584" i="7"/>
  <c r="A584" i="7"/>
  <c r="J584" i="7" s="1"/>
  <c r="K583" i="7"/>
  <c r="I583" i="7"/>
  <c r="H583" i="7"/>
  <c r="G583" i="7"/>
  <c r="F583" i="7"/>
  <c r="E583" i="7"/>
  <c r="D583" i="7"/>
  <c r="C583" i="7"/>
  <c r="B583" i="7"/>
  <c r="A583" i="7"/>
  <c r="J583" i="7" s="1"/>
  <c r="K582" i="7"/>
  <c r="J582" i="7"/>
  <c r="H582" i="7"/>
  <c r="I582" i="7" s="1"/>
  <c r="G582" i="7"/>
  <c r="F582" i="7"/>
  <c r="E582" i="7"/>
  <c r="D582" i="7"/>
  <c r="C582" i="7"/>
  <c r="B582" i="7"/>
  <c r="A582" i="7"/>
  <c r="K581" i="7"/>
  <c r="H581" i="7"/>
  <c r="I581" i="7" s="1"/>
  <c r="G581" i="7"/>
  <c r="F581" i="7"/>
  <c r="E581" i="7"/>
  <c r="D581" i="7"/>
  <c r="C581" i="7"/>
  <c r="B581" i="7"/>
  <c r="A581" i="7"/>
  <c r="J581" i="7" s="1"/>
  <c r="K580" i="7"/>
  <c r="I580" i="7"/>
  <c r="H580" i="7"/>
  <c r="G580" i="7"/>
  <c r="F580" i="7"/>
  <c r="E580" i="7"/>
  <c r="D580" i="7"/>
  <c r="C580" i="7"/>
  <c r="B580" i="7"/>
  <c r="A580" i="7"/>
  <c r="J580" i="7" s="1"/>
  <c r="K579" i="7"/>
  <c r="H579" i="7"/>
  <c r="I579" i="7" s="1"/>
  <c r="G579" i="7"/>
  <c r="F579" i="7"/>
  <c r="E579" i="7"/>
  <c r="D579" i="7"/>
  <c r="C579" i="7"/>
  <c r="B579" i="7"/>
  <c r="A579" i="7"/>
  <c r="J579" i="7" s="1"/>
  <c r="K578" i="7"/>
  <c r="I578" i="7"/>
  <c r="H578" i="7"/>
  <c r="G578" i="7"/>
  <c r="F578" i="7"/>
  <c r="E578" i="7"/>
  <c r="D578" i="7"/>
  <c r="C578" i="7"/>
  <c r="B578" i="7"/>
  <c r="A578" i="7"/>
  <c r="J578" i="7" s="1"/>
  <c r="K577" i="7"/>
  <c r="I577" i="7"/>
  <c r="H577" i="7"/>
  <c r="G577" i="7"/>
  <c r="F577" i="7"/>
  <c r="E577" i="7"/>
  <c r="D577" i="7"/>
  <c r="C577" i="7"/>
  <c r="B577" i="7"/>
  <c r="A577" i="7"/>
  <c r="J577" i="7" s="1"/>
  <c r="K576" i="7"/>
  <c r="H576" i="7"/>
  <c r="I576" i="7" s="1"/>
  <c r="G576" i="7"/>
  <c r="F576" i="7"/>
  <c r="E576" i="7"/>
  <c r="D576" i="7"/>
  <c r="C576" i="7"/>
  <c r="B576" i="7"/>
  <c r="A576" i="7"/>
  <c r="J576" i="7" s="1"/>
  <c r="K575" i="7"/>
  <c r="H575" i="7"/>
  <c r="I575" i="7" s="1"/>
  <c r="G575" i="7"/>
  <c r="F575" i="7"/>
  <c r="E575" i="7"/>
  <c r="D575" i="7"/>
  <c r="C575" i="7"/>
  <c r="B575" i="7"/>
  <c r="A575" i="7"/>
  <c r="J575" i="7" s="1"/>
  <c r="K574" i="7"/>
  <c r="H574" i="7"/>
  <c r="I574" i="7" s="1"/>
  <c r="G574" i="7"/>
  <c r="F574" i="7"/>
  <c r="E574" i="7"/>
  <c r="D574" i="7"/>
  <c r="C574" i="7"/>
  <c r="B574" i="7"/>
  <c r="A574" i="7"/>
  <c r="J574" i="7" s="1"/>
  <c r="K573" i="7"/>
  <c r="H573" i="7"/>
  <c r="I573" i="7" s="1"/>
  <c r="G573" i="7"/>
  <c r="F573" i="7"/>
  <c r="E573" i="7"/>
  <c r="D573" i="7"/>
  <c r="C573" i="7"/>
  <c r="B573" i="7"/>
  <c r="A573" i="7"/>
  <c r="J573" i="7" s="1"/>
  <c r="K572" i="7"/>
  <c r="J572" i="7"/>
  <c r="H572" i="7"/>
  <c r="I572" i="7" s="1"/>
  <c r="G572" i="7"/>
  <c r="F572" i="7"/>
  <c r="E572" i="7"/>
  <c r="D572" i="7"/>
  <c r="C572" i="7"/>
  <c r="B572" i="7"/>
  <c r="A572" i="7"/>
  <c r="K571" i="7"/>
  <c r="H571" i="7"/>
  <c r="I571" i="7" s="1"/>
  <c r="G571" i="7"/>
  <c r="F571" i="7"/>
  <c r="E571" i="7"/>
  <c r="D571" i="7"/>
  <c r="C571" i="7"/>
  <c r="B571" i="7"/>
  <c r="A571" i="7"/>
  <c r="J571" i="7" s="1"/>
  <c r="K570" i="7"/>
  <c r="J570" i="7"/>
  <c r="H570" i="7"/>
  <c r="I570" i="7" s="1"/>
  <c r="G570" i="7"/>
  <c r="F570" i="7"/>
  <c r="E570" i="7"/>
  <c r="D570" i="7"/>
  <c r="C570" i="7"/>
  <c r="B570" i="7"/>
  <c r="A570" i="7"/>
  <c r="K569" i="7"/>
  <c r="J569" i="7"/>
  <c r="H569" i="7"/>
  <c r="I569" i="7" s="1"/>
  <c r="G569" i="7"/>
  <c r="F569" i="7"/>
  <c r="E569" i="7"/>
  <c r="D569" i="7"/>
  <c r="C569" i="7"/>
  <c r="B569" i="7"/>
  <c r="A569" i="7"/>
  <c r="K568" i="7"/>
  <c r="H568" i="7"/>
  <c r="I568" i="7" s="1"/>
  <c r="G568" i="7"/>
  <c r="F568" i="7"/>
  <c r="E568" i="7"/>
  <c r="D568" i="7"/>
  <c r="C568" i="7"/>
  <c r="B568" i="7"/>
  <c r="A568" i="7"/>
  <c r="J568" i="7" s="1"/>
  <c r="K567" i="7"/>
  <c r="H567" i="7"/>
  <c r="I567" i="7" s="1"/>
  <c r="G567" i="7"/>
  <c r="F567" i="7"/>
  <c r="E567" i="7"/>
  <c r="D567" i="7"/>
  <c r="C567" i="7"/>
  <c r="B567" i="7"/>
  <c r="A567" i="7"/>
  <c r="J567" i="7" s="1"/>
  <c r="K566" i="7"/>
  <c r="I566" i="7"/>
  <c r="H566" i="7"/>
  <c r="G566" i="7"/>
  <c r="F566" i="7"/>
  <c r="E566" i="7"/>
  <c r="D566" i="7"/>
  <c r="C566" i="7"/>
  <c r="B566" i="7"/>
  <c r="A566" i="7"/>
  <c r="J566" i="7" s="1"/>
  <c r="K565" i="7"/>
  <c r="H565" i="7"/>
  <c r="I565" i="7" s="1"/>
  <c r="G565" i="7"/>
  <c r="F565" i="7"/>
  <c r="E565" i="7"/>
  <c r="D565" i="7"/>
  <c r="C565" i="7"/>
  <c r="B565" i="7"/>
  <c r="A565" i="7"/>
  <c r="J565" i="7" s="1"/>
  <c r="K564" i="7"/>
  <c r="H564" i="7"/>
  <c r="I564" i="7" s="1"/>
  <c r="G564" i="7"/>
  <c r="F564" i="7"/>
  <c r="E564" i="7"/>
  <c r="D564" i="7"/>
  <c r="C564" i="7"/>
  <c r="B564" i="7"/>
  <c r="A564" i="7"/>
  <c r="J564" i="7" s="1"/>
  <c r="K563" i="7"/>
  <c r="H563" i="7"/>
  <c r="I563" i="7" s="1"/>
  <c r="G563" i="7"/>
  <c r="F563" i="7"/>
  <c r="E563" i="7"/>
  <c r="D563" i="7"/>
  <c r="C563" i="7"/>
  <c r="B563" i="7"/>
  <c r="A563" i="7"/>
  <c r="J563" i="7" s="1"/>
  <c r="K562" i="7"/>
  <c r="H562" i="7"/>
  <c r="I562" i="7" s="1"/>
  <c r="G562" i="7"/>
  <c r="F562" i="7"/>
  <c r="E562" i="7"/>
  <c r="D562" i="7"/>
  <c r="C562" i="7"/>
  <c r="B562" i="7"/>
  <c r="A562" i="7"/>
  <c r="J562" i="7" s="1"/>
  <c r="K561" i="7"/>
  <c r="J561" i="7"/>
  <c r="I561" i="7"/>
  <c r="H561" i="7"/>
  <c r="G561" i="7"/>
  <c r="F561" i="7"/>
  <c r="E561" i="7"/>
  <c r="D561" i="7"/>
  <c r="C561" i="7"/>
  <c r="B561" i="7"/>
  <c r="A561" i="7"/>
  <c r="K560" i="7"/>
  <c r="J560" i="7"/>
  <c r="I560" i="7"/>
  <c r="H560" i="7"/>
  <c r="G560" i="7"/>
  <c r="F560" i="7"/>
  <c r="E560" i="7"/>
  <c r="D560" i="7"/>
  <c r="C560" i="7"/>
  <c r="B560" i="7"/>
  <c r="A560" i="7"/>
  <c r="K559" i="7"/>
  <c r="J559" i="7"/>
  <c r="H559" i="7"/>
  <c r="I559" i="7" s="1"/>
  <c r="G559" i="7"/>
  <c r="F559" i="7"/>
  <c r="E559" i="7"/>
  <c r="D559" i="7"/>
  <c r="C559" i="7"/>
  <c r="B559" i="7"/>
  <c r="A559" i="7"/>
  <c r="K558" i="7"/>
  <c r="H558" i="7"/>
  <c r="I558" i="7" s="1"/>
  <c r="G558" i="7"/>
  <c r="F558" i="7"/>
  <c r="E558" i="7"/>
  <c r="D558" i="7"/>
  <c r="C558" i="7"/>
  <c r="B558" i="7"/>
  <c r="A558" i="7"/>
  <c r="J558" i="7" s="1"/>
  <c r="K557" i="7"/>
  <c r="J557" i="7"/>
  <c r="H557" i="7"/>
  <c r="I557" i="7" s="1"/>
  <c r="G557" i="7"/>
  <c r="F557" i="7"/>
  <c r="E557" i="7"/>
  <c r="D557" i="7"/>
  <c r="C557" i="7"/>
  <c r="B557" i="7"/>
  <c r="A557" i="7"/>
  <c r="K556" i="7"/>
  <c r="I556" i="7"/>
  <c r="H556" i="7"/>
  <c r="G556" i="7"/>
  <c r="F556" i="7"/>
  <c r="E556" i="7"/>
  <c r="D556" i="7"/>
  <c r="C556" i="7"/>
  <c r="B556" i="7"/>
  <c r="A556" i="7"/>
  <c r="J556" i="7" s="1"/>
  <c r="K555" i="7"/>
  <c r="H555" i="7"/>
  <c r="I555" i="7" s="1"/>
  <c r="G555" i="7"/>
  <c r="F555" i="7"/>
  <c r="E555" i="7"/>
  <c r="D555" i="7"/>
  <c r="C555" i="7"/>
  <c r="B555" i="7"/>
  <c r="A555" i="7"/>
  <c r="J555" i="7" s="1"/>
  <c r="K554" i="7"/>
  <c r="I554" i="7"/>
  <c r="H554" i="7"/>
  <c r="G554" i="7"/>
  <c r="F554" i="7"/>
  <c r="E554" i="7"/>
  <c r="D554" i="7"/>
  <c r="C554" i="7"/>
  <c r="B554" i="7"/>
  <c r="A554" i="7"/>
  <c r="J554" i="7" s="1"/>
  <c r="K553" i="7"/>
  <c r="I553" i="7"/>
  <c r="H553" i="7"/>
  <c r="G553" i="7"/>
  <c r="F553" i="7"/>
  <c r="E553" i="7"/>
  <c r="D553" i="7"/>
  <c r="C553" i="7"/>
  <c r="B553" i="7"/>
  <c r="A553" i="7"/>
  <c r="J553" i="7" s="1"/>
  <c r="K552" i="7"/>
  <c r="H552" i="7"/>
  <c r="I552" i="7" s="1"/>
  <c r="G552" i="7"/>
  <c r="F552" i="7"/>
  <c r="E552" i="7"/>
  <c r="D552" i="7"/>
  <c r="C552" i="7"/>
  <c r="B552" i="7"/>
  <c r="A552" i="7"/>
  <c r="J552" i="7" s="1"/>
  <c r="K551" i="7"/>
  <c r="H551" i="7"/>
  <c r="I551" i="7" s="1"/>
  <c r="G551" i="7"/>
  <c r="F551" i="7"/>
  <c r="E551" i="7"/>
  <c r="D551" i="7"/>
  <c r="C551" i="7"/>
  <c r="B551" i="7"/>
  <c r="A551" i="7"/>
  <c r="J551" i="7" s="1"/>
  <c r="K550" i="7"/>
  <c r="I550" i="7"/>
  <c r="H550" i="7"/>
  <c r="G550" i="7"/>
  <c r="F550" i="7"/>
  <c r="E550" i="7"/>
  <c r="D550" i="7"/>
  <c r="C550" i="7"/>
  <c r="B550" i="7"/>
  <c r="A550" i="7"/>
  <c r="J550" i="7" s="1"/>
  <c r="K549" i="7"/>
  <c r="J549" i="7"/>
  <c r="H549" i="7"/>
  <c r="I549" i="7" s="1"/>
  <c r="G549" i="7"/>
  <c r="F549" i="7"/>
  <c r="E549" i="7"/>
  <c r="D549" i="7"/>
  <c r="C549" i="7"/>
  <c r="B549" i="7"/>
  <c r="A549" i="7"/>
  <c r="K548" i="7"/>
  <c r="J548" i="7"/>
  <c r="H548" i="7"/>
  <c r="I548" i="7" s="1"/>
  <c r="G548" i="7"/>
  <c r="F548" i="7"/>
  <c r="E548" i="7"/>
  <c r="D548" i="7"/>
  <c r="C548" i="7"/>
  <c r="B548" i="7"/>
  <c r="A548" i="7"/>
  <c r="K547" i="7"/>
  <c r="J547" i="7"/>
  <c r="H547" i="7"/>
  <c r="I547" i="7" s="1"/>
  <c r="G547" i="7"/>
  <c r="F547" i="7"/>
  <c r="E547" i="7"/>
  <c r="D547" i="7"/>
  <c r="C547" i="7"/>
  <c r="B547" i="7"/>
  <c r="A547" i="7"/>
  <c r="K546" i="7"/>
  <c r="H546" i="7"/>
  <c r="I546" i="7" s="1"/>
  <c r="G546" i="7"/>
  <c r="F546" i="7"/>
  <c r="E546" i="7"/>
  <c r="D546" i="7"/>
  <c r="C546" i="7"/>
  <c r="B546" i="7"/>
  <c r="A546" i="7"/>
  <c r="J546" i="7" s="1"/>
  <c r="K545" i="7"/>
  <c r="H545" i="7"/>
  <c r="I545" i="7" s="1"/>
  <c r="G545" i="7"/>
  <c r="F545" i="7"/>
  <c r="E545" i="7"/>
  <c r="D545" i="7"/>
  <c r="C545" i="7"/>
  <c r="B545" i="7"/>
  <c r="A545" i="7"/>
  <c r="J545" i="7" s="1"/>
  <c r="K544" i="7"/>
  <c r="H544" i="7"/>
  <c r="I544" i="7" s="1"/>
  <c r="G544" i="7"/>
  <c r="F544" i="7"/>
  <c r="E544" i="7"/>
  <c r="D544" i="7"/>
  <c r="C544" i="7"/>
  <c r="B544" i="7"/>
  <c r="A544" i="7"/>
  <c r="J544" i="7" s="1"/>
  <c r="K543" i="7"/>
  <c r="J543" i="7"/>
  <c r="I543" i="7"/>
  <c r="H543" i="7"/>
  <c r="G543" i="7"/>
  <c r="F543" i="7"/>
  <c r="E543" i="7"/>
  <c r="D543" i="7"/>
  <c r="C543" i="7"/>
  <c r="B543" i="7"/>
  <c r="A543" i="7"/>
  <c r="K542" i="7"/>
  <c r="J542" i="7"/>
  <c r="H542" i="7"/>
  <c r="I542" i="7" s="1"/>
  <c r="G542" i="7"/>
  <c r="F542" i="7"/>
  <c r="E542" i="7"/>
  <c r="D542" i="7"/>
  <c r="C542" i="7"/>
  <c r="B542" i="7"/>
  <c r="A542" i="7"/>
  <c r="K541" i="7"/>
  <c r="J541" i="7"/>
  <c r="H541" i="7"/>
  <c r="I541" i="7" s="1"/>
  <c r="G541" i="7"/>
  <c r="F541" i="7"/>
  <c r="E541" i="7"/>
  <c r="D541" i="7"/>
  <c r="C541" i="7"/>
  <c r="B541" i="7"/>
  <c r="A541" i="7"/>
  <c r="K540" i="7"/>
  <c r="H540" i="7"/>
  <c r="I540" i="7" s="1"/>
  <c r="G540" i="7"/>
  <c r="F540" i="7"/>
  <c r="E540" i="7"/>
  <c r="D540" i="7"/>
  <c r="C540" i="7"/>
  <c r="B540" i="7"/>
  <c r="A540" i="7"/>
  <c r="J540" i="7" s="1"/>
  <c r="K539" i="7"/>
  <c r="H539" i="7"/>
  <c r="I539" i="7" s="1"/>
  <c r="G539" i="7"/>
  <c r="F539" i="7"/>
  <c r="E539" i="7"/>
  <c r="D539" i="7"/>
  <c r="C539" i="7"/>
  <c r="B539" i="7"/>
  <c r="A539" i="7"/>
  <c r="J539" i="7" s="1"/>
  <c r="K538" i="7"/>
  <c r="I538" i="7"/>
  <c r="H538" i="7"/>
  <c r="G538" i="7"/>
  <c r="F538" i="7"/>
  <c r="E538" i="7"/>
  <c r="D538" i="7"/>
  <c r="C538" i="7"/>
  <c r="B538" i="7"/>
  <c r="A538" i="7"/>
  <c r="J538" i="7" s="1"/>
  <c r="K537" i="7"/>
  <c r="J537" i="7"/>
  <c r="H537" i="7"/>
  <c r="I537" i="7" s="1"/>
  <c r="G537" i="7"/>
  <c r="F537" i="7"/>
  <c r="E537" i="7"/>
  <c r="D537" i="7"/>
  <c r="C537" i="7"/>
  <c r="B537" i="7"/>
  <c r="A537" i="7"/>
  <c r="K536" i="7"/>
  <c r="J536" i="7"/>
  <c r="H536" i="7"/>
  <c r="I536" i="7" s="1"/>
  <c r="G536" i="7"/>
  <c r="F536" i="7"/>
  <c r="E536" i="7"/>
  <c r="D536" i="7"/>
  <c r="C536" i="7"/>
  <c r="B536" i="7"/>
  <c r="A536" i="7"/>
  <c r="K535" i="7"/>
  <c r="J535" i="7"/>
  <c r="H535" i="7"/>
  <c r="I535" i="7" s="1"/>
  <c r="G535" i="7"/>
  <c r="F535" i="7"/>
  <c r="E535" i="7"/>
  <c r="D535" i="7"/>
  <c r="C535" i="7"/>
  <c r="B535" i="7"/>
  <c r="A535" i="7"/>
  <c r="K534" i="7"/>
  <c r="I534" i="7"/>
  <c r="H534" i="7"/>
  <c r="G534" i="7"/>
  <c r="F534" i="7"/>
  <c r="E534" i="7"/>
  <c r="D534" i="7"/>
  <c r="C534" i="7"/>
  <c r="B534" i="7"/>
  <c r="A534" i="7"/>
  <c r="J534" i="7" s="1"/>
  <c r="K533" i="7"/>
  <c r="J533" i="7"/>
  <c r="H533" i="7"/>
  <c r="I533" i="7" s="1"/>
  <c r="G533" i="7"/>
  <c r="F533" i="7"/>
  <c r="E533" i="7"/>
  <c r="D533" i="7"/>
  <c r="C533" i="7"/>
  <c r="B533" i="7"/>
  <c r="A533" i="7"/>
  <c r="K532" i="7"/>
  <c r="H532" i="7"/>
  <c r="I532" i="7" s="1"/>
  <c r="G532" i="7"/>
  <c r="F532" i="7"/>
  <c r="E532" i="7"/>
  <c r="D532" i="7"/>
  <c r="C532" i="7"/>
  <c r="B532" i="7"/>
  <c r="A532" i="7"/>
  <c r="J532" i="7" s="1"/>
  <c r="K531" i="7"/>
  <c r="H531" i="7"/>
  <c r="I531" i="7" s="1"/>
  <c r="G531" i="7"/>
  <c r="F531" i="7"/>
  <c r="E531" i="7"/>
  <c r="D531" i="7"/>
  <c r="C531" i="7"/>
  <c r="B531" i="7"/>
  <c r="A531" i="7"/>
  <c r="J531" i="7" s="1"/>
  <c r="K530" i="7"/>
  <c r="H530" i="7"/>
  <c r="I530" i="7" s="1"/>
  <c r="G530" i="7"/>
  <c r="F530" i="7"/>
  <c r="E530" i="7"/>
  <c r="D530" i="7"/>
  <c r="C530" i="7"/>
  <c r="B530" i="7"/>
  <c r="A530" i="7"/>
  <c r="J530" i="7" s="1"/>
  <c r="K529" i="7"/>
  <c r="H529" i="7"/>
  <c r="I529" i="7" s="1"/>
  <c r="G529" i="7"/>
  <c r="F529" i="7"/>
  <c r="E529" i="7"/>
  <c r="D529" i="7"/>
  <c r="C529" i="7"/>
  <c r="B529" i="7"/>
  <c r="A529" i="7"/>
  <c r="J529" i="7" s="1"/>
  <c r="K528" i="7"/>
  <c r="H528" i="7"/>
  <c r="I528" i="7" s="1"/>
  <c r="G528" i="7"/>
  <c r="F528" i="7"/>
  <c r="E528" i="7"/>
  <c r="D528" i="7"/>
  <c r="C528" i="7"/>
  <c r="B528" i="7"/>
  <c r="A528" i="7"/>
  <c r="J528" i="7" s="1"/>
  <c r="K527" i="7"/>
  <c r="H527" i="7"/>
  <c r="I527" i="7" s="1"/>
  <c r="G527" i="7"/>
  <c r="F527" i="7"/>
  <c r="E527" i="7"/>
  <c r="D527" i="7"/>
  <c r="C527" i="7"/>
  <c r="B527" i="7"/>
  <c r="A527" i="7"/>
  <c r="J527" i="7" s="1"/>
  <c r="K526" i="7"/>
  <c r="H526" i="7"/>
  <c r="I526" i="7" s="1"/>
  <c r="G526" i="7"/>
  <c r="F526" i="7"/>
  <c r="E526" i="7"/>
  <c r="D526" i="7"/>
  <c r="C526" i="7"/>
  <c r="B526" i="7"/>
  <c r="A526" i="7"/>
  <c r="J526" i="7" s="1"/>
  <c r="K525" i="7"/>
  <c r="H525" i="7"/>
  <c r="I525" i="7" s="1"/>
  <c r="G525" i="7"/>
  <c r="F525" i="7"/>
  <c r="E525" i="7"/>
  <c r="D525" i="7"/>
  <c r="C525" i="7"/>
  <c r="B525" i="7"/>
  <c r="A525" i="7"/>
  <c r="J525" i="7" s="1"/>
  <c r="K524" i="7"/>
  <c r="H524" i="7"/>
  <c r="I524" i="7" s="1"/>
  <c r="G524" i="7"/>
  <c r="F524" i="7"/>
  <c r="E524" i="7"/>
  <c r="D524" i="7"/>
  <c r="C524" i="7"/>
  <c r="B524" i="7"/>
  <c r="A524" i="7"/>
  <c r="J524" i="7" s="1"/>
  <c r="K523" i="7"/>
  <c r="H523" i="7"/>
  <c r="I523" i="7" s="1"/>
  <c r="G523" i="7"/>
  <c r="F523" i="7"/>
  <c r="E523" i="7"/>
  <c r="D523" i="7"/>
  <c r="C523" i="7"/>
  <c r="B523" i="7"/>
  <c r="A523" i="7"/>
  <c r="J523" i="7" s="1"/>
  <c r="K522" i="7"/>
  <c r="H522" i="7"/>
  <c r="I522" i="7" s="1"/>
  <c r="G522" i="7"/>
  <c r="F522" i="7"/>
  <c r="E522" i="7"/>
  <c r="D522" i="7"/>
  <c r="C522" i="7"/>
  <c r="B522" i="7"/>
  <c r="A522" i="7"/>
  <c r="J522" i="7" s="1"/>
  <c r="K521" i="7"/>
  <c r="H521" i="7"/>
  <c r="I521" i="7" s="1"/>
  <c r="G521" i="7"/>
  <c r="F521" i="7"/>
  <c r="E521" i="7"/>
  <c r="D521" i="7"/>
  <c r="C521" i="7"/>
  <c r="B521" i="7"/>
  <c r="A521" i="7"/>
  <c r="J521" i="7" s="1"/>
  <c r="K520" i="7"/>
  <c r="J520" i="7"/>
  <c r="I520" i="7"/>
  <c r="H520" i="7"/>
  <c r="G520" i="7"/>
  <c r="F520" i="7"/>
  <c r="E520" i="7"/>
  <c r="D520" i="7"/>
  <c r="C520" i="7"/>
  <c r="B520" i="7"/>
  <c r="A520" i="7"/>
  <c r="K519" i="7"/>
  <c r="J519" i="7"/>
  <c r="H519" i="7"/>
  <c r="I519" i="7" s="1"/>
  <c r="G519" i="7"/>
  <c r="F519" i="7"/>
  <c r="E519" i="7"/>
  <c r="D519" i="7"/>
  <c r="C519" i="7"/>
  <c r="B519" i="7"/>
  <c r="A519" i="7"/>
  <c r="K518" i="7"/>
  <c r="I518" i="7"/>
  <c r="H518" i="7"/>
  <c r="G518" i="7"/>
  <c r="F518" i="7"/>
  <c r="E518" i="7"/>
  <c r="D518" i="7"/>
  <c r="C518" i="7"/>
  <c r="B518" i="7"/>
  <c r="A518" i="7"/>
  <c r="J518" i="7" s="1"/>
  <c r="K517" i="7"/>
  <c r="H517" i="7"/>
  <c r="I517" i="7" s="1"/>
  <c r="G517" i="7"/>
  <c r="F517" i="7"/>
  <c r="E517" i="7"/>
  <c r="D517" i="7"/>
  <c r="C517" i="7"/>
  <c r="B517" i="7"/>
  <c r="A517" i="7"/>
  <c r="J517" i="7" s="1"/>
  <c r="K516" i="7"/>
  <c r="J516" i="7"/>
  <c r="H516" i="7"/>
  <c r="I516" i="7" s="1"/>
  <c r="G516" i="7"/>
  <c r="F516" i="7"/>
  <c r="E516" i="7"/>
  <c r="D516" i="7"/>
  <c r="C516" i="7"/>
  <c r="B516" i="7"/>
  <c r="A516" i="7"/>
  <c r="K515" i="7"/>
  <c r="H515" i="7"/>
  <c r="I515" i="7" s="1"/>
  <c r="G515" i="7"/>
  <c r="F515" i="7"/>
  <c r="E515" i="7"/>
  <c r="D515" i="7"/>
  <c r="C515" i="7"/>
  <c r="B515" i="7"/>
  <c r="A515" i="7"/>
  <c r="J515" i="7" s="1"/>
  <c r="K514" i="7"/>
  <c r="H514" i="7"/>
  <c r="I514" i="7" s="1"/>
  <c r="G514" i="7"/>
  <c r="F514" i="7"/>
  <c r="E514" i="7"/>
  <c r="D514" i="7"/>
  <c r="C514" i="7"/>
  <c r="B514" i="7"/>
  <c r="A514" i="7"/>
  <c r="J514" i="7" s="1"/>
  <c r="K513" i="7"/>
  <c r="H513" i="7"/>
  <c r="I513" i="7" s="1"/>
  <c r="G513" i="7"/>
  <c r="F513" i="7"/>
  <c r="E513" i="7"/>
  <c r="D513" i="7"/>
  <c r="C513" i="7"/>
  <c r="B513" i="7"/>
  <c r="A513" i="7"/>
  <c r="J513" i="7" s="1"/>
  <c r="K512" i="7"/>
  <c r="J512" i="7"/>
  <c r="H512" i="7"/>
  <c r="I512" i="7" s="1"/>
  <c r="G512" i="7"/>
  <c r="F512" i="7"/>
  <c r="E512" i="7"/>
  <c r="D512" i="7"/>
  <c r="C512" i="7"/>
  <c r="B512" i="7"/>
  <c r="A512" i="7"/>
  <c r="K511" i="7"/>
  <c r="J511" i="7"/>
  <c r="H511" i="7"/>
  <c r="I511" i="7" s="1"/>
  <c r="G511" i="7"/>
  <c r="F511" i="7"/>
  <c r="E511" i="7"/>
  <c r="D511" i="7"/>
  <c r="C511" i="7"/>
  <c r="B511" i="7"/>
  <c r="A511" i="7"/>
  <c r="K510" i="7"/>
  <c r="H510" i="7"/>
  <c r="I510" i="7" s="1"/>
  <c r="G510" i="7"/>
  <c r="F510" i="7"/>
  <c r="E510" i="7"/>
  <c r="D510" i="7"/>
  <c r="C510" i="7"/>
  <c r="B510" i="7"/>
  <c r="A510" i="7"/>
  <c r="J510" i="7" s="1"/>
  <c r="K509" i="7"/>
  <c r="H509" i="7"/>
  <c r="I509" i="7" s="1"/>
  <c r="G509" i="7"/>
  <c r="F509" i="7"/>
  <c r="E509" i="7"/>
  <c r="D509" i="7"/>
  <c r="C509" i="7"/>
  <c r="B509" i="7"/>
  <c r="A509" i="7"/>
  <c r="J509" i="7" s="1"/>
  <c r="K508" i="7"/>
  <c r="H508" i="7"/>
  <c r="I508" i="7" s="1"/>
  <c r="G508" i="7"/>
  <c r="F508" i="7"/>
  <c r="E508" i="7"/>
  <c r="D508" i="7"/>
  <c r="C508" i="7"/>
  <c r="B508" i="7"/>
  <c r="A508" i="7"/>
  <c r="J508" i="7" s="1"/>
  <c r="K507" i="7"/>
  <c r="J507" i="7"/>
  <c r="H507" i="7"/>
  <c r="I507" i="7" s="1"/>
  <c r="G507" i="7"/>
  <c r="F507" i="7"/>
  <c r="E507" i="7"/>
  <c r="D507" i="7"/>
  <c r="C507" i="7"/>
  <c r="B507" i="7"/>
  <c r="A507" i="7"/>
  <c r="K506" i="7"/>
  <c r="J506" i="7"/>
  <c r="H506" i="7"/>
  <c r="I506" i="7" s="1"/>
  <c r="G506" i="7"/>
  <c r="F506" i="7"/>
  <c r="E506" i="7"/>
  <c r="D506" i="7"/>
  <c r="C506" i="7"/>
  <c r="B506" i="7"/>
  <c r="A506" i="7"/>
  <c r="K505" i="7"/>
  <c r="J505" i="7"/>
  <c r="H505" i="7"/>
  <c r="I505" i="7" s="1"/>
  <c r="G505" i="7"/>
  <c r="F505" i="7"/>
  <c r="E505" i="7"/>
  <c r="D505" i="7"/>
  <c r="C505" i="7"/>
  <c r="B505" i="7"/>
  <c r="A505" i="7"/>
  <c r="K504" i="7"/>
  <c r="H504" i="7"/>
  <c r="I504" i="7" s="1"/>
  <c r="G504" i="7"/>
  <c r="F504" i="7"/>
  <c r="E504" i="7"/>
  <c r="D504" i="7"/>
  <c r="C504" i="7"/>
  <c r="B504" i="7"/>
  <c r="A504" i="7"/>
  <c r="J504" i="7" s="1"/>
  <c r="K503" i="7"/>
  <c r="H503" i="7"/>
  <c r="I503" i="7" s="1"/>
  <c r="G503" i="7"/>
  <c r="F503" i="7"/>
  <c r="E503" i="7"/>
  <c r="D503" i="7"/>
  <c r="C503" i="7"/>
  <c r="B503" i="7"/>
  <c r="A503" i="7"/>
  <c r="J503" i="7" s="1"/>
  <c r="K502" i="7"/>
  <c r="H502" i="7"/>
  <c r="I502" i="7" s="1"/>
  <c r="G502" i="7"/>
  <c r="F502" i="7"/>
  <c r="E502" i="7"/>
  <c r="D502" i="7"/>
  <c r="C502" i="7"/>
  <c r="B502" i="7"/>
  <c r="A502" i="7"/>
  <c r="J502" i="7" s="1"/>
  <c r="K501" i="7"/>
  <c r="J501" i="7"/>
  <c r="H501" i="7"/>
  <c r="I501" i="7" s="1"/>
  <c r="G501" i="7"/>
  <c r="F501" i="7"/>
  <c r="E501" i="7"/>
  <c r="D501" i="7"/>
  <c r="C501" i="7"/>
  <c r="B501" i="7"/>
  <c r="A501" i="7"/>
  <c r="K500" i="7"/>
  <c r="J500" i="7"/>
  <c r="I500" i="7"/>
  <c r="H500" i="7"/>
  <c r="G500" i="7"/>
  <c r="F500" i="7"/>
  <c r="E500" i="7"/>
  <c r="D500" i="7"/>
  <c r="C500" i="7"/>
  <c r="B500" i="7"/>
  <c r="A500" i="7"/>
  <c r="K499" i="7"/>
  <c r="J499" i="7"/>
  <c r="H499" i="7"/>
  <c r="I499" i="7" s="1"/>
  <c r="G499" i="7"/>
  <c r="F499" i="7"/>
  <c r="E499" i="7"/>
  <c r="D499" i="7"/>
  <c r="C499" i="7"/>
  <c r="B499" i="7"/>
  <c r="A499" i="7"/>
  <c r="K498" i="7"/>
  <c r="I498" i="7"/>
  <c r="H498" i="7"/>
  <c r="G498" i="7"/>
  <c r="F498" i="7"/>
  <c r="E498" i="7"/>
  <c r="D498" i="7"/>
  <c r="C498" i="7"/>
  <c r="B498" i="7"/>
  <c r="A498" i="7"/>
  <c r="J498" i="7" s="1"/>
  <c r="K497" i="7"/>
  <c r="H497" i="7"/>
  <c r="I497" i="7" s="1"/>
  <c r="G497" i="7"/>
  <c r="F497" i="7"/>
  <c r="E497" i="7"/>
  <c r="D497" i="7"/>
  <c r="C497" i="7"/>
  <c r="B497" i="7"/>
  <c r="A497" i="7"/>
  <c r="J497" i="7" s="1"/>
  <c r="K496" i="7"/>
  <c r="H496" i="7"/>
  <c r="I496" i="7" s="1"/>
  <c r="G496" i="7"/>
  <c r="F496" i="7"/>
  <c r="E496" i="7"/>
  <c r="D496" i="7"/>
  <c r="C496" i="7"/>
  <c r="B496" i="7"/>
  <c r="A496" i="7"/>
  <c r="J496" i="7" s="1"/>
  <c r="K495" i="7"/>
  <c r="H495" i="7"/>
  <c r="I495" i="7" s="1"/>
  <c r="G495" i="7"/>
  <c r="F495" i="7"/>
  <c r="E495" i="7"/>
  <c r="D495" i="7"/>
  <c r="C495" i="7"/>
  <c r="B495" i="7"/>
  <c r="A495" i="7"/>
  <c r="J495" i="7" s="1"/>
  <c r="K494" i="7"/>
  <c r="H494" i="7"/>
  <c r="I494" i="7" s="1"/>
  <c r="G494" i="7"/>
  <c r="F494" i="7"/>
  <c r="E494" i="7"/>
  <c r="D494" i="7"/>
  <c r="C494" i="7"/>
  <c r="B494" i="7"/>
  <c r="A494" i="7"/>
  <c r="J494" i="7" s="1"/>
  <c r="K493" i="7"/>
  <c r="H493" i="7"/>
  <c r="I493" i="7" s="1"/>
  <c r="G493" i="7"/>
  <c r="F493" i="7"/>
  <c r="E493" i="7"/>
  <c r="D493" i="7"/>
  <c r="C493" i="7"/>
  <c r="B493" i="7"/>
  <c r="A493" i="7"/>
  <c r="J493" i="7" s="1"/>
  <c r="K492" i="7"/>
  <c r="H492" i="7"/>
  <c r="I492" i="7" s="1"/>
  <c r="G492" i="7"/>
  <c r="F492" i="7"/>
  <c r="E492" i="7"/>
  <c r="D492" i="7"/>
  <c r="C492" i="7"/>
  <c r="B492" i="7"/>
  <c r="A492" i="7"/>
  <c r="J492" i="7" s="1"/>
  <c r="K491" i="7"/>
  <c r="H491" i="7"/>
  <c r="I491" i="7" s="1"/>
  <c r="G491" i="7"/>
  <c r="F491" i="7"/>
  <c r="E491" i="7"/>
  <c r="D491" i="7"/>
  <c r="C491" i="7"/>
  <c r="B491" i="7"/>
  <c r="A491" i="7"/>
  <c r="J491" i="7" s="1"/>
  <c r="K490" i="7"/>
  <c r="J490" i="7"/>
  <c r="H490" i="7"/>
  <c r="I490" i="7" s="1"/>
  <c r="G490" i="7"/>
  <c r="F490" i="7"/>
  <c r="E490" i="7"/>
  <c r="D490" i="7"/>
  <c r="C490" i="7"/>
  <c r="B490" i="7"/>
  <c r="A490" i="7"/>
  <c r="K489" i="7"/>
  <c r="J489" i="7"/>
  <c r="H489" i="7"/>
  <c r="I489" i="7" s="1"/>
  <c r="G489" i="7"/>
  <c r="F489" i="7"/>
  <c r="E489" i="7"/>
  <c r="D489" i="7"/>
  <c r="C489" i="7"/>
  <c r="B489" i="7"/>
  <c r="A489" i="7"/>
  <c r="K488" i="7"/>
  <c r="I488" i="7"/>
  <c r="H488" i="7"/>
  <c r="G488" i="7"/>
  <c r="F488" i="7"/>
  <c r="E488" i="7"/>
  <c r="D488" i="7"/>
  <c r="C488" i="7"/>
  <c r="B488" i="7"/>
  <c r="A488" i="7"/>
  <c r="J488" i="7" s="1"/>
  <c r="K487" i="7"/>
  <c r="H487" i="7"/>
  <c r="I487" i="7" s="1"/>
  <c r="G487" i="7"/>
  <c r="F487" i="7"/>
  <c r="E487" i="7"/>
  <c r="D487" i="7"/>
  <c r="C487" i="7"/>
  <c r="B487" i="7"/>
  <c r="A487" i="7"/>
  <c r="J487" i="7" s="1"/>
  <c r="K486" i="7"/>
  <c r="H486" i="7"/>
  <c r="I486" i="7" s="1"/>
  <c r="G486" i="7"/>
  <c r="F486" i="7"/>
  <c r="E486" i="7"/>
  <c r="D486" i="7"/>
  <c r="C486" i="7"/>
  <c r="B486" i="7"/>
  <c r="A486" i="7"/>
  <c r="J486" i="7" s="1"/>
  <c r="K485" i="7"/>
  <c r="H485" i="7"/>
  <c r="I485" i="7" s="1"/>
  <c r="G485" i="7"/>
  <c r="F485" i="7"/>
  <c r="E485" i="7"/>
  <c r="D485" i="7"/>
  <c r="C485" i="7"/>
  <c r="B485" i="7"/>
  <c r="A485" i="7"/>
  <c r="J485" i="7" s="1"/>
  <c r="K484" i="7"/>
  <c r="I484" i="7"/>
  <c r="H484" i="7"/>
  <c r="G484" i="7"/>
  <c r="F484" i="7"/>
  <c r="E484" i="7"/>
  <c r="D484" i="7"/>
  <c r="C484" i="7"/>
  <c r="B484" i="7"/>
  <c r="A484" i="7"/>
  <c r="J484" i="7" s="1"/>
  <c r="K483" i="7"/>
  <c r="J483" i="7"/>
  <c r="H483" i="7"/>
  <c r="I483" i="7" s="1"/>
  <c r="G483" i="7"/>
  <c r="F483" i="7"/>
  <c r="E483" i="7"/>
  <c r="D483" i="7"/>
  <c r="C483" i="7"/>
  <c r="B483" i="7"/>
  <c r="A483" i="7"/>
  <c r="K482" i="7"/>
  <c r="H482" i="7"/>
  <c r="I482" i="7" s="1"/>
  <c r="G482" i="7"/>
  <c r="F482" i="7"/>
  <c r="E482" i="7"/>
  <c r="D482" i="7"/>
  <c r="C482" i="7"/>
  <c r="B482" i="7"/>
  <c r="A482" i="7"/>
  <c r="J482" i="7" s="1"/>
  <c r="K481" i="7"/>
  <c r="H481" i="7"/>
  <c r="I481" i="7" s="1"/>
  <c r="G481" i="7"/>
  <c r="F481" i="7"/>
  <c r="E481" i="7"/>
  <c r="D481" i="7"/>
  <c r="C481" i="7"/>
  <c r="B481" i="7"/>
  <c r="A481" i="7"/>
  <c r="J481" i="7" s="1"/>
  <c r="K480" i="7"/>
  <c r="H480" i="7"/>
  <c r="I480" i="7" s="1"/>
  <c r="G480" i="7"/>
  <c r="F480" i="7"/>
  <c r="E480" i="7"/>
  <c r="D480" i="7"/>
  <c r="C480" i="7"/>
  <c r="B480" i="7"/>
  <c r="A480" i="7"/>
  <c r="J480" i="7" s="1"/>
  <c r="K479" i="7"/>
  <c r="H479" i="7"/>
  <c r="I479" i="7" s="1"/>
  <c r="G479" i="7"/>
  <c r="F479" i="7"/>
  <c r="E479" i="7"/>
  <c r="D479" i="7"/>
  <c r="C479" i="7"/>
  <c r="B479" i="7"/>
  <c r="A479" i="7"/>
  <c r="J479" i="7" s="1"/>
  <c r="K478" i="7"/>
  <c r="H478" i="7"/>
  <c r="I478" i="7" s="1"/>
  <c r="G478" i="7"/>
  <c r="F478" i="7"/>
  <c r="E478" i="7"/>
  <c r="D478" i="7"/>
  <c r="C478" i="7"/>
  <c r="B478" i="7"/>
  <c r="A478" i="7"/>
  <c r="J478" i="7" s="1"/>
  <c r="K477" i="7"/>
  <c r="H477" i="7"/>
  <c r="I477" i="7" s="1"/>
  <c r="G477" i="7"/>
  <c r="F477" i="7"/>
  <c r="E477" i="7"/>
  <c r="D477" i="7"/>
  <c r="C477" i="7"/>
  <c r="B477" i="7"/>
  <c r="A477" i="7"/>
  <c r="J477" i="7" s="1"/>
  <c r="K476" i="7"/>
  <c r="J476" i="7"/>
  <c r="H476" i="7"/>
  <c r="I476" i="7" s="1"/>
  <c r="G476" i="7"/>
  <c r="F476" i="7"/>
  <c r="E476" i="7"/>
  <c r="D476" i="7"/>
  <c r="C476" i="7"/>
  <c r="B476" i="7"/>
  <c r="A476" i="7"/>
  <c r="K475" i="7"/>
  <c r="H475" i="7"/>
  <c r="I475" i="7" s="1"/>
  <c r="G475" i="7"/>
  <c r="F475" i="7"/>
  <c r="E475" i="7"/>
  <c r="D475" i="7"/>
  <c r="C475" i="7"/>
  <c r="B475" i="7"/>
  <c r="A475" i="7"/>
  <c r="J475" i="7" s="1"/>
  <c r="K474" i="7"/>
  <c r="H474" i="7"/>
  <c r="I474" i="7" s="1"/>
  <c r="G474" i="7"/>
  <c r="F474" i="7"/>
  <c r="E474" i="7"/>
  <c r="D474" i="7"/>
  <c r="C474" i="7"/>
  <c r="B474" i="7"/>
  <c r="A474" i="7"/>
  <c r="J474" i="7" s="1"/>
  <c r="K473" i="7"/>
  <c r="J473" i="7"/>
  <c r="I473" i="7"/>
  <c r="H473" i="7"/>
  <c r="G473" i="7"/>
  <c r="F473" i="7"/>
  <c r="E473" i="7"/>
  <c r="D473" i="7"/>
  <c r="C473" i="7"/>
  <c r="B473" i="7"/>
  <c r="A473" i="7"/>
  <c r="K472" i="7"/>
  <c r="H472" i="7"/>
  <c r="I472" i="7" s="1"/>
  <c r="G472" i="7"/>
  <c r="F472" i="7"/>
  <c r="E472" i="7"/>
  <c r="D472" i="7"/>
  <c r="C472" i="7"/>
  <c r="B472" i="7"/>
  <c r="A472" i="7"/>
  <c r="J472" i="7" s="1"/>
  <c r="K471" i="7"/>
  <c r="H471" i="7"/>
  <c r="I471" i="7" s="1"/>
  <c r="G471" i="7"/>
  <c r="F471" i="7"/>
  <c r="E471" i="7"/>
  <c r="D471" i="7"/>
  <c r="C471" i="7"/>
  <c r="B471" i="7"/>
  <c r="A471" i="7"/>
  <c r="J471" i="7" s="1"/>
  <c r="K470" i="7"/>
  <c r="H470" i="7"/>
  <c r="I470" i="7" s="1"/>
  <c r="G470" i="7"/>
  <c r="F470" i="7"/>
  <c r="E470" i="7"/>
  <c r="D470" i="7"/>
  <c r="C470" i="7"/>
  <c r="B470" i="7"/>
  <c r="A470" i="7"/>
  <c r="J470" i="7" s="1"/>
  <c r="K469" i="7"/>
  <c r="H469" i="7"/>
  <c r="I469" i="7" s="1"/>
  <c r="G469" i="7"/>
  <c r="F469" i="7"/>
  <c r="E469" i="7"/>
  <c r="D469" i="7"/>
  <c r="C469" i="7"/>
  <c r="B469" i="7"/>
  <c r="A469" i="7"/>
  <c r="J469" i="7" s="1"/>
  <c r="K468" i="7"/>
  <c r="J468" i="7"/>
  <c r="H468" i="7"/>
  <c r="I468" i="7" s="1"/>
  <c r="G468" i="7"/>
  <c r="F468" i="7"/>
  <c r="E468" i="7"/>
  <c r="D468" i="7"/>
  <c r="C468" i="7"/>
  <c r="B468" i="7"/>
  <c r="A468" i="7"/>
  <c r="K467" i="7"/>
  <c r="H467" i="7"/>
  <c r="I467" i="7" s="1"/>
  <c r="G467" i="7"/>
  <c r="F467" i="7"/>
  <c r="E467" i="7"/>
  <c r="D467" i="7"/>
  <c r="C467" i="7"/>
  <c r="B467" i="7"/>
  <c r="A467" i="7"/>
  <c r="J467" i="7" s="1"/>
  <c r="K466" i="7"/>
  <c r="H466" i="7"/>
  <c r="I466" i="7" s="1"/>
  <c r="G466" i="7"/>
  <c r="F466" i="7"/>
  <c r="E466" i="7"/>
  <c r="D466" i="7"/>
  <c r="C466" i="7"/>
  <c r="B466" i="7"/>
  <c r="A466" i="7"/>
  <c r="J466" i="7" s="1"/>
  <c r="K465" i="7"/>
  <c r="H465" i="7"/>
  <c r="I465" i="7" s="1"/>
  <c r="G465" i="7"/>
  <c r="F465" i="7"/>
  <c r="E465" i="7"/>
  <c r="D465" i="7"/>
  <c r="C465" i="7"/>
  <c r="B465" i="7"/>
  <c r="A465" i="7"/>
  <c r="J465" i="7" s="1"/>
  <c r="K464" i="7"/>
  <c r="J464" i="7"/>
  <c r="H464" i="7"/>
  <c r="I464" i="7" s="1"/>
  <c r="G464" i="7"/>
  <c r="F464" i="7"/>
  <c r="E464" i="7"/>
  <c r="D464" i="7"/>
  <c r="C464" i="7"/>
  <c r="B464" i="7"/>
  <c r="A464" i="7"/>
  <c r="K463" i="7"/>
  <c r="H463" i="7"/>
  <c r="I463" i="7" s="1"/>
  <c r="G463" i="7"/>
  <c r="F463" i="7"/>
  <c r="E463" i="7"/>
  <c r="D463" i="7"/>
  <c r="C463" i="7"/>
  <c r="B463" i="7"/>
  <c r="A463" i="7"/>
  <c r="J463" i="7" s="1"/>
  <c r="K462" i="7"/>
  <c r="H462" i="7"/>
  <c r="I462" i="7" s="1"/>
  <c r="G462" i="7"/>
  <c r="F462" i="7"/>
  <c r="E462" i="7"/>
  <c r="D462" i="7"/>
  <c r="C462" i="7"/>
  <c r="B462" i="7"/>
  <c r="A462" i="7"/>
  <c r="J462" i="7" s="1"/>
  <c r="K461" i="7"/>
  <c r="H461" i="7"/>
  <c r="I461" i="7" s="1"/>
  <c r="G461" i="7"/>
  <c r="F461" i="7"/>
  <c r="E461" i="7"/>
  <c r="D461" i="7"/>
  <c r="C461" i="7"/>
  <c r="B461" i="7"/>
  <c r="A461" i="7"/>
  <c r="J461" i="7" s="1"/>
  <c r="K460" i="7"/>
  <c r="H460" i="7"/>
  <c r="I460" i="7" s="1"/>
  <c r="G460" i="7"/>
  <c r="F460" i="7"/>
  <c r="E460" i="7"/>
  <c r="D460" i="7"/>
  <c r="C460" i="7"/>
  <c r="B460" i="7"/>
  <c r="A460" i="7"/>
  <c r="J460" i="7" s="1"/>
  <c r="K459" i="7"/>
  <c r="J459" i="7"/>
  <c r="I459" i="7"/>
  <c r="H459" i="7"/>
  <c r="G459" i="7"/>
  <c r="F459" i="7"/>
  <c r="E459" i="7"/>
  <c r="D459" i="7"/>
  <c r="C459" i="7"/>
  <c r="B459" i="7"/>
  <c r="A459" i="7"/>
  <c r="K458" i="7"/>
  <c r="J458" i="7"/>
  <c r="H458" i="7"/>
  <c r="I458" i="7" s="1"/>
  <c r="G458" i="7"/>
  <c r="F458" i="7"/>
  <c r="E458" i="7"/>
  <c r="D458" i="7"/>
  <c r="C458" i="7"/>
  <c r="B458" i="7"/>
  <c r="A458" i="7"/>
  <c r="K457" i="7"/>
  <c r="J457" i="7"/>
  <c r="H457" i="7"/>
  <c r="I457" i="7" s="1"/>
  <c r="G457" i="7"/>
  <c r="F457" i="7"/>
  <c r="E457" i="7"/>
  <c r="D457" i="7"/>
  <c r="C457" i="7"/>
  <c r="B457" i="7"/>
  <c r="A457" i="7"/>
  <c r="K456" i="7"/>
  <c r="H456" i="7"/>
  <c r="I456" i="7" s="1"/>
  <c r="G456" i="7"/>
  <c r="F456" i="7"/>
  <c r="E456" i="7"/>
  <c r="D456" i="7"/>
  <c r="C456" i="7"/>
  <c r="B456" i="7"/>
  <c r="A456" i="7"/>
  <c r="J456" i="7" s="1"/>
  <c r="K455" i="7"/>
  <c r="H455" i="7"/>
  <c r="I455" i="7" s="1"/>
  <c r="G455" i="7"/>
  <c r="F455" i="7"/>
  <c r="E455" i="7"/>
  <c r="D455" i="7"/>
  <c r="C455" i="7"/>
  <c r="B455" i="7"/>
  <c r="A455" i="7"/>
  <c r="J455" i="7" s="1"/>
  <c r="K454" i="7"/>
  <c r="H454" i="7"/>
  <c r="I454" i="7" s="1"/>
  <c r="G454" i="7"/>
  <c r="F454" i="7"/>
  <c r="E454" i="7"/>
  <c r="D454" i="7"/>
  <c r="C454" i="7"/>
  <c r="B454" i="7"/>
  <c r="A454" i="7"/>
  <c r="J454" i="7" s="1"/>
  <c r="K453" i="7"/>
  <c r="H453" i="7"/>
  <c r="I453" i="7" s="1"/>
  <c r="G453" i="7"/>
  <c r="F453" i="7"/>
  <c r="E453" i="7"/>
  <c r="D453" i="7"/>
  <c r="C453" i="7"/>
  <c r="B453" i="7"/>
  <c r="A453" i="7"/>
  <c r="J453" i="7" s="1"/>
  <c r="K452" i="7"/>
  <c r="J452" i="7"/>
  <c r="H452" i="7"/>
  <c r="I452" i="7" s="1"/>
  <c r="G452" i="7"/>
  <c r="F452" i="7"/>
  <c r="E452" i="7"/>
  <c r="D452" i="7"/>
  <c r="C452" i="7"/>
  <c r="B452" i="7"/>
  <c r="A452" i="7"/>
  <c r="K451" i="7"/>
  <c r="H451" i="7"/>
  <c r="I451" i="7" s="1"/>
  <c r="G451" i="7"/>
  <c r="F451" i="7"/>
  <c r="E451" i="7"/>
  <c r="D451" i="7"/>
  <c r="C451" i="7"/>
  <c r="B451" i="7"/>
  <c r="A451" i="7"/>
  <c r="J451" i="7" s="1"/>
  <c r="K450" i="7"/>
  <c r="H450" i="7"/>
  <c r="I450" i="7" s="1"/>
  <c r="G450" i="7"/>
  <c r="F450" i="7"/>
  <c r="E450" i="7"/>
  <c r="D450" i="7"/>
  <c r="C450" i="7"/>
  <c r="B450" i="7"/>
  <c r="A450" i="7"/>
  <c r="J450" i="7" s="1"/>
  <c r="K449" i="7"/>
  <c r="H449" i="7"/>
  <c r="I449" i="7" s="1"/>
  <c r="G449" i="7"/>
  <c r="F449" i="7"/>
  <c r="E449" i="7"/>
  <c r="D449" i="7"/>
  <c r="C449" i="7"/>
  <c r="B449" i="7"/>
  <c r="A449" i="7"/>
  <c r="J449" i="7" s="1"/>
  <c r="K448" i="7"/>
  <c r="J448" i="7"/>
  <c r="H448" i="7"/>
  <c r="I448" i="7" s="1"/>
  <c r="G448" i="7"/>
  <c r="F448" i="7"/>
  <c r="E448" i="7"/>
  <c r="D448" i="7"/>
  <c r="C448" i="7"/>
  <c r="B448" i="7"/>
  <c r="A448" i="7"/>
  <c r="K447" i="7"/>
  <c r="J447" i="7"/>
  <c r="H447" i="7"/>
  <c r="I447" i="7" s="1"/>
  <c r="G447" i="7"/>
  <c r="F447" i="7"/>
  <c r="E447" i="7"/>
  <c r="D447" i="7"/>
  <c r="C447" i="7"/>
  <c r="B447" i="7"/>
  <c r="A447" i="7"/>
  <c r="K446" i="7"/>
  <c r="H446" i="7"/>
  <c r="I446" i="7" s="1"/>
  <c r="G446" i="7"/>
  <c r="F446" i="7"/>
  <c r="E446" i="7"/>
  <c r="D446" i="7"/>
  <c r="C446" i="7"/>
  <c r="B446" i="7"/>
  <c r="A446" i="7"/>
  <c r="J446" i="7" s="1"/>
  <c r="K445" i="7"/>
  <c r="J445" i="7"/>
  <c r="I445" i="7"/>
  <c r="H445" i="7"/>
  <c r="G445" i="7"/>
  <c r="F445" i="7"/>
  <c r="E445" i="7"/>
  <c r="D445" i="7"/>
  <c r="C445" i="7"/>
  <c r="B445" i="7"/>
  <c r="A445" i="7"/>
  <c r="K444" i="7"/>
  <c r="H444" i="7"/>
  <c r="I444" i="7" s="1"/>
  <c r="G444" i="7"/>
  <c r="F444" i="7"/>
  <c r="E444" i="7"/>
  <c r="D444" i="7"/>
  <c r="C444" i="7"/>
  <c r="B444" i="7"/>
  <c r="A444" i="7"/>
  <c r="J444" i="7" s="1"/>
  <c r="K443" i="7"/>
  <c r="H443" i="7"/>
  <c r="I443" i="7" s="1"/>
  <c r="G443" i="7"/>
  <c r="F443" i="7"/>
  <c r="E443" i="7"/>
  <c r="D443" i="7"/>
  <c r="C443" i="7"/>
  <c r="B443" i="7"/>
  <c r="A443" i="7"/>
  <c r="J443" i="7" s="1"/>
  <c r="K442" i="7"/>
  <c r="J442" i="7"/>
  <c r="H442" i="7"/>
  <c r="I442" i="7" s="1"/>
  <c r="G442" i="7"/>
  <c r="F442" i="7"/>
  <c r="E442" i="7"/>
  <c r="D442" i="7"/>
  <c r="C442" i="7"/>
  <c r="B442" i="7"/>
  <c r="A442" i="7"/>
  <c r="K441" i="7"/>
  <c r="J441" i="7"/>
  <c r="H441" i="7"/>
  <c r="I441" i="7" s="1"/>
  <c r="G441" i="7"/>
  <c r="F441" i="7"/>
  <c r="E441" i="7"/>
  <c r="D441" i="7"/>
  <c r="C441" i="7"/>
  <c r="B441" i="7"/>
  <c r="A441" i="7"/>
  <c r="K440" i="7"/>
  <c r="H440" i="7"/>
  <c r="I440" i="7" s="1"/>
  <c r="G440" i="7"/>
  <c r="F440" i="7"/>
  <c r="E440" i="7"/>
  <c r="D440" i="7"/>
  <c r="C440" i="7"/>
  <c r="B440" i="7"/>
  <c r="A440" i="7"/>
  <c r="J440" i="7" s="1"/>
  <c r="K439" i="7"/>
  <c r="J439" i="7"/>
  <c r="I439" i="7"/>
  <c r="H439" i="7"/>
  <c r="G439" i="7"/>
  <c r="F439" i="7"/>
  <c r="E439" i="7"/>
  <c r="D439" i="7"/>
  <c r="C439" i="7"/>
  <c r="B439" i="7"/>
  <c r="A439" i="7"/>
  <c r="K438" i="7"/>
  <c r="J438" i="7"/>
  <c r="H438" i="7"/>
  <c r="I438" i="7" s="1"/>
  <c r="G438" i="7"/>
  <c r="F438" i="7"/>
  <c r="E438" i="7"/>
  <c r="D438" i="7"/>
  <c r="C438" i="7"/>
  <c r="B438" i="7"/>
  <c r="A438" i="7"/>
  <c r="K437" i="7"/>
  <c r="H437" i="7"/>
  <c r="I437" i="7" s="1"/>
  <c r="G437" i="7"/>
  <c r="F437" i="7"/>
  <c r="E437" i="7"/>
  <c r="D437" i="7"/>
  <c r="C437" i="7"/>
  <c r="B437" i="7"/>
  <c r="A437" i="7"/>
  <c r="J437" i="7" s="1"/>
  <c r="K436" i="7"/>
  <c r="H436" i="7"/>
  <c r="I436" i="7" s="1"/>
  <c r="G436" i="7"/>
  <c r="F436" i="7"/>
  <c r="E436" i="7"/>
  <c r="D436" i="7"/>
  <c r="C436" i="7"/>
  <c r="B436" i="7"/>
  <c r="A436" i="7"/>
  <c r="J436" i="7" s="1"/>
  <c r="K435" i="7"/>
  <c r="H435" i="7"/>
  <c r="I435" i="7" s="1"/>
  <c r="G435" i="7"/>
  <c r="F435" i="7"/>
  <c r="E435" i="7"/>
  <c r="D435" i="7"/>
  <c r="C435" i="7"/>
  <c r="B435" i="7"/>
  <c r="A435" i="7"/>
  <c r="J435" i="7" s="1"/>
  <c r="K434" i="7"/>
  <c r="J434" i="7"/>
  <c r="H434" i="7"/>
  <c r="I434" i="7" s="1"/>
  <c r="G434" i="7"/>
  <c r="F434" i="7"/>
  <c r="E434" i="7"/>
  <c r="D434" i="7"/>
  <c r="C434" i="7"/>
  <c r="B434" i="7"/>
  <c r="A434" i="7"/>
  <c r="K433" i="7"/>
  <c r="J433" i="7"/>
  <c r="I433" i="7"/>
  <c r="H433" i="7"/>
  <c r="G433" i="7"/>
  <c r="F433" i="7"/>
  <c r="E433" i="7"/>
  <c r="D433" i="7"/>
  <c r="C433" i="7"/>
  <c r="B433" i="7"/>
  <c r="A433" i="7"/>
  <c r="K432" i="7"/>
  <c r="J432" i="7"/>
  <c r="H432" i="7"/>
  <c r="I432" i="7" s="1"/>
  <c r="G432" i="7"/>
  <c r="F432" i="7"/>
  <c r="E432" i="7"/>
  <c r="D432" i="7"/>
  <c r="C432" i="7"/>
  <c r="B432" i="7"/>
  <c r="A432" i="7"/>
  <c r="K431" i="7"/>
  <c r="I431" i="7"/>
  <c r="H431" i="7"/>
  <c r="G431" i="7"/>
  <c r="F431" i="7"/>
  <c r="E431" i="7"/>
  <c r="D431" i="7"/>
  <c r="C431" i="7"/>
  <c r="B431" i="7"/>
  <c r="A431" i="7"/>
  <c r="J431" i="7" s="1"/>
  <c r="K430" i="7"/>
  <c r="H430" i="7"/>
  <c r="I430" i="7" s="1"/>
  <c r="G430" i="7"/>
  <c r="F430" i="7"/>
  <c r="E430" i="7"/>
  <c r="D430" i="7"/>
  <c r="C430" i="7"/>
  <c r="B430" i="7"/>
  <c r="A430" i="7"/>
  <c r="J430" i="7" s="1"/>
  <c r="K429" i="7"/>
  <c r="H429" i="7"/>
  <c r="I429" i="7" s="1"/>
  <c r="G429" i="7"/>
  <c r="F429" i="7"/>
  <c r="E429" i="7"/>
  <c r="D429" i="7"/>
  <c r="C429" i="7"/>
  <c r="B429" i="7"/>
  <c r="A429" i="7"/>
  <c r="J429" i="7" s="1"/>
  <c r="K428" i="7"/>
  <c r="J428" i="7"/>
  <c r="H428" i="7"/>
  <c r="I428" i="7" s="1"/>
  <c r="G428" i="7"/>
  <c r="F428" i="7"/>
  <c r="E428" i="7"/>
  <c r="D428" i="7"/>
  <c r="C428" i="7"/>
  <c r="B428" i="7"/>
  <c r="A428" i="7"/>
  <c r="K427" i="7"/>
  <c r="H427" i="7"/>
  <c r="I427" i="7" s="1"/>
  <c r="G427" i="7"/>
  <c r="F427" i="7"/>
  <c r="E427" i="7"/>
  <c r="D427" i="7"/>
  <c r="C427" i="7"/>
  <c r="B427" i="7"/>
  <c r="A427" i="7"/>
  <c r="J427" i="7" s="1"/>
  <c r="K426" i="7"/>
  <c r="J426" i="7"/>
  <c r="H426" i="7"/>
  <c r="I426" i="7" s="1"/>
  <c r="G426" i="7"/>
  <c r="F426" i="7"/>
  <c r="E426" i="7"/>
  <c r="D426" i="7"/>
  <c r="C426" i="7"/>
  <c r="B426" i="7"/>
  <c r="A426" i="7"/>
  <c r="K425" i="7"/>
  <c r="J425" i="7"/>
  <c r="H425" i="7"/>
  <c r="I425" i="7" s="1"/>
  <c r="G425" i="7"/>
  <c r="F425" i="7"/>
  <c r="E425" i="7"/>
  <c r="D425" i="7"/>
  <c r="C425" i="7"/>
  <c r="B425" i="7"/>
  <c r="A425" i="7"/>
  <c r="K424" i="7"/>
  <c r="H424" i="7"/>
  <c r="I424" i="7" s="1"/>
  <c r="G424" i="7"/>
  <c r="F424" i="7"/>
  <c r="E424" i="7"/>
  <c r="D424" i="7"/>
  <c r="C424" i="7"/>
  <c r="B424" i="7"/>
  <c r="A424" i="7"/>
  <c r="J424" i="7" s="1"/>
  <c r="K423" i="7"/>
  <c r="H423" i="7"/>
  <c r="I423" i="7" s="1"/>
  <c r="G423" i="7"/>
  <c r="F423" i="7"/>
  <c r="E423" i="7"/>
  <c r="D423" i="7"/>
  <c r="C423" i="7"/>
  <c r="B423" i="7"/>
  <c r="A423" i="7"/>
  <c r="J423" i="7" s="1"/>
  <c r="K422" i="7"/>
  <c r="H422" i="7"/>
  <c r="I422" i="7" s="1"/>
  <c r="G422" i="7"/>
  <c r="F422" i="7"/>
  <c r="E422" i="7"/>
  <c r="D422" i="7"/>
  <c r="C422" i="7"/>
  <c r="B422" i="7"/>
  <c r="A422" i="7"/>
  <c r="J422" i="7" s="1"/>
  <c r="K421" i="7"/>
  <c r="J421" i="7"/>
  <c r="H421" i="7"/>
  <c r="I421" i="7" s="1"/>
  <c r="G421" i="7"/>
  <c r="F421" i="7"/>
  <c r="E421" i="7"/>
  <c r="D421" i="7"/>
  <c r="C421" i="7"/>
  <c r="B421" i="7"/>
  <c r="A421" i="7"/>
  <c r="K420" i="7"/>
  <c r="J420" i="7"/>
  <c r="H420" i="7"/>
  <c r="I420" i="7" s="1"/>
  <c r="G420" i="7"/>
  <c r="F420" i="7"/>
  <c r="E420" i="7"/>
  <c r="D420" i="7"/>
  <c r="C420" i="7"/>
  <c r="B420" i="7"/>
  <c r="A420" i="7"/>
  <c r="K419" i="7"/>
  <c r="H419" i="7"/>
  <c r="I419" i="7" s="1"/>
  <c r="G419" i="7"/>
  <c r="F419" i="7"/>
  <c r="E419" i="7"/>
  <c r="D419" i="7"/>
  <c r="C419" i="7"/>
  <c r="B419" i="7"/>
  <c r="A419" i="7"/>
  <c r="J419" i="7" s="1"/>
  <c r="K418" i="7"/>
  <c r="H418" i="7"/>
  <c r="I418" i="7" s="1"/>
  <c r="G418" i="7"/>
  <c r="F418" i="7"/>
  <c r="E418" i="7"/>
  <c r="D418" i="7"/>
  <c r="C418" i="7"/>
  <c r="B418" i="7"/>
  <c r="A418" i="7"/>
  <c r="J418" i="7" s="1"/>
  <c r="K417" i="7"/>
  <c r="H417" i="7"/>
  <c r="I417" i="7" s="1"/>
  <c r="G417" i="7"/>
  <c r="F417" i="7"/>
  <c r="E417" i="7"/>
  <c r="D417" i="7"/>
  <c r="C417" i="7"/>
  <c r="B417" i="7"/>
  <c r="A417" i="7"/>
  <c r="J417" i="7" s="1"/>
  <c r="K416" i="7"/>
  <c r="J416" i="7"/>
  <c r="I416" i="7"/>
  <c r="H416" i="7"/>
  <c r="G416" i="7"/>
  <c r="F416" i="7"/>
  <c r="E416" i="7"/>
  <c r="D416" i="7"/>
  <c r="C416" i="7"/>
  <c r="B416" i="7"/>
  <c r="A416" i="7"/>
  <c r="K415" i="7"/>
  <c r="H415" i="7"/>
  <c r="I415" i="7" s="1"/>
  <c r="G415" i="7"/>
  <c r="F415" i="7"/>
  <c r="E415" i="7"/>
  <c r="D415" i="7"/>
  <c r="C415" i="7"/>
  <c r="B415" i="7"/>
  <c r="A415" i="7"/>
  <c r="J415" i="7" s="1"/>
  <c r="K414" i="7"/>
  <c r="H414" i="7"/>
  <c r="I414" i="7" s="1"/>
  <c r="G414" i="7"/>
  <c r="F414" i="7"/>
  <c r="E414" i="7"/>
  <c r="D414" i="7"/>
  <c r="C414" i="7"/>
  <c r="B414" i="7"/>
  <c r="A414" i="7"/>
  <c r="J414" i="7" s="1"/>
  <c r="K413" i="7"/>
  <c r="H413" i="7"/>
  <c r="I413" i="7" s="1"/>
  <c r="G413" i="7"/>
  <c r="F413" i="7"/>
  <c r="E413" i="7"/>
  <c r="D413" i="7"/>
  <c r="C413" i="7"/>
  <c r="B413" i="7"/>
  <c r="A413" i="7"/>
  <c r="J413" i="7" s="1"/>
  <c r="K412" i="7"/>
  <c r="H412" i="7"/>
  <c r="I412" i="7" s="1"/>
  <c r="G412" i="7"/>
  <c r="F412" i="7"/>
  <c r="E412" i="7"/>
  <c r="D412" i="7"/>
  <c r="C412" i="7"/>
  <c r="B412" i="7"/>
  <c r="A412" i="7"/>
  <c r="J412" i="7" s="1"/>
  <c r="K411" i="7"/>
  <c r="H411" i="7"/>
  <c r="I411" i="7" s="1"/>
  <c r="G411" i="7"/>
  <c r="F411" i="7"/>
  <c r="E411" i="7"/>
  <c r="D411" i="7"/>
  <c r="C411" i="7"/>
  <c r="B411" i="7"/>
  <c r="A411" i="7"/>
  <c r="J411" i="7" s="1"/>
  <c r="K410" i="7"/>
  <c r="H410" i="7"/>
  <c r="I410" i="7" s="1"/>
  <c r="G410" i="7"/>
  <c r="F410" i="7"/>
  <c r="E410" i="7"/>
  <c r="D410" i="7"/>
  <c r="C410" i="7"/>
  <c r="B410" i="7"/>
  <c r="A410" i="7"/>
  <c r="J410" i="7" s="1"/>
  <c r="K409" i="7"/>
  <c r="J409" i="7"/>
  <c r="H409" i="7"/>
  <c r="I409" i="7" s="1"/>
  <c r="G409" i="7"/>
  <c r="F409" i="7"/>
  <c r="E409" i="7"/>
  <c r="D409" i="7"/>
  <c r="C409" i="7"/>
  <c r="B409" i="7"/>
  <c r="A409" i="7"/>
  <c r="K408" i="7"/>
  <c r="J408" i="7"/>
  <c r="H408" i="7"/>
  <c r="I408" i="7" s="1"/>
  <c r="G408" i="7"/>
  <c r="F408" i="7"/>
  <c r="E408" i="7"/>
  <c r="D408" i="7"/>
  <c r="C408" i="7"/>
  <c r="B408" i="7"/>
  <c r="A408" i="7"/>
  <c r="K407" i="7"/>
  <c r="I407" i="7"/>
  <c r="H407" i="7"/>
  <c r="G407" i="7"/>
  <c r="F407" i="7"/>
  <c r="E407" i="7"/>
  <c r="D407" i="7"/>
  <c r="C407" i="7"/>
  <c r="B407" i="7"/>
  <c r="A407" i="7"/>
  <c r="J407" i="7" s="1"/>
  <c r="K406" i="7"/>
  <c r="H406" i="7"/>
  <c r="I406" i="7" s="1"/>
  <c r="G406" i="7"/>
  <c r="F406" i="7"/>
  <c r="E406" i="7"/>
  <c r="D406" i="7"/>
  <c r="C406" i="7"/>
  <c r="B406" i="7"/>
  <c r="A406" i="7"/>
  <c r="J406" i="7" s="1"/>
  <c r="K405" i="7"/>
  <c r="J405" i="7"/>
  <c r="I405" i="7"/>
  <c r="H405" i="7"/>
  <c r="G405" i="7"/>
  <c r="F405" i="7"/>
  <c r="E405" i="7"/>
  <c r="D405" i="7"/>
  <c r="C405" i="7"/>
  <c r="B405" i="7"/>
  <c r="A405" i="7"/>
  <c r="K404" i="7"/>
  <c r="J404" i="7"/>
  <c r="H404" i="7"/>
  <c r="I404" i="7" s="1"/>
  <c r="G404" i="7"/>
  <c r="F404" i="7"/>
  <c r="E404" i="7"/>
  <c r="D404" i="7"/>
  <c r="C404" i="7"/>
  <c r="B404" i="7"/>
  <c r="A404" i="7"/>
  <c r="K403" i="7"/>
  <c r="J403" i="7"/>
  <c r="H403" i="7"/>
  <c r="I403" i="7" s="1"/>
  <c r="G403" i="7"/>
  <c r="F403" i="7"/>
  <c r="E403" i="7"/>
  <c r="D403" i="7"/>
  <c r="C403" i="7"/>
  <c r="B403" i="7"/>
  <c r="A403" i="7"/>
  <c r="K402" i="7"/>
  <c r="J402" i="7"/>
  <c r="I402" i="7"/>
  <c r="H402" i="7"/>
  <c r="G402" i="7"/>
  <c r="F402" i="7"/>
  <c r="E402" i="7"/>
  <c r="D402" i="7"/>
  <c r="C402" i="7"/>
  <c r="B402" i="7"/>
  <c r="A402" i="7"/>
  <c r="K401" i="7"/>
  <c r="J401" i="7"/>
  <c r="H401" i="7"/>
  <c r="I401" i="7" s="1"/>
  <c r="G401" i="7"/>
  <c r="F401" i="7"/>
  <c r="E401" i="7"/>
  <c r="D401" i="7"/>
  <c r="C401" i="7"/>
  <c r="B401" i="7"/>
  <c r="A401" i="7"/>
  <c r="K400" i="7"/>
  <c r="H400" i="7"/>
  <c r="I400" i="7" s="1"/>
  <c r="G400" i="7"/>
  <c r="F400" i="7"/>
  <c r="E400" i="7"/>
  <c r="D400" i="7"/>
  <c r="C400" i="7"/>
  <c r="B400" i="7"/>
  <c r="A400" i="7"/>
  <c r="J400" i="7" s="1"/>
  <c r="K399" i="7"/>
  <c r="H399" i="7"/>
  <c r="I399" i="7" s="1"/>
  <c r="G399" i="7"/>
  <c r="F399" i="7"/>
  <c r="E399" i="7"/>
  <c r="D399" i="7"/>
  <c r="C399" i="7"/>
  <c r="B399" i="7"/>
  <c r="A399" i="7"/>
  <c r="J399" i="7" s="1"/>
  <c r="K398" i="7"/>
  <c r="H398" i="7"/>
  <c r="I398" i="7" s="1"/>
  <c r="G398" i="7"/>
  <c r="F398" i="7"/>
  <c r="E398" i="7"/>
  <c r="D398" i="7"/>
  <c r="C398" i="7"/>
  <c r="B398" i="7"/>
  <c r="A398" i="7"/>
  <c r="J398" i="7" s="1"/>
  <c r="K397" i="7"/>
  <c r="J397" i="7"/>
  <c r="H397" i="7"/>
  <c r="I397" i="7" s="1"/>
  <c r="G397" i="7"/>
  <c r="F397" i="7"/>
  <c r="E397" i="7"/>
  <c r="D397" i="7"/>
  <c r="C397" i="7"/>
  <c r="B397" i="7"/>
  <c r="A397" i="7"/>
  <c r="K396" i="7"/>
  <c r="J396" i="7"/>
  <c r="H396" i="7"/>
  <c r="I396" i="7" s="1"/>
  <c r="G396" i="7"/>
  <c r="F396" i="7"/>
  <c r="E396" i="7"/>
  <c r="D396" i="7"/>
  <c r="C396" i="7"/>
  <c r="B396" i="7"/>
  <c r="A396" i="7"/>
  <c r="K395" i="7"/>
  <c r="J395" i="7"/>
  <c r="H395" i="7"/>
  <c r="I395" i="7" s="1"/>
  <c r="G395" i="7"/>
  <c r="F395" i="7"/>
  <c r="E395" i="7"/>
  <c r="D395" i="7"/>
  <c r="C395" i="7"/>
  <c r="B395" i="7"/>
  <c r="A395" i="7"/>
  <c r="K394" i="7"/>
  <c r="I394" i="7"/>
  <c r="H394" i="7"/>
  <c r="G394" i="7"/>
  <c r="F394" i="7"/>
  <c r="E394" i="7"/>
  <c r="D394" i="7"/>
  <c r="C394" i="7"/>
  <c r="B394" i="7"/>
  <c r="A394" i="7"/>
  <c r="J394" i="7" s="1"/>
  <c r="K393" i="7"/>
  <c r="H393" i="7"/>
  <c r="I393" i="7" s="1"/>
  <c r="G393" i="7"/>
  <c r="F393" i="7"/>
  <c r="E393" i="7"/>
  <c r="D393" i="7"/>
  <c r="C393" i="7"/>
  <c r="B393" i="7"/>
  <c r="A393" i="7"/>
  <c r="J393" i="7" s="1"/>
  <c r="K392" i="7"/>
  <c r="H392" i="7"/>
  <c r="I392" i="7" s="1"/>
  <c r="G392" i="7"/>
  <c r="F392" i="7"/>
  <c r="E392" i="7"/>
  <c r="D392" i="7"/>
  <c r="C392" i="7"/>
  <c r="B392" i="7"/>
  <c r="A392" i="7"/>
  <c r="J392" i="7" s="1"/>
  <c r="K391" i="7"/>
  <c r="H391" i="7"/>
  <c r="I391" i="7" s="1"/>
  <c r="G391" i="7"/>
  <c r="F391" i="7"/>
  <c r="E391" i="7"/>
  <c r="D391" i="7"/>
  <c r="C391" i="7"/>
  <c r="B391" i="7"/>
  <c r="A391" i="7"/>
  <c r="J391" i="7" s="1"/>
  <c r="K390" i="7"/>
  <c r="J390" i="7"/>
  <c r="H390" i="7"/>
  <c r="I390" i="7" s="1"/>
  <c r="G390" i="7"/>
  <c r="F390" i="7"/>
  <c r="E390" i="7"/>
  <c r="D390" i="7"/>
  <c r="C390" i="7"/>
  <c r="B390" i="7"/>
  <c r="A390" i="7"/>
  <c r="K389" i="7"/>
  <c r="J389" i="7"/>
  <c r="H389" i="7"/>
  <c r="I389" i="7" s="1"/>
  <c r="G389" i="7"/>
  <c r="F389" i="7"/>
  <c r="E389" i="7"/>
  <c r="D389" i="7"/>
  <c r="C389" i="7"/>
  <c r="B389" i="7"/>
  <c r="A389" i="7"/>
  <c r="K388" i="7"/>
  <c r="H388" i="7"/>
  <c r="I388" i="7" s="1"/>
  <c r="G388" i="7"/>
  <c r="F388" i="7"/>
  <c r="E388" i="7"/>
  <c r="D388" i="7"/>
  <c r="C388" i="7"/>
  <c r="B388" i="7"/>
  <c r="A388" i="7"/>
  <c r="J388" i="7" s="1"/>
  <c r="K387" i="7"/>
  <c r="H387" i="7"/>
  <c r="I387" i="7" s="1"/>
  <c r="G387" i="7"/>
  <c r="F387" i="7"/>
  <c r="E387" i="7"/>
  <c r="D387" i="7"/>
  <c r="C387" i="7"/>
  <c r="B387" i="7"/>
  <c r="A387" i="7"/>
  <c r="J387" i="7" s="1"/>
  <c r="K386" i="7"/>
  <c r="H386" i="7"/>
  <c r="I386" i="7" s="1"/>
  <c r="G386" i="7"/>
  <c r="F386" i="7"/>
  <c r="E386" i="7"/>
  <c r="D386" i="7"/>
  <c r="C386" i="7"/>
  <c r="B386" i="7"/>
  <c r="A386" i="7"/>
  <c r="J386" i="7" s="1"/>
  <c r="K385" i="7"/>
  <c r="H385" i="7"/>
  <c r="I385" i="7" s="1"/>
  <c r="G385" i="7"/>
  <c r="F385" i="7"/>
  <c r="E385" i="7"/>
  <c r="D385" i="7"/>
  <c r="C385" i="7"/>
  <c r="B385" i="7"/>
  <c r="A385" i="7"/>
  <c r="J385" i="7" s="1"/>
  <c r="K384" i="7"/>
  <c r="J384" i="7"/>
  <c r="H384" i="7"/>
  <c r="I384" i="7" s="1"/>
  <c r="G384" i="7"/>
  <c r="F384" i="7"/>
  <c r="E384" i="7"/>
  <c r="D384" i="7"/>
  <c r="C384" i="7"/>
  <c r="B384" i="7"/>
  <c r="A384" i="7"/>
  <c r="K383" i="7"/>
  <c r="J383" i="7"/>
  <c r="H383" i="7"/>
  <c r="I383" i="7" s="1"/>
  <c r="G383" i="7"/>
  <c r="F383" i="7"/>
  <c r="E383" i="7"/>
  <c r="D383" i="7"/>
  <c r="C383" i="7"/>
  <c r="B383" i="7"/>
  <c r="A383" i="7"/>
  <c r="K382" i="7"/>
  <c r="H382" i="7"/>
  <c r="I382" i="7" s="1"/>
  <c r="G382" i="7"/>
  <c r="F382" i="7"/>
  <c r="E382" i="7"/>
  <c r="D382" i="7"/>
  <c r="C382" i="7"/>
  <c r="B382" i="7"/>
  <c r="A382" i="7"/>
  <c r="J382" i="7" s="1"/>
  <c r="K381" i="7"/>
  <c r="H381" i="7"/>
  <c r="I381" i="7" s="1"/>
  <c r="G381" i="7"/>
  <c r="F381" i="7"/>
  <c r="E381" i="7"/>
  <c r="D381" i="7"/>
  <c r="C381" i="7"/>
  <c r="B381" i="7"/>
  <c r="A381" i="7"/>
  <c r="J381" i="7" s="1"/>
  <c r="K380" i="7"/>
  <c r="H380" i="7"/>
  <c r="I380" i="7" s="1"/>
  <c r="G380" i="7"/>
  <c r="F380" i="7"/>
  <c r="E380" i="7"/>
  <c r="D380" i="7"/>
  <c r="C380" i="7"/>
  <c r="B380" i="7"/>
  <c r="A380" i="7"/>
  <c r="J380" i="7" s="1"/>
  <c r="K379" i="7"/>
  <c r="H379" i="7"/>
  <c r="I379" i="7" s="1"/>
  <c r="G379" i="7"/>
  <c r="F379" i="7"/>
  <c r="E379" i="7"/>
  <c r="D379" i="7"/>
  <c r="C379" i="7"/>
  <c r="B379" i="7"/>
  <c r="A379" i="7"/>
  <c r="J379" i="7" s="1"/>
  <c r="K378" i="7"/>
  <c r="H378" i="7"/>
  <c r="I378" i="7" s="1"/>
  <c r="G378" i="7"/>
  <c r="F378" i="7"/>
  <c r="E378" i="7"/>
  <c r="D378" i="7"/>
  <c r="C378" i="7"/>
  <c r="B378" i="7"/>
  <c r="A378" i="7"/>
  <c r="J378" i="7" s="1"/>
  <c r="K377" i="7"/>
  <c r="H377" i="7"/>
  <c r="I377" i="7" s="1"/>
  <c r="G377" i="7"/>
  <c r="F377" i="7"/>
  <c r="E377" i="7"/>
  <c r="D377" i="7"/>
  <c r="C377" i="7"/>
  <c r="B377" i="7"/>
  <c r="A377" i="7"/>
  <c r="J377" i="7" s="1"/>
  <c r="K376" i="7"/>
  <c r="H376" i="7"/>
  <c r="I376" i="7" s="1"/>
  <c r="G376" i="7"/>
  <c r="F376" i="7"/>
  <c r="E376" i="7"/>
  <c r="D376" i="7"/>
  <c r="C376" i="7"/>
  <c r="B376" i="7"/>
  <c r="A376" i="7"/>
  <c r="J376" i="7" s="1"/>
  <c r="K375" i="7"/>
  <c r="H375" i="7"/>
  <c r="I375" i="7" s="1"/>
  <c r="G375" i="7"/>
  <c r="F375" i="7"/>
  <c r="E375" i="7"/>
  <c r="D375" i="7"/>
  <c r="C375" i="7"/>
  <c r="B375" i="7"/>
  <c r="A375" i="7"/>
  <c r="J375" i="7" s="1"/>
  <c r="K374" i="7"/>
  <c r="H374" i="7"/>
  <c r="I374" i="7" s="1"/>
  <c r="G374" i="7"/>
  <c r="F374" i="7"/>
  <c r="E374" i="7"/>
  <c r="D374" i="7"/>
  <c r="C374" i="7"/>
  <c r="B374" i="7"/>
  <c r="A374" i="7"/>
  <c r="J374" i="7" s="1"/>
  <c r="K373" i="7"/>
  <c r="J373" i="7"/>
  <c r="H373" i="7"/>
  <c r="I373" i="7" s="1"/>
  <c r="G373" i="7"/>
  <c r="F373" i="7"/>
  <c r="E373" i="7"/>
  <c r="D373" i="7"/>
  <c r="C373" i="7"/>
  <c r="B373" i="7"/>
  <c r="A373" i="7"/>
  <c r="K372" i="7"/>
  <c r="J372" i="7"/>
  <c r="I372" i="7"/>
  <c r="H372" i="7"/>
  <c r="G372" i="7"/>
  <c r="F372" i="7"/>
  <c r="E372" i="7"/>
  <c r="D372" i="7"/>
  <c r="C372" i="7"/>
  <c r="B372" i="7"/>
  <c r="A372" i="7"/>
  <c r="K371" i="7"/>
  <c r="J371" i="7"/>
  <c r="H371" i="7"/>
  <c r="I371" i="7" s="1"/>
  <c r="G371" i="7"/>
  <c r="F371" i="7"/>
  <c r="E371" i="7"/>
  <c r="D371" i="7"/>
  <c r="C371" i="7"/>
  <c r="B371" i="7"/>
  <c r="A371" i="7"/>
  <c r="K370" i="7"/>
  <c r="I370" i="7"/>
  <c r="H370" i="7"/>
  <c r="G370" i="7"/>
  <c r="F370" i="7"/>
  <c r="E370" i="7"/>
  <c r="D370" i="7"/>
  <c r="C370" i="7"/>
  <c r="B370" i="7"/>
  <c r="A370" i="7"/>
  <c r="J370" i="7" s="1"/>
  <c r="K369" i="7"/>
  <c r="H369" i="7"/>
  <c r="I369" i="7" s="1"/>
  <c r="G369" i="7"/>
  <c r="F369" i="7"/>
  <c r="E369" i="7"/>
  <c r="D369" i="7"/>
  <c r="C369" i="7"/>
  <c r="B369" i="7"/>
  <c r="A369" i="7"/>
  <c r="J369" i="7" s="1"/>
  <c r="K368" i="7"/>
  <c r="J368" i="7"/>
  <c r="H368" i="7"/>
  <c r="I368" i="7" s="1"/>
  <c r="G368" i="7"/>
  <c r="F368" i="7"/>
  <c r="E368" i="7"/>
  <c r="D368" i="7"/>
  <c r="C368" i="7"/>
  <c r="B368" i="7"/>
  <c r="A368" i="7"/>
  <c r="K367" i="7"/>
  <c r="H367" i="7"/>
  <c r="I367" i="7" s="1"/>
  <c r="G367" i="7"/>
  <c r="F367" i="7"/>
  <c r="E367" i="7"/>
  <c r="D367" i="7"/>
  <c r="C367" i="7"/>
  <c r="B367" i="7"/>
  <c r="A367" i="7"/>
  <c r="J367" i="7" s="1"/>
  <c r="K366" i="7"/>
  <c r="J366" i="7"/>
  <c r="H366" i="7"/>
  <c r="I366" i="7" s="1"/>
  <c r="G366" i="7"/>
  <c r="F366" i="7"/>
  <c r="E366" i="7"/>
  <c r="D366" i="7"/>
  <c r="C366" i="7"/>
  <c r="B366" i="7"/>
  <c r="A366" i="7"/>
  <c r="K365" i="7"/>
  <c r="J365" i="7"/>
  <c r="H365" i="7"/>
  <c r="I365" i="7" s="1"/>
  <c r="G365" i="7"/>
  <c r="F365" i="7"/>
  <c r="E365" i="7"/>
  <c r="D365" i="7"/>
  <c r="C365" i="7"/>
  <c r="B365" i="7"/>
  <c r="A365" i="7"/>
  <c r="K364" i="7"/>
  <c r="H364" i="7"/>
  <c r="I364" i="7" s="1"/>
  <c r="G364" i="7"/>
  <c r="F364" i="7"/>
  <c r="E364" i="7"/>
  <c r="D364" i="7"/>
  <c r="C364" i="7"/>
  <c r="B364" i="7"/>
  <c r="A364" i="7"/>
  <c r="J364" i="7" s="1"/>
  <c r="K363" i="7"/>
  <c r="H363" i="7"/>
  <c r="I363" i="7" s="1"/>
  <c r="G363" i="7"/>
  <c r="F363" i="7"/>
  <c r="E363" i="7"/>
  <c r="D363" i="7"/>
  <c r="C363" i="7"/>
  <c r="B363" i="7"/>
  <c r="A363" i="7"/>
  <c r="J363" i="7" s="1"/>
  <c r="K362" i="7"/>
  <c r="H362" i="7"/>
  <c r="I362" i="7" s="1"/>
  <c r="G362" i="7"/>
  <c r="F362" i="7"/>
  <c r="E362" i="7"/>
  <c r="D362" i="7"/>
  <c r="C362" i="7"/>
  <c r="B362" i="7"/>
  <c r="A362" i="7"/>
  <c r="J362" i="7" s="1"/>
  <c r="K361" i="7"/>
  <c r="J361" i="7"/>
  <c r="H361" i="7"/>
  <c r="I361" i="7" s="1"/>
  <c r="G361" i="7"/>
  <c r="F361" i="7"/>
  <c r="E361" i="7"/>
  <c r="D361" i="7"/>
  <c r="C361" i="7"/>
  <c r="B361" i="7"/>
  <c r="A361" i="7"/>
  <c r="K360" i="7"/>
  <c r="J360" i="7"/>
  <c r="H360" i="7"/>
  <c r="I360" i="7" s="1"/>
  <c r="G360" i="7"/>
  <c r="F360" i="7"/>
  <c r="E360" i="7"/>
  <c r="D360" i="7"/>
  <c r="C360" i="7"/>
  <c r="B360" i="7"/>
  <c r="A360" i="7"/>
  <c r="K359" i="7"/>
  <c r="J359" i="7"/>
  <c r="I359" i="7"/>
  <c r="H359" i="7"/>
  <c r="G359" i="7"/>
  <c r="F359" i="7"/>
  <c r="E359" i="7"/>
  <c r="D359" i="7"/>
  <c r="C359" i="7"/>
  <c r="B359" i="7"/>
  <c r="A359" i="7"/>
  <c r="K358" i="7"/>
  <c r="J358" i="7"/>
  <c r="H358" i="7"/>
  <c r="I358" i="7" s="1"/>
  <c r="G358" i="7"/>
  <c r="F358" i="7"/>
  <c r="E358" i="7"/>
  <c r="D358" i="7"/>
  <c r="C358" i="7"/>
  <c r="B358" i="7"/>
  <c r="A358" i="7"/>
  <c r="K357" i="7"/>
  <c r="H357" i="7"/>
  <c r="I357" i="7" s="1"/>
  <c r="G357" i="7"/>
  <c r="F357" i="7"/>
  <c r="E357" i="7"/>
  <c r="D357" i="7"/>
  <c r="C357" i="7"/>
  <c r="B357" i="7"/>
  <c r="A357" i="7"/>
  <c r="J357" i="7" s="1"/>
  <c r="K356" i="7"/>
  <c r="J356" i="7"/>
  <c r="H356" i="7"/>
  <c r="I356" i="7" s="1"/>
  <c r="G356" i="7"/>
  <c r="F356" i="7"/>
  <c r="E356" i="7"/>
  <c r="D356" i="7"/>
  <c r="C356" i="7"/>
  <c r="B356" i="7"/>
  <c r="A356" i="7"/>
  <c r="K355" i="7"/>
  <c r="I355" i="7"/>
  <c r="H355" i="7"/>
  <c r="G355" i="7"/>
  <c r="F355" i="7"/>
  <c r="E355" i="7"/>
  <c r="D355" i="7"/>
  <c r="C355" i="7"/>
  <c r="B355" i="7"/>
  <c r="A355" i="7"/>
  <c r="J355" i="7" s="1"/>
  <c r="K354" i="7"/>
  <c r="J354" i="7"/>
  <c r="H354" i="7"/>
  <c r="I354" i="7" s="1"/>
  <c r="G354" i="7"/>
  <c r="F354" i="7"/>
  <c r="E354" i="7"/>
  <c r="D354" i="7"/>
  <c r="C354" i="7"/>
  <c r="B354" i="7"/>
  <c r="A354" i="7"/>
  <c r="K353" i="7"/>
  <c r="J353" i="7"/>
  <c r="H353" i="7"/>
  <c r="I353" i="7" s="1"/>
  <c r="G353" i="7"/>
  <c r="F353" i="7"/>
  <c r="E353" i="7"/>
  <c r="D353" i="7"/>
  <c r="C353" i="7"/>
  <c r="B353" i="7"/>
  <c r="A353" i="7"/>
  <c r="K352" i="7"/>
  <c r="H352" i="7"/>
  <c r="I352" i="7" s="1"/>
  <c r="G352" i="7"/>
  <c r="F352" i="7"/>
  <c r="E352" i="7"/>
  <c r="D352" i="7"/>
  <c r="C352" i="7"/>
  <c r="B352" i="7"/>
  <c r="A352" i="7"/>
  <c r="J352" i="7" s="1"/>
  <c r="K351" i="7"/>
  <c r="H351" i="7"/>
  <c r="I351" i="7" s="1"/>
  <c r="G351" i="7"/>
  <c r="F351" i="7"/>
  <c r="E351" i="7"/>
  <c r="D351" i="7"/>
  <c r="C351" i="7"/>
  <c r="B351" i="7"/>
  <c r="A351" i="7"/>
  <c r="J351" i="7" s="1"/>
  <c r="K350" i="7"/>
  <c r="H350" i="7"/>
  <c r="I350" i="7" s="1"/>
  <c r="G350" i="7"/>
  <c r="F350" i="7"/>
  <c r="E350" i="7"/>
  <c r="D350" i="7"/>
  <c r="C350" i="7"/>
  <c r="B350" i="7"/>
  <c r="A350" i="7"/>
  <c r="J350" i="7" s="1"/>
  <c r="K349" i="7"/>
  <c r="J349" i="7"/>
  <c r="I349" i="7"/>
  <c r="H349" i="7"/>
  <c r="G349" i="7"/>
  <c r="F349" i="7"/>
  <c r="E349" i="7"/>
  <c r="D349" i="7"/>
  <c r="C349" i="7"/>
  <c r="B349" i="7"/>
  <c r="A349" i="7"/>
  <c r="K348" i="7"/>
  <c r="J348" i="7"/>
  <c r="I348" i="7"/>
  <c r="H348" i="7"/>
  <c r="G348" i="7"/>
  <c r="F348" i="7"/>
  <c r="E348" i="7"/>
  <c r="D348" i="7"/>
  <c r="C348" i="7"/>
  <c r="B348" i="7"/>
  <c r="A348" i="7"/>
  <c r="K347" i="7"/>
  <c r="J347" i="7"/>
  <c r="H347" i="7"/>
  <c r="I347" i="7" s="1"/>
  <c r="G347" i="7"/>
  <c r="F347" i="7"/>
  <c r="E347" i="7"/>
  <c r="D347" i="7"/>
  <c r="C347" i="7"/>
  <c r="B347" i="7"/>
  <c r="A347" i="7"/>
  <c r="K346" i="7"/>
  <c r="H346" i="7"/>
  <c r="I346" i="7" s="1"/>
  <c r="G346" i="7"/>
  <c r="F346" i="7"/>
  <c r="E346" i="7"/>
  <c r="D346" i="7"/>
  <c r="C346" i="7"/>
  <c r="B346" i="7"/>
  <c r="A346" i="7"/>
  <c r="J346" i="7" s="1"/>
  <c r="K345" i="7"/>
  <c r="H345" i="7"/>
  <c r="I345" i="7" s="1"/>
  <c r="G345" i="7"/>
  <c r="F345" i="7"/>
  <c r="E345" i="7"/>
  <c r="D345" i="7"/>
  <c r="C345" i="7"/>
  <c r="B345" i="7"/>
  <c r="A345" i="7"/>
  <c r="J345" i="7" s="1"/>
  <c r="K344" i="7"/>
  <c r="H344" i="7"/>
  <c r="I344" i="7" s="1"/>
  <c r="G344" i="7"/>
  <c r="F344" i="7"/>
  <c r="E344" i="7"/>
  <c r="D344" i="7"/>
  <c r="C344" i="7"/>
  <c r="B344" i="7"/>
  <c r="A344" i="7"/>
  <c r="J344" i="7" s="1"/>
  <c r="K343" i="7"/>
  <c r="H343" i="7"/>
  <c r="I343" i="7" s="1"/>
  <c r="G343" i="7"/>
  <c r="F343" i="7"/>
  <c r="E343" i="7"/>
  <c r="D343" i="7"/>
  <c r="C343" i="7"/>
  <c r="B343" i="7"/>
  <c r="A343" i="7"/>
  <c r="J343" i="7" s="1"/>
  <c r="K342" i="7"/>
  <c r="J342" i="7"/>
  <c r="I342" i="7"/>
  <c r="H342" i="7"/>
  <c r="G342" i="7"/>
  <c r="F342" i="7"/>
  <c r="E342" i="7"/>
  <c r="D342" i="7"/>
  <c r="C342" i="7"/>
  <c r="B342" i="7"/>
  <c r="A342" i="7"/>
  <c r="K341" i="7"/>
  <c r="H341" i="7"/>
  <c r="I341" i="7" s="1"/>
  <c r="G341" i="7"/>
  <c r="F341" i="7"/>
  <c r="E341" i="7"/>
  <c r="D341" i="7"/>
  <c r="C341" i="7"/>
  <c r="B341" i="7"/>
  <c r="A341" i="7"/>
  <c r="J341" i="7" s="1"/>
  <c r="K340" i="7"/>
  <c r="H340" i="7"/>
  <c r="I340" i="7" s="1"/>
  <c r="G340" i="7"/>
  <c r="F340" i="7"/>
  <c r="E340" i="7"/>
  <c r="D340" i="7"/>
  <c r="C340" i="7"/>
  <c r="B340" i="7"/>
  <c r="A340" i="7"/>
  <c r="J340" i="7" s="1"/>
  <c r="K339" i="7"/>
  <c r="H339" i="7"/>
  <c r="I339" i="7" s="1"/>
  <c r="G339" i="7"/>
  <c r="F339" i="7"/>
  <c r="E339" i="7"/>
  <c r="D339" i="7"/>
  <c r="C339" i="7"/>
  <c r="B339" i="7"/>
  <c r="A339" i="7"/>
  <c r="J339" i="7" s="1"/>
  <c r="K338" i="7"/>
  <c r="H338" i="7"/>
  <c r="I338" i="7" s="1"/>
  <c r="G338" i="7"/>
  <c r="F338" i="7"/>
  <c r="E338" i="7"/>
  <c r="D338" i="7"/>
  <c r="C338" i="7"/>
  <c r="B338" i="7"/>
  <c r="A338" i="7"/>
  <c r="J338" i="7" s="1"/>
  <c r="K337" i="7"/>
  <c r="H337" i="7"/>
  <c r="I337" i="7" s="1"/>
  <c r="G337" i="7"/>
  <c r="F337" i="7"/>
  <c r="E337" i="7"/>
  <c r="D337" i="7"/>
  <c r="C337" i="7"/>
  <c r="B337" i="7"/>
  <c r="A337" i="7"/>
  <c r="J337" i="7" s="1"/>
  <c r="K336" i="7"/>
  <c r="H336" i="7"/>
  <c r="I336" i="7" s="1"/>
  <c r="G336" i="7"/>
  <c r="F336" i="7"/>
  <c r="E336" i="7"/>
  <c r="D336" i="7"/>
  <c r="C336" i="7"/>
  <c r="B336" i="7"/>
  <c r="A336" i="7"/>
  <c r="J336" i="7" s="1"/>
  <c r="K335" i="7"/>
  <c r="J335" i="7"/>
  <c r="H335" i="7"/>
  <c r="I335" i="7" s="1"/>
  <c r="G335" i="7"/>
  <c r="F335" i="7"/>
  <c r="E335" i="7"/>
  <c r="D335" i="7"/>
  <c r="C335" i="7"/>
  <c r="B335" i="7"/>
  <c r="A335" i="7"/>
  <c r="K334" i="7"/>
  <c r="J334" i="7"/>
  <c r="H334" i="7"/>
  <c r="I334" i="7" s="1"/>
  <c r="G334" i="7"/>
  <c r="F334" i="7"/>
  <c r="E334" i="7"/>
  <c r="D334" i="7"/>
  <c r="C334" i="7"/>
  <c r="B334" i="7"/>
  <c r="A334" i="7"/>
  <c r="K333" i="7"/>
  <c r="H333" i="7"/>
  <c r="I333" i="7" s="1"/>
  <c r="G333" i="7"/>
  <c r="F333" i="7"/>
  <c r="E333" i="7"/>
  <c r="D333" i="7"/>
  <c r="C333" i="7"/>
  <c r="B333" i="7"/>
  <c r="A333" i="7"/>
  <c r="J333" i="7" s="1"/>
  <c r="K332" i="7"/>
  <c r="H332" i="7"/>
  <c r="I332" i="7" s="1"/>
  <c r="G332" i="7"/>
  <c r="F332" i="7"/>
  <c r="E332" i="7"/>
  <c r="D332" i="7"/>
  <c r="C332" i="7"/>
  <c r="B332" i="7"/>
  <c r="A332" i="7"/>
  <c r="J332" i="7" s="1"/>
  <c r="K331" i="7"/>
  <c r="H331" i="7"/>
  <c r="I331" i="7" s="1"/>
  <c r="G331" i="7"/>
  <c r="F331" i="7"/>
  <c r="E331" i="7"/>
  <c r="D331" i="7"/>
  <c r="C331" i="7"/>
  <c r="B331" i="7"/>
  <c r="A331" i="7"/>
  <c r="J331" i="7" s="1"/>
  <c r="K330" i="7"/>
  <c r="H330" i="7"/>
  <c r="I330" i="7" s="1"/>
  <c r="G330" i="7"/>
  <c r="F330" i="7"/>
  <c r="E330" i="7"/>
  <c r="D330" i="7"/>
  <c r="C330" i="7"/>
  <c r="B330" i="7"/>
  <c r="A330" i="7"/>
  <c r="J330" i="7" s="1"/>
  <c r="K329" i="7"/>
  <c r="J329" i="7"/>
  <c r="H329" i="7"/>
  <c r="I329" i="7" s="1"/>
  <c r="G329" i="7"/>
  <c r="F329" i="7"/>
  <c r="E329" i="7"/>
  <c r="D329" i="7"/>
  <c r="C329" i="7"/>
  <c r="B329" i="7"/>
  <c r="A329" i="7"/>
  <c r="K328" i="7"/>
  <c r="H328" i="7"/>
  <c r="I328" i="7" s="1"/>
  <c r="G328" i="7"/>
  <c r="F328" i="7"/>
  <c r="E328" i="7"/>
  <c r="D328" i="7"/>
  <c r="C328" i="7"/>
  <c r="B328" i="7"/>
  <c r="A328" i="7"/>
  <c r="J328" i="7" s="1"/>
  <c r="K327" i="7"/>
  <c r="H327" i="7"/>
  <c r="I327" i="7" s="1"/>
  <c r="G327" i="7"/>
  <c r="F327" i="7"/>
  <c r="E327" i="7"/>
  <c r="D327" i="7"/>
  <c r="C327" i="7"/>
  <c r="B327" i="7"/>
  <c r="A327" i="7"/>
  <c r="J327" i="7" s="1"/>
  <c r="K326" i="7"/>
  <c r="H326" i="7"/>
  <c r="I326" i="7" s="1"/>
  <c r="G326" i="7"/>
  <c r="F326" i="7"/>
  <c r="E326" i="7"/>
  <c r="D326" i="7"/>
  <c r="C326" i="7"/>
  <c r="B326" i="7"/>
  <c r="A326" i="7"/>
  <c r="J326" i="7" s="1"/>
  <c r="K325" i="7"/>
  <c r="H325" i="7"/>
  <c r="I325" i="7" s="1"/>
  <c r="G325" i="7"/>
  <c r="F325" i="7"/>
  <c r="E325" i="7"/>
  <c r="D325" i="7"/>
  <c r="C325" i="7"/>
  <c r="B325" i="7"/>
  <c r="A325" i="7"/>
  <c r="J325" i="7" s="1"/>
  <c r="K324" i="7"/>
  <c r="J324" i="7"/>
  <c r="H324" i="7"/>
  <c r="I324" i="7" s="1"/>
  <c r="G324" i="7"/>
  <c r="F324" i="7"/>
  <c r="E324" i="7"/>
  <c r="D324" i="7"/>
  <c r="C324" i="7"/>
  <c r="B324" i="7"/>
  <c r="A324" i="7"/>
  <c r="K323" i="7"/>
  <c r="J323" i="7"/>
  <c r="I323" i="7"/>
  <c r="H323" i="7"/>
  <c r="G323" i="7"/>
  <c r="F323" i="7"/>
  <c r="E323" i="7"/>
  <c r="D323" i="7"/>
  <c r="C323" i="7"/>
  <c r="B323" i="7"/>
  <c r="A323" i="7"/>
  <c r="K322" i="7"/>
  <c r="H322" i="7"/>
  <c r="I322" i="7" s="1"/>
  <c r="G322" i="7"/>
  <c r="F322" i="7"/>
  <c r="E322" i="7"/>
  <c r="D322" i="7"/>
  <c r="C322" i="7"/>
  <c r="B322" i="7"/>
  <c r="A322" i="7"/>
  <c r="J322" i="7" s="1"/>
  <c r="K321" i="7"/>
  <c r="H321" i="7"/>
  <c r="I321" i="7" s="1"/>
  <c r="G321" i="7"/>
  <c r="F321" i="7"/>
  <c r="E321" i="7"/>
  <c r="D321" i="7"/>
  <c r="C321" i="7"/>
  <c r="B321" i="7"/>
  <c r="A321" i="7"/>
  <c r="J321" i="7" s="1"/>
  <c r="K320" i="7"/>
  <c r="J320" i="7"/>
  <c r="H320" i="7"/>
  <c r="I320" i="7" s="1"/>
  <c r="G320" i="7"/>
  <c r="F320" i="7"/>
  <c r="E320" i="7"/>
  <c r="D320" i="7"/>
  <c r="C320" i="7"/>
  <c r="B320" i="7"/>
  <c r="A320" i="7"/>
  <c r="K319" i="7"/>
  <c r="H319" i="7"/>
  <c r="I319" i="7" s="1"/>
  <c r="G319" i="7"/>
  <c r="F319" i="7"/>
  <c r="E319" i="7"/>
  <c r="D319" i="7"/>
  <c r="C319" i="7"/>
  <c r="B319" i="7"/>
  <c r="A319" i="7"/>
  <c r="J319" i="7" s="1"/>
  <c r="K318" i="7"/>
  <c r="J318" i="7"/>
  <c r="H318" i="7"/>
  <c r="I318" i="7" s="1"/>
  <c r="G318" i="7"/>
  <c r="F318" i="7"/>
  <c r="E318" i="7"/>
  <c r="D318" i="7"/>
  <c r="C318" i="7"/>
  <c r="B318" i="7"/>
  <c r="A318" i="7"/>
  <c r="K317" i="7"/>
  <c r="J317" i="7"/>
  <c r="H317" i="7"/>
  <c r="I317" i="7" s="1"/>
  <c r="G317" i="7"/>
  <c r="F317" i="7"/>
  <c r="E317" i="7"/>
  <c r="D317" i="7"/>
  <c r="C317" i="7"/>
  <c r="B317" i="7"/>
  <c r="A317" i="7"/>
  <c r="K316" i="7"/>
  <c r="H316" i="7"/>
  <c r="I316" i="7" s="1"/>
  <c r="G316" i="7"/>
  <c r="F316" i="7"/>
  <c r="E316" i="7"/>
  <c r="D316" i="7"/>
  <c r="C316" i="7"/>
  <c r="B316" i="7"/>
  <c r="A316" i="7"/>
  <c r="J316" i="7" s="1"/>
  <c r="K315" i="7"/>
  <c r="H315" i="7"/>
  <c r="I315" i="7" s="1"/>
  <c r="G315" i="7"/>
  <c r="F315" i="7"/>
  <c r="E315" i="7"/>
  <c r="D315" i="7"/>
  <c r="C315" i="7"/>
  <c r="B315" i="7"/>
  <c r="A315" i="7"/>
  <c r="J315" i="7" s="1"/>
  <c r="K314" i="7"/>
  <c r="H314" i="7"/>
  <c r="I314" i="7" s="1"/>
  <c r="G314" i="7"/>
  <c r="F314" i="7"/>
  <c r="E314" i="7"/>
  <c r="D314" i="7"/>
  <c r="C314" i="7"/>
  <c r="B314" i="7"/>
  <c r="A314" i="7"/>
  <c r="J314" i="7" s="1"/>
  <c r="K313" i="7"/>
  <c r="H313" i="7"/>
  <c r="I313" i="7" s="1"/>
  <c r="G313" i="7"/>
  <c r="F313" i="7"/>
  <c r="E313" i="7"/>
  <c r="D313" i="7"/>
  <c r="C313" i="7"/>
  <c r="B313" i="7"/>
  <c r="A313" i="7"/>
  <c r="J313" i="7" s="1"/>
  <c r="K312" i="7"/>
  <c r="H312" i="7"/>
  <c r="I312" i="7" s="1"/>
  <c r="G312" i="7"/>
  <c r="F312" i="7"/>
  <c r="E312" i="7"/>
  <c r="D312" i="7"/>
  <c r="C312" i="7"/>
  <c r="B312" i="7"/>
  <c r="A312" i="7"/>
  <c r="J312" i="7" s="1"/>
  <c r="K311" i="7"/>
  <c r="H311" i="7"/>
  <c r="I311" i="7" s="1"/>
  <c r="G311" i="7"/>
  <c r="F311" i="7"/>
  <c r="E311" i="7"/>
  <c r="D311" i="7"/>
  <c r="C311" i="7"/>
  <c r="B311" i="7"/>
  <c r="A311" i="7"/>
  <c r="J311" i="7" s="1"/>
  <c r="K310" i="7"/>
  <c r="H310" i="7"/>
  <c r="I310" i="7" s="1"/>
  <c r="G310" i="7"/>
  <c r="F310" i="7"/>
  <c r="E310" i="7"/>
  <c r="D310" i="7"/>
  <c r="C310" i="7"/>
  <c r="B310" i="7"/>
  <c r="A310" i="7"/>
  <c r="J310" i="7" s="1"/>
  <c r="K309" i="7"/>
  <c r="J309" i="7"/>
  <c r="H309" i="7"/>
  <c r="I309" i="7" s="1"/>
  <c r="G309" i="7"/>
  <c r="F309" i="7"/>
  <c r="E309" i="7"/>
  <c r="D309" i="7"/>
  <c r="C309" i="7"/>
  <c r="B309" i="7"/>
  <c r="A309" i="7"/>
  <c r="K308" i="7"/>
  <c r="J308" i="7"/>
  <c r="H308" i="7"/>
  <c r="I308" i="7" s="1"/>
  <c r="G308" i="7"/>
  <c r="F308" i="7"/>
  <c r="E308" i="7"/>
  <c r="D308" i="7"/>
  <c r="C308" i="7"/>
  <c r="B308" i="7"/>
  <c r="A308" i="7"/>
  <c r="K307" i="7"/>
  <c r="J307" i="7"/>
  <c r="H307" i="7"/>
  <c r="I307" i="7" s="1"/>
  <c r="G307" i="7"/>
  <c r="F307" i="7"/>
  <c r="E307" i="7"/>
  <c r="D307" i="7"/>
  <c r="C307" i="7"/>
  <c r="B307" i="7"/>
  <c r="A307" i="7"/>
  <c r="K306" i="7"/>
  <c r="H306" i="7"/>
  <c r="I306" i="7" s="1"/>
  <c r="G306" i="7"/>
  <c r="F306" i="7"/>
  <c r="E306" i="7"/>
  <c r="D306" i="7"/>
  <c r="C306" i="7"/>
  <c r="B306" i="7"/>
  <c r="A306" i="7"/>
  <c r="J306" i="7" s="1"/>
  <c r="K305" i="7"/>
  <c r="H305" i="7"/>
  <c r="I305" i="7" s="1"/>
  <c r="G305" i="7"/>
  <c r="F305" i="7"/>
  <c r="E305" i="7"/>
  <c r="D305" i="7"/>
  <c r="C305" i="7"/>
  <c r="B305" i="7"/>
  <c r="A305" i="7"/>
  <c r="J305" i="7" s="1"/>
  <c r="K304" i="7"/>
  <c r="H304" i="7"/>
  <c r="I304" i="7" s="1"/>
  <c r="G304" i="7"/>
  <c r="F304" i="7"/>
  <c r="E304" i="7"/>
  <c r="D304" i="7"/>
  <c r="C304" i="7"/>
  <c r="B304" i="7"/>
  <c r="A304" i="7"/>
  <c r="J304" i="7" s="1"/>
  <c r="K303" i="7"/>
  <c r="I303" i="7"/>
  <c r="H303" i="7"/>
  <c r="G303" i="7"/>
  <c r="F303" i="7"/>
  <c r="E303" i="7"/>
  <c r="D303" i="7"/>
  <c r="C303" i="7"/>
  <c r="B303" i="7"/>
  <c r="A303" i="7"/>
  <c r="J303" i="7" s="1"/>
  <c r="K302" i="7"/>
  <c r="H302" i="7"/>
  <c r="I302" i="7" s="1"/>
  <c r="G302" i="7"/>
  <c r="F302" i="7"/>
  <c r="E302" i="7"/>
  <c r="D302" i="7"/>
  <c r="C302" i="7"/>
  <c r="B302" i="7"/>
  <c r="A302" i="7"/>
  <c r="J302" i="7" s="1"/>
  <c r="K301" i="7"/>
  <c r="H301" i="7"/>
  <c r="I301" i="7" s="1"/>
  <c r="G301" i="7"/>
  <c r="F301" i="7"/>
  <c r="E301" i="7"/>
  <c r="D301" i="7"/>
  <c r="C301" i="7"/>
  <c r="B301" i="7"/>
  <c r="A301" i="7"/>
  <c r="J301" i="7" s="1"/>
  <c r="K300" i="7"/>
  <c r="H300" i="7"/>
  <c r="I300" i="7" s="1"/>
  <c r="G300" i="7"/>
  <c r="F300" i="7"/>
  <c r="E300" i="7"/>
  <c r="D300" i="7"/>
  <c r="C300" i="7"/>
  <c r="B300" i="7"/>
  <c r="A300" i="7"/>
  <c r="J300" i="7" s="1"/>
  <c r="K299" i="7"/>
  <c r="H299" i="7"/>
  <c r="I299" i="7" s="1"/>
  <c r="G299" i="7"/>
  <c r="F299" i="7"/>
  <c r="E299" i="7"/>
  <c r="D299" i="7"/>
  <c r="C299" i="7"/>
  <c r="B299" i="7"/>
  <c r="A299" i="7"/>
  <c r="J299" i="7" s="1"/>
  <c r="K298" i="7"/>
  <c r="J298" i="7"/>
  <c r="H298" i="7"/>
  <c r="I298" i="7" s="1"/>
  <c r="G298" i="7"/>
  <c r="F298" i="7"/>
  <c r="E298" i="7"/>
  <c r="D298" i="7"/>
  <c r="C298" i="7"/>
  <c r="B298" i="7"/>
  <c r="A298" i="7"/>
  <c r="K297" i="7"/>
  <c r="J297" i="7"/>
  <c r="I297" i="7"/>
  <c r="H297" i="7"/>
  <c r="G297" i="7"/>
  <c r="F297" i="7"/>
  <c r="E297" i="7"/>
  <c r="D297" i="7"/>
  <c r="C297" i="7"/>
  <c r="B297" i="7"/>
  <c r="A297" i="7"/>
  <c r="K296" i="7"/>
  <c r="J296" i="7"/>
  <c r="H296" i="7"/>
  <c r="I296" i="7" s="1"/>
  <c r="G296" i="7"/>
  <c r="F296" i="7"/>
  <c r="E296" i="7"/>
  <c r="D296" i="7"/>
  <c r="C296" i="7"/>
  <c r="B296" i="7"/>
  <c r="A296" i="7"/>
  <c r="K295" i="7"/>
  <c r="J295" i="7"/>
  <c r="H295" i="7"/>
  <c r="I295" i="7" s="1"/>
  <c r="G295" i="7"/>
  <c r="F295" i="7"/>
  <c r="E295" i="7"/>
  <c r="D295" i="7"/>
  <c r="C295" i="7"/>
  <c r="B295" i="7"/>
  <c r="A295" i="7"/>
  <c r="K294" i="7"/>
  <c r="H294" i="7"/>
  <c r="I294" i="7" s="1"/>
  <c r="G294" i="7"/>
  <c r="F294" i="7"/>
  <c r="E294" i="7"/>
  <c r="D294" i="7"/>
  <c r="C294" i="7"/>
  <c r="B294" i="7"/>
  <c r="A294" i="7"/>
  <c r="J294" i="7" s="1"/>
  <c r="K293" i="7"/>
  <c r="H293" i="7"/>
  <c r="I293" i="7" s="1"/>
  <c r="G293" i="7"/>
  <c r="F293" i="7"/>
  <c r="E293" i="7"/>
  <c r="D293" i="7"/>
  <c r="C293" i="7"/>
  <c r="B293" i="7"/>
  <c r="A293" i="7"/>
  <c r="J293" i="7" s="1"/>
  <c r="K292" i="7"/>
  <c r="H292" i="7"/>
  <c r="I292" i="7" s="1"/>
  <c r="G292" i="7"/>
  <c r="F292" i="7"/>
  <c r="E292" i="7"/>
  <c r="D292" i="7"/>
  <c r="C292" i="7"/>
  <c r="B292" i="7"/>
  <c r="A292" i="7"/>
  <c r="J292" i="7" s="1"/>
  <c r="K291" i="7"/>
  <c r="H291" i="7"/>
  <c r="I291" i="7" s="1"/>
  <c r="G291" i="7"/>
  <c r="F291" i="7"/>
  <c r="E291" i="7"/>
  <c r="D291" i="7"/>
  <c r="C291" i="7"/>
  <c r="B291" i="7"/>
  <c r="A291" i="7"/>
  <c r="J291" i="7" s="1"/>
  <c r="K290" i="7"/>
  <c r="H290" i="7"/>
  <c r="I290" i="7" s="1"/>
  <c r="G290" i="7"/>
  <c r="F290" i="7"/>
  <c r="E290" i="7"/>
  <c r="D290" i="7"/>
  <c r="C290" i="7"/>
  <c r="B290" i="7"/>
  <c r="A290" i="7"/>
  <c r="J290" i="7" s="1"/>
  <c r="K289" i="7"/>
  <c r="H289" i="7"/>
  <c r="I289" i="7" s="1"/>
  <c r="G289" i="7"/>
  <c r="F289" i="7"/>
  <c r="E289" i="7"/>
  <c r="D289" i="7"/>
  <c r="C289" i="7"/>
  <c r="B289" i="7"/>
  <c r="A289" i="7"/>
  <c r="J289" i="7" s="1"/>
  <c r="K288" i="7"/>
  <c r="H288" i="7"/>
  <c r="I288" i="7" s="1"/>
  <c r="G288" i="7"/>
  <c r="F288" i="7"/>
  <c r="E288" i="7"/>
  <c r="D288" i="7"/>
  <c r="C288" i="7"/>
  <c r="B288" i="7"/>
  <c r="A288" i="7"/>
  <c r="J288" i="7" s="1"/>
  <c r="K287" i="7"/>
  <c r="H287" i="7"/>
  <c r="I287" i="7" s="1"/>
  <c r="G287" i="7"/>
  <c r="F287" i="7"/>
  <c r="E287" i="7"/>
  <c r="D287" i="7"/>
  <c r="C287" i="7"/>
  <c r="B287" i="7"/>
  <c r="A287" i="7"/>
  <c r="J287" i="7" s="1"/>
  <c r="K286" i="7"/>
  <c r="H286" i="7"/>
  <c r="I286" i="7" s="1"/>
  <c r="G286" i="7"/>
  <c r="F286" i="7"/>
  <c r="E286" i="7"/>
  <c r="D286" i="7"/>
  <c r="C286" i="7"/>
  <c r="B286" i="7"/>
  <c r="A286" i="7"/>
  <c r="J286" i="7" s="1"/>
  <c r="K285" i="7"/>
  <c r="H285" i="7"/>
  <c r="I285" i="7" s="1"/>
  <c r="G285" i="7"/>
  <c r="F285" i="7"/>
  <c r="E285" i="7"/>
  <c r="D285" i="7"/>
  <c r="C285" i="7"/>
  <c r="B285" i="7"/>
  <c r="A285" i="7"/>
  <c r="J285" i="7" s="1"/>
  <c r="K284" i="7"/>
  <c r="H284" i="7"/>
  <c r="I284" i="7" s="1"/>
  <c r="G284" i="7"/>
  <c r="F284" i="7"/>
  <c r="E284" i="7"/>
  <c r="D284" i="7"/>
  <c r="C284" i="7"/>
  <c r="B284" i="7"/>
  <c r="A284" i="7"/>
  <c r="J284" i="7" s="1"/>
  <c r="K283" i="7"/>
  <c r="H283" i="7"/>
  <c r="I283" i="7" s="1"/>
  <c r="G283" i="7"/>
  <c r="F283" i="7"/>
  <c r="E283" i="7"/>
  <c r="D283" i="7"/>
  <c r="C283" i="7"/>
  <c r="B283" i="7"/>
  <c r="A283" i="7"/>
  <c r="J283" i="7" s="1"/>
  <c r="K282" i="7"/>
  <c r="H282" i="7"/>
  <c r="I282" i="7" s="1"/>
  <c r="G282" i="7"/>
  <c r="F282" i="7"/>
  <c r="E282" i="7"/>
  <c r="D282" i="7"/>
  <c r="C282" i="7"/>
  <c r="B282" i="7"/>
  <c r="A282" i="7"/>
  <c r="J282" i="7" s="1"/>
  <c r="K281" i="7"/>
  <c r="J281" i="7"/>
  <c r="H281" i="7"/>
  <c r="I281" i="7" s="1"/>
  <c r="G281" i="7"/>
  <c r="F281" i="7"/>
  <c r="E281" i="7"/>
  <c r="D281" i="7"/>
  <c r="C281" i="7"/>
  <c r="B281" i="7"/>
  <c r="A281" i="7"/>
  <c r="K280" i="7"/>
  <c r="H280" i="7"/>
  <c r="I280" i="7" s="1"/>
  <c r="G280" i="7"/>
  <c r="F280" i="7"/>
  <c r="E280" i="7"/>
  <c r="D280" i="7"/>
  <c r="C280" i="7"/>
  <c r="B280" i="7"/>
  <c r="A280" i="7"/>
  <c r="J280" i="7" s="1"/>
  <c r="K279" i="7"/>
  <c r="H279" i="7"/>
  <c r="I279" i="7" s="1"/>
  <c r="G279" i="7"/>
  <c r="F279" i="7"/>
  <c r="E279" i="7"/>
  <c r="D279" i="7"/>
  <c r="C279" i="7"/>
  <c r="B279" i="7"/>
  <c r="A279" i="7"/>
  <c r="J279" i="7" s="1"/>
  <c r="K278" i="7"/>
  <c r="H278" i="7"/>
  <c r="I278" i="7" s="1"/>
  <c r="G278" i="7"/>
  <c r="F278" i="7"/>
  <c r="E278" i="7"/>
  <c r="D278" i="7"/>
  <c r="C278" i="7"/>
  <c r="B278" i="7"/>
  <c r="A278" i="7"/>
  <c r="J278" i="7" s="1"/>
  <c r="K277" i="7"/>
  <c r="H277" i="7"/>
  <c r="I277" i="7" s="1"/>
  <c r="G277" i="7"/>
  <c r="F277" i="7"/>
  <c r="E277" i="7"/>
  <c r="D277" i="7"/>
  <c r="C277" i="7"/>
  <c r="B277" i="7"/>
  <c r="A277" i="7"/>
  <c r="J277" i="7" s="1"/>
  <c r="K276" i="7"/>
  <c r="H276" i="7"/>
  <c r="I276" i="7" s="1"/>
  <c r="G276" i="7"/>
  <c r="F276" i="7"/>
  <c r="E276" i="7"/>
  <c r="D276" i="7"/>
  <c r="C276" i="7"/>
  <c r="B276" i="7"/>
  <c r="A276" i="7"/>
  <c r="J276" i="7" s="1"/>
  <c r="K275" i="7"/>
  <c r="J275" i="7"/>
  <c r="H275" i="7"/>
  <c r="I275" i="7" s="1"/>
  <c r="G275" i="7"/>
  <c r="F275" i="7"/>
  <c r="E275" i="7"/>
  <c r="D275" i="7"/>
  <c r="C275" i="7"/>
  <c r="B275" i="7"/>
  <c r="A275" i="7"/>
  <c r="K274" i="7"/>
  <c r="H274" i="7"/>
  <c r="I274" i="7" s="1"/>
  <c r="G274" i="7"/>
  <c r="F274" i="7"/>
  <c r="E274" i="7"/>
  <c r="D274" i="7"/>
  <c r="C274" i="7"/>
  <c r="B274" i="7"/>
  <c r="A274" i="7"/>
  <c r="J274" i="7" s="1"/>
  <c r="K273" i="7"/>
  <c r="H273" i="7"/>
  <c r="I273" i="7" s="1"/>
  <c r="G273" i="7"/>
  <c r="F273" i="7"/>
  <c r="E273" i="7"/>
  <c r="D273" i="7"/>
  <c r="C273" i="7"/>
  <c r="B273" i="7"/>
  <c r="A273" i="7"/>
  <c r="J273" i="7" s="1"/>
  <c r="K272" i="7"/>
  <c r="J272" i="7"/>
  <c r="H272" i="7"/>
  <c r="I272" i="7" s="1"/>
  <c r="G272" i="7"/>
  <c r="F272" i="7"/>
  <c r="E272" i="7"/>
  <c r="D272" i="7"/>
  <c r="C272" i="7"/>
  <c r="B272" i="7"/>
  <c r="A272" i="7"/>
  <c r="K271" i="7"/>
  <c r="J271" i="7"/>
  <c r="H271" i="7"/>
  <c r="I271" i="7" s="1"/>
  <c r="G271" i="7"/>
  <c r="F271" i="7"/>
  <c r="E271" i="7"/>
  <c r="D271" i="7"/>
  <c r="C271" i="7"/>
  <c r="B271" i="7"/>
  <c r="A271" i="7"/>
  <c r="K270" i="7"/>
  <c r="I270" i="7"/>
  <c r="H270" i="7"/>
  <c r="G270" i="7"/>
  <c r="F270" i="7"/>
  <c r="E270" i="7"/>
  <c r="D270" i="7"/>
  <c r="C270" i="7"/>
  <c r="B270" i="7"/>
  <c r="A270" i="7"/>
  <c r="J270" i="7" s="1"/>
  <c r="K269" i="7"/>
  <c r="H269" i="7"/>
  <c r="I269" i="7" s="1"/>
  <c r="G269" i="7"/>
  <c r="F269" i="7"/>
  <c r="E269" i="7"/>
  <c r="D269" i="7"/>
  <c r="C269" i="7"/>
  <c r="B269" i="7"/>
  <c r="A269" i="7"/>
  <c r="J269" i="7" s="1"/>
  <c r="K268" i="7"/>
  <c r="H268" i="7"/>
  <c r="I268" i="7" s="1"/>
  <c r="G268" i="7"/>
  <c r="F268" i="7"/>
  <c r="E268" i="7"/>
  <c r="D268" i="7"/>
  <c r="C268" i="7"/>
  <c r="B268" i="7"/>
  <c r="A268" i="7"/>
  <c r="J268" i="7" s="1"/>
  <c r="K267" i="7"/>
  <c r="H267" i="7"/>
  <c r="I267" i="7" s="1"/>
  <c r="G267" i="7"/>
  <c r="F267" i="7"/>
  <c r="E267" i="7"/>
  <c r="D267" i="7"/>
  <c r="C267" i="7"/>
  <c r="B267" i="7"/>
  <c r="A267" i="7"/>
  <c r="J267" i="7" s="1"/>
  <c r="K266" i="7"/>
  <c r="H266" i="7"/>
  <c r="I266" i="7" s="1"/>
  <c r="G266" i="7"/>
  <c r="F266" i="7"/>
  <c r="E266" i="7"/>
  <c r="D266" i="7"/>
  <c r="C266" i="7"/>
  <c r="B266" i="7"/>
  <c r="A266" i="7"/>
  <c r="J266" i="7" s="1"/>
  <c r="K265" i="7"/>
  <c r="J265" i="7"/>
  <c r="H265" i="7"/>
  <c r="I265" i="7" s="1"/>
  <c r="G265" i="7"/>
  <c r="F265" i="7"/>
  <c r="E265" i="7"/>
  <c r="D265" i="7"/>
  <c r="C265" i="7"/>
  <c r="B265" i="7"/>
  <c r="A265" i="7"/>
  <c r="K264" i="7"/>
  <c r="H264" i="7"/>
  <c r="I264" i="7" s="1"/>
  <c r="G264" i="7"/>
  <c r="F264" i="7"/>
  <c r="E264" i="7"/>
  <c r="D264" i="7"/>
  <c r="C264" i="7"/>
  <c r="B264" i="7"/>
  <c r="A264" i="7"/>
  <c r="J264" i="7" s="1"/>
  <c r="K263" i="7"/>
  <c r="J263" i="7"/>
  <c r="H263" i="7"/>
  <c r="I263" i="7" s="1"/>
  <c r="G263" i="7"/>
  <c r="F263" i="7"/>
  <c r="E263" i="7"/>
  <c r="D263" i="7"/>
  <c r="C263" i="7"/>
  <c r="B263" i="7"/>
  <c r="A263" i="7"/>
  <c r="K262" i="7"/>
  <c r="H262" i="7"/>
  <c r="I262" i="7" s="1"/>
  <c r="G262" i="7"/>
  <c r="F262" i="7"/>
  <c r="E262" i="7"/>
  <c r="D262" i="7"/>
  <c r="C262" i="7"/>
  <c r="B262" i="7"/>
  <c r="A262" i="7"/>
  <c r="J262" i="7" s="1"/>
  <c r="K261" i="7"/>
  <c r="J261" i="7"/>
  <c r="H261" i="7"/>
  <c r="I261" i="7" s="1"/>
  <c r="G261" i="7"/>
  <c r="F261" i="7"/>
  <c r="E261" i="7"/>
  <c r="D261" i="7"/>
  <c r="C261" i="7"/>
  <c r="B261" i="7"/>
  <c r="A261" i="7"/>
  <c r="K260" i="7"/>
  <c r="H260" i="7"/>
  <c r="I260" i="7" s="1"/>
  <c r="G260" i="7"/>
  <c r="F260" i="7"/>
  <c r="E260" i="7"/>
  <c r="D260" i="7"/>
  <c r="C260" i="7"/>
  <c r="B260" i="7"/>
  <c r="A260" i="7"/>
  <c r="J260" i="7" s="1"/>
  <c r="K259" i="7"/>
  <c r="J259" i="7"/>
  <c r="H259" i="7"/>
  <c r="I259" i="7" s="1"/>
  <c r="G259" i="7"/>
  <c r="F259" i="7"/>
  <c r="E259" i="7"/>
  <c r="D259" i="7"/>
  <c r="C259" i="7"/>
  <c r="B259" i="7"/>
  <c r="A259" i="7"/>
  <c r="K258" i="7"/>
  <c r="I258" i="7"/>
  <c r="H258" i="7"/>
  <c r="G258" i="7"/>
  <c r="F258" i="7"/>
  <c r="E258" i="7"/>
  <c r="D258" i="7"/>
  <c r="C258" i="7"/>
  <c r="B258" i="7"/>
  <c r="A258" i="7"/>
  <c r="J258" i="7" s="1"/>
  <c r="K257" i="7"/>
  <c r="H257" i="7"/>
  <c r="I257" i="7" s="1"/>
  <c r="G257" i="7"/>
  <c r="F257" i="7"/>
  <c r="E257" i="7"/>
  <c r="D257" i="7"/>
  <c r="C257" i="7"/>
  <c r="B257" i="7"/>
  <c r="A257" i="7"/>
  <c r="J257" i="7" s="1"/>
  <c r="K256" i="7"/>
  <c r="H256" i="7"/>
  <c r="I256" i="7" s="1"/>
  <c r="G256" i="7"/>
  <c r="F256" i="7"/>
  <c r="E256" i="7"/>
  <c r="D256" i="7"/>
  <c r="C256" i="7"/>
  <c r="B256" i="7"/>
  <c r="A256" i="7"/>
  <c r="J256" i="7" s="1"/>
  <c r="K255" i="7"/>
  <c r="H255" i="7"/>
  <c r="I255" i="7" s="1"/>
  <c r="G255" i="7"/>
  <c r="F255" i="7"/>
  <c r="E255" i="7"/>
  <c r="D255" i="7"/>
  <c r="C255" i="7"/>
  <c r="B255" i="7"/>
  <c r="A255" i="7"/>
  <c r="J255" i="7" s="1"/>
  <c r="K254" i="7"/>
  <c r="H254" i="7"/>
  <c r="I254" i="7" s="1"/>
  <c r="G254" i="7"/>
  <c r="F254" i="7"/>
  <c r="E254" i="7"/>
  <c r="D254" i="7"/>
  <c r="C254" i="7"/>
  <c r="B254" i="7"/>
  <c r="A254" i="7"/>
  <c r="J254" i="7" s="1"/>
  <c r="K253" i="7"/>
  <c r="I253" i="7"/>
  <c r="H253" i="7"/>
  <c r="G253" i="7"/>
  <c r="F253" i="7"/>
  <c r="E253" i="7"/>
  <c r="D253" i="7"/>
  <c r="C253" i="7"/>
  <c r="B253" i="7"/>
  <c r="A253" i="7"/>
  <c r="J253" i="7" s="1"/>
  <c r="K252" i="7"/>
  <c r="H252" i="7"/>
  <c r="I252" i="7" s="1"/>
  <c r="G252" i="7"/>
  <c r="F252" i="7"/>
  <c r="E252" i="7"/>
  <c r="D252" i="7"/>
  <c r="C252" i="7"/>
  <c r="B252" i="7"/>
  <c r="A252" i="7"/>
  <c r="J252" i="7" s="1"/>
  <c r="K251" i="7"/>
  <c r="H251" i="7"/>
  <c r="I251" i="7" s="1"/>
  <c r="G251" i="7"/>
  <c r="F251" i="7"/>
  <c r="E251" i="7"/>
  <c r="D251" i="7"/>
  <c r="C251" i="7"/>
  <c r="B251" i="7"/>
  <c r="A251" i="7"/>
  <c r="J251" i="7" s="1"/>
  <c r="K250" i="7"/>
  <c r="H250" i="7"/>
  <c r="I250" i="7" s="1"/>
  <c r="G250" i="7"/>
  <c r="F250" i="7"/>
  <c r="E250" i="7"/>
  <c r="D250" i="7"/>
  <c r="C250" i="7"/>
  <c r="B250" i="7"/>
  <c r="A250" i="7"/>
  <c r="J250" i="7" s="1"/>
  <c r="K249" i="7"/>
  <c r="H249" i="7"/>
  <c r="I249" i="7" s="1"/>
  <c r="G249" i="7"/>
  <c r="F249" i="7"/>
  <c r="E249" i="7"/>
  <c r="D249" i="7"/>
  <c r="C249" i="7"/>
  <c r="B249" i="7"/>
  <c r="A249" i="7"/>
  <c r="J249" i="7" s="1"/>
  <c r="K248" i="7"/>
  <c r="H248" i="7"/>
  <c r="I248" i="7" s="1"/>
  <c r="G248" i="7"/>
  <c r="F248" i="7"/>
  <c r="E248" i="7"/>
  <c r="D248" i="7"/>
  <c r="C248" i="7"/>
  <c r="B248" i="7"/>
  <c r="A248" i="7"/>
  <c r="J248" i="7" s="1"/>
  <c r="K247" i="7"/>
  <c r="H247" i="7"/>
  <c r="I247" i="7" s="1"/>
  <c r="G247" i="7"/>
  <c r="F247" i="7"/>
  <c r="E247" i="7"/>
  <c r="D247" i="7"/>
  <c r="C247" i="7"/>
  <c r="B247" i="7"/>
  <c r="A247" i="7"/>
  <c r="J247" i="7" s="1"/>
  <c r="K246" i="7"/>
  <c r="H246" i="7"/>
  <c r="I246" i="7" s="1"/>
  <c r="G246" i="7"/>
  <c r="F246" i="7"/>
  <c r="E246" i="7"/>
  <c r="D246" i="7"/>
  <c r="C246" i="7"/>
  <c r="B246" i="7"/>
  <c r="A246" i="7"/>
  <c r="J246" i="7" s="1"/>
  <c r="K245" i="7"/>
  <c r="J245" i="7"/>
  <c r="H245" i="7"/>
  <c r="I245" i="7" s="1"/>
  <c r="G245" i="7"/>
  <c r="F245" i="7"/>
  <c r="E245" i="7"/>
  <c r="D245" i="7"/>
  <c r="C245" i="7"/>
  <c r="B245" i="7"/>
  <c r="A245" i="7"/>
  <c r="K244" i="7"/>
  <c r="H244" i="7"/>
  <c r="I244" i="7" s="1"/>
  <c r="G244" i="7"/>
  <c r="F244" i="7"/>
  <c r="E244" i="7"/>
  <c r="D244" i="7"/>
  <c r="C244" i="7"/>
  <c r="B244" i="7"/>
  <c r="A244" i="7"/>
  <c r="J244" i="7" s="1"/>
  <c r="K243" i="7"/>
  <c r="H243" i="7"/>
  <c r="I243" i="7" s="1"/>
  <c r="G243" i="7"/>
  <c r="F243" i="7"/>
  <c r="E243" i="7"/>
  <c r="D243" i="7"/>
  <c r="C243" i="7"/>
  <c r="B243" i="7"/>
  <c r="A243" i="7"/>
  <c r="J243" i="7" s="1"/>
  <c r="K242" i="7"/>
  <c r="H242" i="7"/>
  <c r="I242" i="7" s="1"/>
  <c r="G242" i="7"/>
  <c r="F242" i="7"/>
  <c r="E242" i="7"/>
  <c r="D242" i="7"/>
  <c r="C242" i="7"/>
  <c r="B242" i="7"/>
  <c r="A242" i="7"/>
  <c r="J242" i="7" s="1"/>
  <c r="K241" i="7"/>
  <c r="H241" i="7"/>
  <c r="I241" i="7" s="1"/>
  <c r="G241" i="7"/>
  <c r="F241" i="7"/>
  <c r="E241" i="7"/>
  <c r="D241" i="7"/>
  <c r="C241" i="7"/>
  <c r="B241" i="7"/>
  <c r="A241" i="7"/>
  <c r="J241" i="7" s="1"/>
  <c r="K240" i="7"/>
  <c r="H240" i="7"/>
  <c r="I240" i="7" s="1"/>
  <c r="G240" i="7"/>
  <c r="F240" i="7"/>
  <c r="E240" i="7"/>
  <c r="D240" i="7"/>
  <c r="C240" i="7"/>
  <c r="B240" i="7"/>
  <c r="A240" i="7"/>
  <c r="J240" i="7" s="1"/>
  <c r="K239" i="7"/>
  <c r="J239" i="7"/>
  <c r="H239" i="7"/>
  <c r="I239" i="7" s="1"/>
  <c r="G239" i="7"/>
  <c r="F239" i="7"/>
  <c r="E239" i="7"/>
  <c r="D239" i="7"/>
  <c r="C239" i="7"/>
  <c r="B239" i="7"/>
  <c r="A239" i="7"/>
  <c r="K238" i="7"/>
  <c r="H238" i="7"/>
  <c r="I238" i="7" s="1"/>
  <c r="G238" i="7"/>
  <c r="F238" i="7"/>
  <c r="E238" i="7"/>
  <c r="D238" i="7"/>
  <c r="C238" i="7"/>
  <c r="B238" i="7"/>
  <c r="A238" i="7"/>
  <c r="J238" i="7" s="1"/>
  <c r="K237" i="7"/>
  <c r="H237" i="7"/>
  <c r="I237" i="7" s="1"/>
  <c r="G237" i="7"/>
  <c r="F237" i="7"/>
  <c r="E237" i="7"/>
  <c r="D237" i="7"/>
  <c r="C237" i="7"/>
  <c r="B237" i="7"/>
  <c r="A237" i="7"/>
  <c r="J237" i="7" s="1"/>
  <c r="K236" i="7"/>
  <c r="J236" i="7"/>
  <c r="H236" i="7"/>
  <c r="I236" i="7" s="1"/>
  <c r="G236" i="7"/>
  <c r="F236" i="7"/>
  <c r="E236" i="7"/>
  <c r="D236" i="7"/>
  <c r="C236" i="7"/>
  <c r="B236" i="7"/>
  <c r="A236" i="7"/>
  <c r="K235" i="7"/>
  <c r="J235" i="7"/>
  <c r="H235" i="7"/>
  <c r="I235" i="7" s="1"/>
  <c r="G235" i="7"/>
  <c r="F235" i="7"/>
  <c r="E235" i="7"/>
  <c r="D235" i="7"/>
  <c r="C235" i="7"/>
  <c r="B235" i="7"/>
  <c r="A235" i="7"/>
  <c r="K234" i="7"/>
  <c r="H234" i="7"/>
  <c r="I234" i="7" s="1"/>
  <c r="G234" i="7"/>
  <c r="F234" i="7"/>
  <c r="E234" i="7"/>
  <c r="D234" i="7"/>
  <c r="C234" i="7"/>
  <c r="B234" i="7"/>
  <c r="A234" i="7"/>
  <c r="J234" i="7" s="1"/>
  <c r="K233" i="7"/>
  <c r="H233" i="7"/>
  <c r="I233" i="7" s="1"/>
  <c r="G233" i="7"/>
  <c r="F233" i="7"/>
  <c r="E233" i="7"/>
  <c r="D233" i="7"/>
  <c r="C233" i="7"/>
  <c r="B233" i="7"/>
  <c r="A233" i="7"/>
  <c r="J233" i="7" s="1"/>
  <c r="K232" i="7"/>
  <c r="H232" i="7"/>
  <c r="I232" i="7" s="1"/>
  <c r="G232" i="7"/>
  <c r="F232" i="7"/>
  <c r="E232" i="7"/>
  <c r="D232" i="7"/>
  <c r="C232" i="7"/>
  <c r="B232" i="7"/>
  <c r="A232" i="7"/>
  <c r="J232" i="7" s="1"/>
  <c r="K231" i="7"/>
  <c r="I231" i="7"/>
  <c r="H231" i="7"/>
  <c r="G231" i="7"/>
  <c r="F231" i="7"/>
  <c r="E231" i="7"/>
  <c r="D231" i="7"/>
  <c r="C231" i="7"/>
  <c r="B231" i="7"/>
  <c r="A231" i="7"/>
  <c r="J231" i="7" s="1"/>
  <c r="K230" i="7"/>
  <c r="H230" i="7"/>
  <c r="I230" i="7" s="1"/>
  <c r="G230" i="7"/>
  <c r="F230" i="7"/>
  <c r="E230" i="7"/>
  <c r="D230" i="7"/>
  <c r="C230" i="7"/>
  <c r="B230" i="7"/>
  <c r="A230" i="7"/>
  <c r="J230" i="7" s="1"/>
  <c r="K229" i="7"/>
  <c r="H229" i="7"/>
  <c r="I229" i="7" s="1"/>
  <c r="G229" i="7"/>
  <c r="F229" i="7"/>
  <c r="E229" i="7"/>
  <c r="D229" i="7"/>
  <c r="C229" i="7"/>
  <c r="B229" i="7"/>
  <c r="A229" i="7"/>
  <c r="J229" i="7" s="1"/>
  <c r="K228" i="7"/>
  <c r="H228" i="7"/>
  <c r="I228" i="7" s="1"/>
  <c r="G228" i="7"/>
  <c r="F228" i="7"/>
  <c r="E228" i="7"/>
  <c r="D228" i="7"/>
  <c r="C228" i="7"/>
  <c r="B228" i="7"/>
  <c r="A228" i="7"/>
  <c r="J228" i="7" s="1"/>
  <c r="K227" i="7"/>
  <c r="H227" i="7"/>
  <c r="I227" i="7" s="1"/>
  <c r="G227" i="7"/>
  <c r="F227" i="7"/>
  <c r="E227" i="7"/>
  <c r="D227" i="7"/>
  <c r="C227" i="7"/>
  <c r="B227" i="7"/>
  <c r="A227" i="7"/>
  <c r="J227" i="7" s="1"/>
  <c r="K226" i="7"/>
  <c r="J226" i="7"/>
  <c r="H226" i="7"/>
  <c r="I226" i="7" s="1"/>
  <c r="G226" i="7"/>
  <c r="F226" i="7"/>
  <c r="E226" i="7"/>
  <c r="D226" i="7"/>
  <c r="C226" i="7"/>
  <c r="B226" i="7"/>
  <c r="A226" i="7"/>
  <c r="K225" i="7"/>
  <c r="J225" i="7"/>
  <c r="H225" i="7"/>
  <c r="I225" i="7" s="1"/>
  <c r="G225" i="7"/>
  <c r="F225" i="7"/>
  <c r="E225" i="7"/>
  <c r="D225" i="7"/>
  <c r="C225" i="7"/>
  <c r="B225" i="7"/>
  <c r="A225" i="7"/>
  <c r="K224" i="7"/>
  <c r="J224" i="7"/>
  <c r="H224" i="7"/>
  <c r="I224" i="7" s="1"/>
  <c r="G224" i="7"/>
  <c r="F224" i="7"/>
  <c r="E224" i="7"/>
  <c r="D224" i="7"/>
  <c r="C224" i="7"/>
  <c r="B224" i="7"/>
  <c r="A224" i="7"/>
  <c r="K223" i="7"/>
  <c r="J223" i="7"/>
  <c r="H223" i="7"/>
  <c r="I223" i="7" s="1"/>
  <c r="G223" i="7"/>
  <c r="F223" i="7"/>
  <c r="E223" i="7"/>
  <c r="D223" i="7"/>
  <c r="C223" i="7"/>
  <c r="B223" i="7"/>
  <c r="A223" i="7"/>
  <c r="K222" i="7"/>
  <c r="H222" i="7"/>
  <c r="I222" i="7" s="1"/>
  <c r="G222" i="7"/>
  <c r="F222" i="7"/>
  <c r="E222" i="7"/>
  <c r="D222" i="7"/>
  <c r="C222" i="7"/>
  <c r="B222" i="7"/>
  <c r="A222" i="7"/>
  <c r="J222" i="7" s="1"/>
  <c r="K221" i="7"/>
  <c r="H221" i="7"/>
  <c r="I221" i="7" s="1"/>
  <c r="G221" i="7"/>
  <c r="F221" i="7"/>
  <c r="E221" i="7"/>
  <c r="D221" i="7"/>
  <c r="C221" i="7"/>
  <c r="B221" i="7"/>
  <c r="A221" i="7"/>
  <c r="J221" i="7" s="1"/>
  <c r="K220" i="7"/>
  <c r="H220" i="7"/>
  <c r="I220" i="7" s="1"/>
  <c r="G220" i="7"/>
  <c r="F220" i="7"/>
  <c r="E220" i="7"/>
  <c r="D220" i="7"/>
  <c r="C220" i="7"/>
  <c r="B220" i="7"/>
  <c r="A220" i="7"/>
  <c r="J220" i="7" s="1"/>
  <c r="K219" i="7"/>
  <c r="H219" i="7"/>
  <c r="I219" i="7" s="1"/>
  <c r="G219" i="7"/>
  <c r="F219" i="7"/>
  <c r="E219" i="7"/>
  <c r="D219" i="7"/>
  <c r="C219" i="7"/>
  <c r="B219" i="7"/>
  <c r="A219" i="7"/>
  <c r="J219" i="7" s="1"/>
  <c r="K218" i="7"/>
  <c r="H218" i="7"/>
  <c r="I218" i="7" s="1"/>
  <c r="G218" i="7"/>
  <c r="F218" i="7"/>
  <c r="E218" i="7"/>
  <c r="D218" i="7"/>
  <c r="C218" i="7"/>
  <c r="B218" i="7"/>
  <c r="A218" i="7"/>
  <c r="J218" i="7" s="1"/>
  <c r="K217" i="7"/>
  <c r="H217" i="7"/>
  <c r="I217" i="7" s="1"/>
  <c r="G217" i="7"/>
  <c r="F217" i="7"/>
  <c r="E217" i="7"/>
  <c r="D217" i="7"/>
  <c r="C217" i="7"/>
  <c r="B217" i="7"/>
  <c r="A217" i="7"/>
  <c r="J217" i="7" s="1"/>
  <c r="K216" i="7"/>
  <c r="H216" i="7"/>
  <c r="I216" i="7" s="1"/>
  <c r="G216" i="7"/>
  <c r="F216" i="7"/>
  <c r="E216" i="7"/>
  <c r="D216" i="7"/>
  <c r="C216" i="7"/>
  <c r="B216" i="7"/>
  <c r="A216" i="7"/>
  <c r="J216" i="7" s="1"/>
  <c r="K215" i="7"/>
  <c r="I215" i="7"/>
  <c r="H215" i="7"/>
  <c r="G215" i="7"/>
  <c r="F215" i="7"/>
  <c r="E215" i="7"/>
  <c r="D215" i="7"/>
  <c r="C215" i="7"/>
  <c r="B215" i="7"/>
  <c r="A215" i="7"/>
  <c r="J215" i="7" s="1"/>
  <c r="K214" i="7"/>
  <c r="I214" i="7"/>
  <c r="H214" i="7"/>
  <c r="G214" i="7"/>
  <c r="F214" i="7"/>
  <c r="E214" i="7"/>
  <c r="D214" i="7"/>
  <c r="C214" i="7"/>
  <c r="B214" i="7"/>
  <c r="A214" i="7"/>
  <c r="J214" i="7" s="1"/>
  <c r="K213" i="7"/>
  <c r="H213" i="7"/>
  <c r="I213" i="7" s="1"/>
  <c r="G213" i="7"/>
  <c r="F213" i="7"/>
  <c r="E213" i="7"/>
  <c r="D213" i="7"/>
  <c r="C213" i="7"/>
  <c r="B213" i="7"/>
  <c r="A213" i="7"/>
  <c r="J213" i="7" s="1"/>
  <c r="K212" i="7"/>
  <c r="H212" i="7"/>
  <c r="I212" i="7" s="1"/>
  <c r="G212" i="7"/>
  <c r="F212" i="7"/>
  <c r="E212" i="7"/>
  <c r="D212" i="7"/>
  <c r="C212" i="7"/>
  <c r="B212" i="7"/>
  <c r="A212" i="7"/>
  <c r="J212" i="7" s="1"/>
  <c r="K211" i="7"/>
  <c r="H211" i="7"/>
  <c r="I211" i="7" s="1"/>
  <c r="G211" i="7"/>
  <c r="F211" i="7"/>
  <c r="E211" i="7"/>
  <c r="D211" i="7"/>
  <c r="C211" i="7"/>
  <c r="B211" i="7"/>
  <c r="A211" i="7"/>
  <c r="J211" i="7" s="1"/>
  <c r="K210" i="7"/>
  <c r="H210" i="7"/>
  <c r="I210" i="7" s="1"/>
  <c r="G210" i="7"/>
  <c r="F210" i="7"/>
  <c r="E210" i="7"/>
  <c r="D210" i="7"/>
  <c r="C210" i="7"/>
  <c r="B210" i="7"/>
  <c r="A210" i="7"/>
  <c r="J210" i="7" s="1"/>
  <c r="K209" i="7"/>
  <c r="J209" i="7"/>
  <c r="H209" i="7"/>
  <c r="I209" i="7" s="1"/>
  <c r="G209" i="7"/>
  <c r="F209" i="7"/>
  <c r="E209" i="7"/>
  <c r="D209" i="7"/>
  <c r="C209" i="7"/>
  <c r="B209" i="7"/>
  <c r="A209" i="7"/>
  <c r="K208" i="7"/>
  <c r="H208" i="7"/>
  <c r="I208" i="7" s="1"/>
  <c r="G208" i="7"/>
  <c r="F208" i="7"/>
  <c r="E208" i="7"/>
  <c r="D208" i="7"/>
  <c r="C208" i="7"/>
  <c r="B208" i="7"/>
  <c r="A208" i="7"/>
  <c r="J208" i="7" s="1"/>
  <c r="K207" i="7"/>
  <c r="H207" i="7"/>
  <c r="I207" i="7" s="1"/>
  <c r="G207" i="7"/>
  <c r="F207" i="7"/>
  <c r="E207" i="7"/>
  <c r="D207" i="7"/>
  <c r="C207" i="7"/>
  <c r="B207" i="7"/>
  <c r="A207" i="7"/>
  <c r="J207" i="7" s="1"/>
  <c r="K206" i="7"/>
  <c r="H206" i="7"/>
  <c r="I206" i="7" s="1"/>
  <c r="G206" i="7"/>
  <c r="F206" i="7"/>
  <c r="E206" i="7"/>
  <c r="D206" i="7"/>
  <c r="C206" i="7"/>
  <c r="B206" i="7"/>
  <c r="A206" i="7"/>
  <c r="J206" i="7" s="1"/>
  <c r="K205" i="7"/>
  <c r="H205" i="7"/>
  <c r="I205" i="7" s="1"/>
  <c r="G205" i="7"/>
  <c r="F205" i="7"/>
  <c r="E205" i="7"/>
  <c r="D205" i="7"/>
  <c r="C205" i="7"/>
  <c r="B205" i="7"/>
  <c r="A205" i="7"/>
  <c r="J205" i="7" s="1"/>
  <c r="K204" i="7"/>
  <c r="J204" i="7"/>
  <c r="I204" i="7"/>
  <c r="H204" i="7"/>
  <c r="G204" i="7"/>
  <c r="F204" i="7"/>
  <c r="E204" i="7"/>
  <c r="D204" i="7"/>
  <c r="C204" i="7"/>
  <c r="B204" i="7"/>
  <c r="A204" i="7"/>
  <c r="K203" i="7"/>
  <c r="H203" i="7"/>
  <c r="I203" i="7" s="1"/>
  <c r="G203" i="7"/>
  <c r="F203" i="7"/>
  <c r="E203" i="7"/>
  <c r="D203" i="7"/>
  <c r="C203" i="7"/>
  <c r="B203" i="7"/>
  <c r="A203" i="7"/>
  <c r="J203" i="7" s="1"/>
  <c r="K202" i="7"/>
  <c r="H202" i="7"/>
  <c r="I202" i="7" s="1"/>
  <c r="G202" i="7"/>
  <c r="F202" i="7"/>
  <c r="E202" i="7"/>
  <c r="D202" i="7"/>
  <c r="C202" i="7"/>
  <c r="B202" i="7"/>
  <c r="A202" i="7"/>
  <c r="J202" i="7" s="1"/>
  <c r="K201" i="7"/>
  <c r="H201" i="7"/>
  <c r="I201" i="7" s="1"/>
  <c r="G201" i="7"/>
  <c r="F201" i="7"/>
  <c r="E201" i="7"/>
  <c r="D201" i="7"/>
  <c r="C201" i="7"/>
  <c r="B201" i="7"/>
  <c r="A201" i="7"/>
  <c r="J201" i="7" s="1"/>
  <c r="K200" i="7"/>
  <c r="H200" i="7"/>
  <c r="I200" i="7" s="1"/>
  <c r="G200" i="7"/>
  <c r="F200" i="7"/>
  <c r="E200" i="7"/>
  <c r="D200" i="7"/>
  <c r="C200" i="7"/>
  <c r="B200" i="7"/>
  <c r="A200" i="7"/>
  <c r="J200" i="7" s="1"/>
  <c r="K199" i="7"/>
  <c r="H199" i="7"/>
  <c r="I199" i="7" s="1"/>
  <c r="G199" i="7"/>
  <c r="F199" i="7"/>
  <c r="E199" i="7"/>
  <c r="D199" i="7"/>
  <c r="C199" i="7"/>
  <c r="B199" i="7"/>
  <c r="A199" i="7"/>
  <c r="J199" i="7" s="1"/>
  <c r="K198" i="7"/>
  <c r="H198" i="7"/>
  <c r="I198" i="7" s="1"/>
  <c r="G198" i="7"/>
  <c r="F198" i="7"/>
  <c r="E198" i="7"/>
  <c r="D198" i="7"/>
  <c r="C198" i="7"/>
  <c r="B198" i="7"/>
  <c r="A198" i="7"/>
  <c r="J198" i="7" s="1"/>
  <c r="K197" i="7"/>
  <c r="H197" i="7"/>
  <c r="I197" i="7" s="1"/>
  <c r="G197" i="7"/>
  <c r="F197" i="7"/>
  <c r="E197" i="7"/>
  <c r="D197" i="7"/>
  <c r="C197" i="7"/>
  <c r="B197" i="7"/>
  <c r="A197" i="7"/>
  <c r="J197" i="7" s="1"/>
  <c r="K196" i="7"/>
  <c r="H196" i="7"/>
  <c r="I196" i="7" s="1"/>
  <c r="G196" i="7"/>
  <c r="F196" i="7"/>
  <c r="E196" i="7"/>
  <c r="D196" i="7"/>
  <c r="C196" i="7"/>
  <c r="B196" i="7"/>
  <c r="A196" i="7"/>
  <c r="J196" i="7" s="1"/>
  <c r="K195" i="7"/>
  <c r="H195" i="7"/>
  <c r="I195" i="7" s="1"/>
  <c r="G195" i="7"/>
  <c r="F195" i="7"/>
  <c r="E195" i="7"/>
  <c r="D195" i="7"/>
  <c r="C195" i="7"/>
  <c r="B195" i="7"/>
  <c r="A195" i="7"/>
  <c r="J195" i="7" s="1"/>
  <c r="K194" i="7"/>
  <c r="H194" i="7"/>
  <c r="I194" i="7" s="1"/>
  <c r="G194" i="7"/>
  <c r="F194" i="7"/>
  <c r="E194" i="7"/>
  <c r="D194" i="7"/>
  <c r="C194" i="7"/>
  <c r="B194" i="7"/>
  <c r="A194" i="7"/>
  <c r="J194" i="7" s="1"/>
  <c r="K193" i="7"/>
  <c r="H193" i="7"/>
  <c r="I193" i="7" s="1"/>
  <c r="G193" i="7"/>
  <c r="F193" i="7"/>
  <c r="E193" i="7"/>
  <c r="D193" i="7"/>
  <c r="C193" i="7"/>
  <c r="B193" i="7"/>
  <c r="A193" i="7"/>
  <c r="J193" i="7" s="1"/>
  <c r="K192" i="7"/>
  <c r="J192" i="7"/>
  <c r="H192" i="7"/>
  <c r="I192" i="7" s="1"/>
  <c r="G192" i="7"/>
  <c r="F192" i="7"/>
  <c r="E192" i="7"/>
  <c r="D192" i="7"/>
  <c r="C192" i="7"/>
  <c r="B192" i="7"/>
  <c r="A192" i="7"/>
  <c r="K191" i="7"/>
  <c r="H191" i="7"/>
  <c r="I191" i="7" s="1"/>
  <c r="G191" i="7"/>
  <c r="F191" i="7"/>
  <c r="E191" i="7"/>
  <c r="D191" i="7"/>
  <c r="C191" i="7"/>
  <c r="B191" i="7"/>
  <c r="A191" i="7"/>
  <c r="J191" i="7" s="1"/>
  <c r="K190" i="7"/>
  <c r="J190" i="7"/>
  <c r="H190" i="7"/>
  <c r="I190" i="7" s="1"/>
  <c r="G190" i="7"/>
  <c r="F190" i="7"/>
  <c r="E190" i="7"/>
  <c r="D190" i="7"/>
  <c r="C190" i="7"/>
  <c r="B190" i="7"/>
  <c r="A190" i="7"/>
  <c r="K189" i="7"/>
  <c r="H189" i="7"/>
  <c r="I189" i="7" s="1"/>
  <c r="G189" i="7"/>
  <c r="F189" i="7"/>
  <c r="E189" i="7"/>
  <c r="D189" i="7"/>
  <c r="C189" i="7"/>
  <c r="B189" i="7"/>
  <c r="A189" i="7"/>
  <c r="J189" i="7" s="1"/>
  <c r="K188" i="7"/>
  <c r="H188" i="7"/>
  <c r="I188" i="7" s="1"/>
  <c r="G188" i="7"/>
  <c r="F188" i="7"/>
  <c r="E188" i="7"/>
  <c r="D188" i="7"/>
  <c r="C188" i="7"/>
  <c r="B188" i="7"/>
  <c r="A188" i="7"/>
  <c r="J188" i="7" s="1"/>
  <c r="K187" i="7"/>
  <c r="H187" i="7"/>
  <c r="I187" i="7" s="1"/>
  <c r="G187" i="7"/>
  <c r="F187" i="7"/>
  <c r="E187" i="7"/>
  <c r="D187" i="7"/>
  <c r="C187" i="7"/>
  <c r="B187" i="7"/>
  <c r="A187" i="7"/>
  <c r="J187" i="7" s="1"/>
  <c r="K186" i="7"/>
  <c r="H186" i="7"/>
  <c r="I186" i="7" s="1"/>
  <c r="G186" i="7"/>
  <c r="F186" i="7"/>
  <c r="E186" i="7"/>
  <c r="D186" i="7"/>
  <c r="C186" i="7"/>
  <c r="B186" i="7"/>
  <c r="A186" i="7"/>
  <c r="J186" i="7" s="1"/>
  <c r="K185" i="7"/>
  <c r="J185" i="7"/>
  <c r="H185" i="7"/>
  <c r="I185" i="7" s="1"/>
  <c r="G185" i="7"/>
  <c r="F185" i="7"/>
  <c r="E185" i="7"/>
  <c r="D185" i="7"/>
  <c r="C185" i="7"/>
  <c r="B185" i="7"/>
  <c r="A185" i="7"/>
  <c r="K184" i="7"/>
  <c r="H184" i="7"/>
  <c r="I184" i="7" s="1"/>
  <c r="G184" i="7"/>
  <c r="F184" i="7"/>
  <c r="E184" i="7"/>
  <c r="D184" i="7"/>
  <c r="C184" i="7"/>
  <c r="B184" i="7"/>
  <c r="A184" i="7"/>
  <c r="J184" i="7" s="1"/>
  <c r="K183" i="7"/>
  <c r="H183" i="7"/>
  <c r="I183" i="7" s="1"/>
  <c r="G183" i="7"/>
  <c r="F183" i="7"/>
  <c r="E183" i="7"/>
  <c r="D183" i="7"/>
  <c r="C183" i="7"/>
  <c r="B183" i="7"/>
  <c r="A183" i="7"/>
  <c r="J183" i="7" s="1"/>
  <c r="K182" i="7"/>
  <c r="H182" i="7"/>
  <c r="I182" i="7" s="1"/>
  <c r="G182" i="7"/>
  <c r="F182" i="7"/>
  <c r="E182" i="7"/>
  <c r="D182" i="7"/>
  <c r="C182" i="7"/>
  <c r="B182" i="7"/>
  <c r="A182" i="7"/>
  <c r="J182" i="7" s="1"/>
  <c r="K181" i="7"/>
  <c r="J181" i="7"/>
  <c r="I181" i="7"/>
  <c r="H181" i="7"/>
  <c r="G181" i="7"/>
  <c r="F181" i="7"/>
  <c r="E181" i="7"/>
  <c r="D181" i="7"/>
  <c r="C181" i="7"/>
  <c r="B181" i="7"/>
  <c r="A181" i="7"/>
  <c r="K180" i="7"/>
  <c r="H180" i="7"/>
  <c r="I180" i="7" s="1"/>
  <c r="G180" i="7"/>
  <c r="F180" i="7"/>
  <c r="E180" i="7"/>
  <c r="D180" i="7"/>
  <c r="C180" i="7"/>
  <c r="B180" i="7"/>
  <c r="A180" i="7"/>
  <c r="J180" i="7" s="1"/>
  <c r="K179" i="7"/>
  <c r="J179" i="7"/>
  <c r="H179" i="7"/>
  <c r="I179" i="7" s="1"/>
  <c r="G179" i="7"/>
  <c r="F179" i="7"/>
  <c r="E179" i="7"/>
  <c r="D179" i="7"/>
  <c r="C179" i="7"/>
  <c r="B179" i="7"/>
  <c r="A179" i="7"/>
  <c r="K178" i="7"/>
  <c r="H178" i="7"/>
  <c r="I178" i="7" s="1"/>
  <c r="G178" i="7"/>
  <c r="F178" i="7"/>
  <c r="E178" i="7"/>
  <c r="D178" i="7"/>
  <c r="C178" i="7"/>
  <c r="B178" i="7"/>
  <c r="A178" i="7"/>
  <c r="J178" i="7" s="1"/>
  <c r="K177" i="7"/>
  <c r="H177" i="7"/>
  <c r="I177" i="7" s="1"/>
  <c r="G177" i="7"/>
  <c r="F177" i="7"/>
  <c r="E177" i="7"/>
  <c r="D177" i="7"/>
  <c r="C177" i="7"/>
  <c r="B177" i="7"/>
  <c r="A177" i="7"/>
  <c r="J177" i="7" s="1"/>
  <c r="K176" i="7"/>
  <c r="H176" i="7"/>
  <c r="I176" i="7" s="1"/>
  <c r="G176" i="7"/>
  <c r="F176" i="7"/>
  <c r="E176" i="7"/>
  <c r="D176" i="7"/>
  <c r="C176" i="7"/>
  <c r="B176" i="7"/>
  <c r="A176" i="7"/>
  <c r="J176" i="7" s="1"/>
  <c r="K175" i="7"/>
  <c r="H175" i="7"/>
  <c r="I175" i="7" s="1"/>
  <c r="G175" i="7"/>
  <c r="F175" i="7"/>
  <c r="E175" i="7"/>
  <c r="D175" i="7"/>
  <c r="C175" i="7"/>
  <c r="B175" i="7"/>
  <c r="A175" i="7"/>
  <c r="J175" i="7" s="1"/>
  <c r="K174" i="7"/>
  <c r="J174" i="7"/>
  <c r="H174" i="7"/>
  <c r="I174" i="7" s="1"/>
  <c r="G174" i="7"/>
  <c r="F174" i="7"/>
  <c r="E174" i="7"/>
  <c r="D174" i="7"/>
  <c r="C174" i="7"/>
  <c r="B174" i="7"/>
  <c r="A174" i="7"/>
  <c r="K173" i="7"/>
  <c r="J173" i="7"/>
  <c r="H173" i="7"/>
  <c r="I173" i="7" s="1"/>
  <c r="G173" i="7"/>
  <c r="F173" i="7"/>
  <c r="E173" i="7"/>
  <c r="D173" i="7"/>
  <c r="C173" i="7"/>
  <c r="B173" i="7"/>
  <c r="A173" i="7"/>
  <c r="K172" i="7"/>
  <c r="H172" i="7"/>
  <c r="I172" i="7" s="1"/>
  <c r="G172" i="7"/>
  <c r="F172" i="7"/>
  <c r="E172" i="7"/>
  <c r="D172" i="7"/>
  <c r="C172" i="7"/>
  <c r="B172" i="7"/>
  <c r="A172" i="7"/>
  <c r="J172" i="7" s="1"/>
  <c r="K171" i="7"/>
  <c r="H171" i="7"/>
  <c r="I171" i="7" s="1"/>
  <c r="G171" i="7"/>
  <c r="F171" i="7"/>
  <c r="E171" i="7"/>
  <c r="D171" i="7"/>
  <c r="C171" i="7"/>
  <c r="B171" i="7"/>
  <c r="A171" i="7"/>
  <c r="J171" i="7" s="1"/>
  <c r="K170" i="7"/>
  <c r="J170" i="7"/>
  <c r="H170" i="7"/>
  <c r="I170" i="7" s="1"/>
  <c r="G170" i="7"/>
  <c r="F170" i="7"/>
  <c r="E170" i="7"/>
  <c r="D170" i="7"/>
  <c r="C170" i="7"/>
  <c r="B170" i="7"/>
  <c r="A170" i="7"/>
  <c r="K169" i="7"/>
  <c r="I169" i="7"/>
  <c r="H169" i="7"/>
  <c r="G169" i="7"/>
  <c r="F169" i="7"/>
  <c r="E169" i="7"/>
  <c r="D169" i="7"/>
  <c r="C169" i="7"/>
  <c r="B169" i="7"/>
  <c r="A169" i="7"/>
  <c r="J169" i="7" s="1"/>
  <c r="K168" i="7"/>
  <c r="H168" i="7"/>
  <c r="I168" i="7" s="1"/>
  <c r="G168" i="7"/>
  <c r="F168" i="7"/>
  <c r="E168" i="7"/>
  <c r="D168" i="7"/>
  <c r="C168" i="7"/>
  <c r="B168" i="7"/>
  <c r="A168" i="7"/>
  <c r="J168" i="7" s="1"/>
  <c r="K167" i="7"/>
  <c r="H167" i="7"/>
  <c r="I167" i="7" s="1"/>
  <c r="G167" i="7"/>
  <c r="F167" i="7"/>
  <c r="E167" i="7"/>
  <c r="D167" i="7"/>
  <c r="C167" i="7"/>
  <c r="B167" i="7"/>
  <c r="A167" i="7"/>
  <c r="J167" i="7" s="1"/>
  <c r="K166" i="7"/>
  <c r="H166" i="7"/>
  <c r="I166" i="7" s="1"/>
  <c r="G166" i="7"/>
  <c r="F166" i="7"/>
  <c r="E166" i="7"/>
  <c r="D166" i="7"/>
  <c r="C166" i="7"/>
  <c r="B166" i="7"/>
  <c r="A166" i="7"/>
  <c r="J166" i="7" s="1"/>
  <c r="K165" i="7"/>
  <c r="H165" i="7"/>
  <c r="I165" i="7" s="1"/>
  <c r="G165" i="7"/>
  <c r="F165" i="7"/>
  <c r="E165" i="7"/>
  <c r="D165" i="7"/>
  <c r="C165" i="7"/>
  <c r="B165" i="7"/>
  <c r="A165" i="7"/>
  <c r="J165" i="7" s="1"/>
  <c r="K164" i="7"/>
  <c r="H164" i="7"/>
  <c r="I164" i="7" s="1"/>
  <c r="G164" i="7"/>
  <c r="F164" i="7"/>
  <c r="E164" i="7"/>
  <c r="D164" i="7"/>
  <c r="C164" i="7"/>
  <c r="B164" i="7"/>
  <c r="A164" i="7"/>
  <c r="J164" i="7" s="1"/>
  <c r="K163" i="7"/>
  <c r="H163" i="7"/>
  <c r="I163" i="7" s="1"/>
  <c r="G163" i="7"/>
  <c r="F163" i="7"/>
  <c r="E163" i="7"/>
  <c r="D163" i="7"/>
  <c r="C163" i="7"/>
  <c r="B163" i="7"/>
  <c r="A163" i="7"/>
  <c r="J163" i="7" s="1"/>
  <c r="K162" i="7"/>
  <c r="H162" i="7"/>
  <c r="I162" i="7" s="1"/>
  <c r="G162" i="7"/>
  <c r="F162" i="7"/>
  <c r="E162" i="7"/>
  <c r="D162" i="7"/>
  <c r="C162" i="7"/>
  <c r="B162" i="7"/>
  <c r="A162" i="7"/>
  <c r="J162" i="7" s="1"/>
  <c r="K161" i="7"/>
  <c r="H161" i="7"/>
  <c r="I161" i="7" s="1"/>
  <c r="G161" i="7"/>
  <c r="F161" i="7"/>
  <c r="E161" i="7"/>
  <c r="D161" i="7"/>
  <c r="C161" i="7"/>
  <c r="B161" i="7"/>
  <c r="A161" i="7"/>
  <c r="J161" i="7" s="1"/>
  <c r="K160" i="7"/>
  <c r="H160" i="7"/>
  <c r="I160" i="7" s="1"/>
  <c r="G160" i="7"/>
  <c r="F160" i="7"/>
  <c r="E160" i="7"/>
  <c r="D160" i="7"/>
  <c r="C160" i="7"/>
  <c r="B160" i="7"/>
  <c r="A160" i="7"/>
  <c r="J160" i="7" s="1"/>
  <c r="K159" i="7"/>
  <c r="H159" i="7"/>
  <c r="I159" i="7" s="1"/>
  <c r="G159" i="7"/>
  <c r="F159" i="7"/>
  <c r="E159" i="7"/>
  <c r="D159" i="7"/>
  <c r="C159" i="7"/>
  <c r="B159" i="7"/>
  <c r="A159" i="7"/>
  <c r="J159" i="7" s="1"/>
  <c r="K158" i="7"/>
  <c r="H158" i="7"/>
  <c r="I158" i="7" s="1"/>
  <c r="G158" i="7"/>
  <c r="F158" i="7"/>
  <c r="E158" i="7"/>
  <c r="D158" i="7"/>
  <c r="C158" i="7"/>
  <c r="B158" i="7"/>
  <c r="A158" i="7"/>
  <c r="J158" i="7" s="1"/>
  <c r="K157" i="7"/>
  <c r="J157" i="7"/>
  <c r="H157" i="7"/>
  <c r="I157" i="7" s="1"/>
  <c r="G157" i="7"/>
  <c r="F157" i="7"/>
  <c r="E157" i="7"/>
  <c r="D157" i="7"/>
  <c r="C157" i="7"/>
  <c r="B157" i="7"/>
  <c r="A157" i="7"/>
  <c r="K156" i="7"/>
  <c r="J156" i="7"/>
  <c r="H156" i="7"/>
  <c r="I156" i="7" s="1"/>
  <c r="G156" i="7"/>
  <c r="F156" i="7"/>
  <c r="E156" i="7"/>
  <c r="D156" i="7"/>
  <c r="C156" i="7"/>
  <c r="B156" i="7"/>
  <c r="A156" i="7"/>
  <c r="K155" i="7"/>
  <c r="J155" i="7"/>
  <c r="H155" i="7"/>
  <c r="I155" i="7" s="1"/>
  <c r="G155" i="7"/>
  <c r="F155" i="7"/>
  <c r="E155" i="7"/>
  <c r="D155" i="7"/>
  <c r="C155" i="7"/>
  <c r="B155" i="7"/>
  <c r="A155" i="7"/>
  <c r="K154" i="7"/>
  <c r="H154" i="7"/>
  <c r="I154" i="7" s="1"/>
  <c r="G154" i="7"/>
  <c r="F154" i="7"/>
  <c r="E154" i="7"/>
  <c r="D154" i="7"/>
  <c r="C154" i="7"/>
  <c r="B154" i="7"/>
  <c r="A154" i="7"/>
  <c r="J154" i="7" s="1"/>
  <c r="K153" i="7"/>
  <c r="H153" i="7"/>
  <c r="I153" i="7" s="1"/>
  <c r="G153" i="7"/>
  <c r="F153" i="7"/>
  <c r="E153" i="7"/>
  <c r="D153" i="7"/>
  <c r="C153" i="7"/>
  <c r="B153" i="7"/>
  <c r="A153" i="7"/>
  <c r="J153" i="7" s="1"/>
  <c r="K152" i="7"/>
  <c r="H152" i="7"/>
  <c r="I152" i="7" s="1"/>
  <c r="G152" i="7"/>
  <c r="F152" i="7"/>
  <c r="E152" i="7"/>
  <c r="D152" i="7"/>
  <c r="C152" i="7"/>
  <c r="B152" i="7"/>
  <c r="A152" i="7"/>
  <c r="J152" i="7" s="1"/>
  <c r="K151" i="7"/>
  <c r="H151" i="7"/>
  <c r="I151" i="7" s="1"/>
  <c r="G151" i="7"/>
  <c r="F151" i="7"/>
  <c r="E151" i="7"/>
  <c r="D151" i="7"/>
  <c r="C151" i="7"/>
  <c r="B151" i="7"/>
  <c r="A151" i="7"/>
  <c r="J151" i="7" s="1"/>
  <c r="K150" i="7"/>
  <c r="J150" i="7"/>
  <c r="I150" i="7"/>
  <c r="H150" i="7"/>
  <c r="G150" i="7"/>
  <c r="F150" i="7"/>
  <c r="E150" i="7"/>
  <c r="D150" i="7"/>
  <c r="C150" i="7"/>
  <c r="B150" i="7"/>
  <c r="A150" i="7"/>
  <c r="K149" i="7"/>
  <c r="H149" i="7"/>
  <c r="I149" i="7" s="1"/>
  <c r="G149" i="7"/>
  <c r="F149" i="7"/>
  <c r="E149" i="7"/>
  <c r="D149" i="7"/>
  <c r="C149" i="7"/>
  <c r="B149" i="7"/>
  <c r="A149" i="7"/>
  <c r="J149" i="7" s="1"/>
  <c r="K148" i="7"/>
  <c r="H148" i="7"/>
  <c r="I148" i="7" s="1"/>
  <c r="G148" i="7"/>
  <c r="F148" i="7"/>
  <c r="E148" i="7"/>
  <c r="D148" i="7"/>
  <c r="C148" i="7"/>
  <c r="B148" i="7"/>
  <c r="A148" i="7"/>
  <c r="J148" i="7" s="1"/>
  <c r="K147" i="7"/>
  <c r="I147" i="7"/>
  <c r="H147" i="7"/>
  <c r="G147" i="7"/>
  <c r="F147" i="7"/>
  <c r="E147" i="7"/>
  <c r="D147" i="7"/>
  <c r="C147" i="7"/>
  <c r="B147" i="7"/>
  <c r="A147" i="7"/>
  <c r="J147" i="7" s="1"/>
  <c r="K146" i="7"/>
  <c r="H146" i="7"/>
  <c r="I146" i="7" s="1"/>
  <c r="G146" i="7"/>
  <c r="F146" i="7"/>
  <c r="E146" i="7"/>
  <c r="D146" i="7"/>
  <c r="C146" i="7"/>
  <c r="B146" i="7"/>
  <c r="A146" i="7"/>
  <c r="J146" i="7" s="1"/>
  <c r="K145" i="7"/>
  <c r="J145" i="7"/>
  <c r="H145" i="7"/>
  <c r="I145" i="7" s="1"/>
  <c r="G145" i="7"/>
  <c r="F145" i="7"/>
  <c r="E145" i="7"/>
  <c r="D145" i="7"/>
  <c r="C145" i="7"/>
  <c r="B145" i="7"/>
  <c r="A145" i="7"/>
  <c r="K144" i="7"/>
  <c r="H144" i="7"/>
  <c r="I144" i="7" s="1"/>
  <c r="G144" i="7"/>
  <c r="F144" i="7"/>
  <c r="E144" i="7"/>
  <c r="D144" i="7"/>
  <c r="C144" i="7"/>
  <c r="B144" i="7"/>
  <c r="A144" i="7"/>
  <c r="J144" i="7" s="1"/>
  <c r="K143" i="7"/>
  <c r="H143" i="7"/>
  <c r="I143" i="7" s="1"/>
  <c r="G143" i="7"/>
  <c r="F143" i="7"/>
  <c r="E143" i="7"/>
  <c r="D143" i="7"/>
  <c r="C143" i="7"/>
  <c r="B143" i="7"/>
  <c r="A143" i="7"/>
  <c r="J143" i="7" s="1"/>
  <c r="K142" i="7"/>
  <c r="J142" i="7"/>
  <c r="H142" i="7"/>
  <c r="I142" i="7" s="1"/>
  <c r="G142" i="7"/>
  <c r="F142" i="7"/>
  <c r="E142" i="7"/>
  <c r="D142" i="7"/>
  <c r="C142" i="7"/>
  <c r="B142" i="7"/>
  <c r="A142" i="7"/>
  <c r="K141" i="7"/>
  <c r="I141" i="7"/>
  <c r="H141" i="7"/>
  <c r="G141" i="7"/>
  <c r="F141" i="7"/>
  <c r="E141" i="7"/>
  <c r="D141" i="7"/>
  <c r="C141" i="7"/>
  <c r="B141" i="7"/>
  <c r="A141" i="7"/>
  <c r="J141" i="7" s="1"/>
  <c r="K140" i="7"/>
  <c r="J140" i="7"/>
  <c r="H140" i="7"/>
  <c r="I140" i="7" s="1"/>
  <c r="G140" i="7"/>
  <c r="F140" i="7"/>
  <c r="E140" i="7"/>
  <c r="D140" i="7"/>
  <c r="C140" i="7"/>
  <c r="B140" i="7"/>
  <c r="A140" i="7"/>
  <c r="K139" i="7"/>
  <c r="I139" i="7"/>
  <c r="H139" i="7"/>
  <c r="G139" i="7"/>
  <c r="F139" i="7"/>
  <c r="E139" i="7"/>
  <c r="D139" i="7"/>
  <c r="C139" i="7"/>
  <c r="B139" i="7"/>
  <c r="A139" i="7"/>
  <c r="J139" i="7" s="1"/>
  <c r="K138" i="7"/>
  <c r="J138" i="7"/>
  <c r="H138" i="7"/>
  <c r="I138" i="7" s="1"/>
  <c r="G138" i="7"/>
  <c r="F138" i="7"/>
  <c r="E138" i="7"/>
  <c r="D138" i="7"/>
  <c r="C138" i="7"/>
  <c r="B138" i="7"/>
  <c r="A138" i="7"/>
  <c r="K137" i="7"/>
  <c r="H137" i="7"/>
  <c r="I137" i="7" s="1"/>
  <c r="G137" i="7"/>
  <c r="F137" i="7"/>
  <c r="E137" i="7"/>
  <c r="D137" i="7"/>
  <c r="C137" i="7"/>
  <c r="B137" i="7"/>
  <c r="A137" i="7"/>
  <c r="J137" i="7" s="1"/>
  <c r="K136" i="7"/>
  <c r="H136" i="7"/>
  <c r="I136" i="7" s="1"/>
  <c r="G136" i="7"/>
  <c r="F136" i="7"/>
  <c r="E136" i="7"/>
  <c r="D136" i="7"/>
  <c r="C136" i="7"/>
  <c r="B136" i="7"/>
  <c r="A136" i="7"/>
  <c r="J136" i="7" s="1"/>
  <c r="K135" i="7"/>
  <c r="H135" i="7"/>
  <c r="I135" i="7" s="1"/>
  <c r="G135" i="7"/>
  <c r="F135" i="7"/>
  <c r="E135" i="7"/>
  <c r="D135" i="7"/>
  <c r="C135" i="7"/>
  <c r="B135" i="7"/>
  <c r="A135" i="7"/>
  <c r="J135" i="7" s="1"/>
  <c r="K134" i="7"/>
  <c r="J134" i="7"/>
  <c r="I134" i="7"/>
  <c r="H134" i="7"/>
  <c r="G134" i="7"/>
  <c r="F134" i="7"/>
  <c r="E134" i="7"/>
  <c r="D134" i="7"/>
  <c r="C134" i="7"/>
  <c r="B134" i="7"/>
  <c r="A134" i="7"/>
  <c r="K133" i="7"/>
  <c r="J133" i="7"/>
  <c r="I133" i="7"/>
  <c r="H133" i="7"/>
  <c r="G133" i="7"/>
  <c r="F133" i="7"/>
  <c r="E133" i="7"/>
  <c r="D133" i="7"/>
  <c r="C133" i="7"/>
  <c r="B133" i="7"/>
  <c r="A133" i="7"/>
  <c r="K132" i="7"/>
  <c r="H132" i="7"/>
  <c r="I132" i="7" s="1"/>
  <c r="G132" i="7"/>
  <c r="F132" i="7"/>
  <c r="E132" i="7"/>
  <c r="D132" i="7"/>
  <c r="C132" i="7"/>
  <c r="B132" i="7"/>
  <c r="A132" i="7"/>
  <c r="J132" i="7" s="1"/>
  <c r="K131" i="7"/>
  <c r="H131" i="7"/>
  <c r="I131" i="7" s="1"/>
  <c r="G131" i="7"/>
  <c r="F131" i="7"/>
  <c r="E131" i="7"/>
  <c r="D131" i="7"/>
  <c r="C131" i="7"/>
  <c r="B131" i="7"/>
  <c r="A131" i="7"/>
  <c r="J131" i="7" s="1"/>
  <c r="K130" i="7"/>
  <c r="H130" i="7"/>
  <c r="I130" i="7" s="1"/>
  <c r="G130" i="7"/>
  <c r="F130" i="7"/>
  <c r="E130" i="7"/>
  <c r="D130" i="7"/>
  <c r="C130" i="7"/>
  <c r="B130" i="7"/>
  <c r="A130" i="7"/>
  <c r="J130" i="7" s="1"/>
  <c r="K129" i="7"/>
  <c r="J129" i="7"/>
  <c r="H129" i="7"/>
  <c r="I129" i="7" s="1"/>
  <c r="G129" i="7"/>
  <c r="F129" i="7"/>
  <c r="E129" i="7"/>
  <c r="D129" i="7"/>
  <c r="C129" i="7"/>
  <c r="B129" i="7"/>
  <c r="A129" i="7"/>
  <c r="K128" i="7"/>
  <c r="J128" i="7"/>
  <c r="I128" i="7"/>
  <c r="H128" i="7"/>
  <c r="G128" i="7"/>
  <c r="F128" i="7"/>
  <c r="E128" i="7"/>
  <c r="D128" i="7"/>
  <c r="C128" i="7"/>
  <c r="B128" i="7"/>
  <c r="A128" i="7"/>
  <c r="K127" i="7"/>
  <c r="H127" i="7"/>
  <c r="I127" i="7" s="1"/>
  <c r="G127" i="7"/>
  <c r="F127" i="7"/>
  <c r="E127" i="7"/>
  <c r="D127" i="7"/>
  <c r="C127" i="7"/>
  <c r="B127" i="7"/>
  <c r="A127" i="7"/>
  <c r="J127" i="7" s="1"/>
  <c r="K126" i="7"/>
  <c r="J126" i="7"/>
  <c r="H126" i="7"/>
  <c r="I126" i="7" s="1"/>
  <c r="G126" i="7"/>
  <c r="F126" i="7"/>
  <c r="E126" i="7"/>
  <c r="D126" i="7"/>
  <c r="C126" i="7"/>
  <c r="B126" i="7"/>
  <c r="A126" i="7"/>
  <c r="K125" i="7"/>
  <c r="H125" i="7"/>
  <c r="I125" i="7" s="1"/>
  <c r="G125" i="7"/>
  <c r="F125" i="7"/>
  <c r="E125" i="7"/>
  <c r="D125" i="7"/>
  <c r="C125" i="7"/>
  <c r="B125" i="7"/>
  <c r="A125" i="7"/>
  <c r="J125" i="7" s="1"/>
  <c r="K124" i="7"/>
  <c r="H124" i="7"/>
  <c r="I124" i="7" s="1"/>
  <c r="G124" i="7"/>
  <c r="F124" i="7"/>
  <c r="E124" i="7"/>
  <c r="D124" i="7"/>
  <c r="C124" i="7"/>
  <c r="B124" i="7"/>
  <c r="A124" i="7"/>
  <c r="J124" i="7" s="1"/>
  <c r="K123" i="7"/>
  <c r="I123" i="7"/>
  <c r="H123" i="7"/>
  <c r="G123" i="7"/>
  <c r="F123" i="7"/>
  <c r="E123" i="7"/>
  <c r="D123" i="7"/>
  <c r="C123" i="7"/>
  <c r="B123" i="7"/>
  <c r="A123" i="7"/>
  <c r="J123" i="7" s="1"/>
  <c r="K122" i="7"/>
  <c r="J122" i="7"/>
  <c r="H122" i="7"/>
  <c r="I122" i="7" s="1"/>
  <c r="G122" i="7"/>
  <c r="F122" i="7"/>
  <c r="E122" i="7"/>
  <c r="D122" i="7"/>
  <c r="C122" i="7"/>
  <c r="B122" i="7"/>
  <c r="A122" i="7"/>
  <c r="K121" i="7"/>
  <c r="H121" i="7"/>
  <c r="I121" i="7" s="1"/>
  <c r="G121" i="7"/>
  <c r="F121" i="7"/>
  <c r="E121" i="7"/>
  <c r="D121" i="7"/>
  <c r="C121" i="7"/>
  <c r="B121" i="7"/>
  <c r="A121" i="7"/>
  <c r="J121" i="7" s="1"/>
  <c r="K120" i="7"/>
  <c r="J120" i="7"/>
  <c r="H120" i="7"/>
  <c r="I120" i="7" s="1"/>
  <c r="G120" i="7"/>
  <c r="F120" i="7"/>
  <c r="E120" i="7"/>
  <c r="D120" i="7"/>
  <c r="C120" i="7"/>
  <c r="B120" i="7"/>
  <c r="A120" i="7"/>
  <c r="K119" i="7"/>
  <c r="H119" i="7"/>
  <c r="I119" i="7" s="1"/>
  <c r="G119" i="7"/>
  <c r="F119" i="7"/>
  <c r="E119" i="7"/>
  <c r="D119" i="7"/>
  <c r="C119" i="7"/>
  <c r="B119" i="7"/>
  <c r="A119" i="7"/>
  <c r="J119" i="7" s="1"/>
  <c r="K118" i="7"/>
  <c r="H118" i="7"/>
  <c r="I118" i="7" s="1"/>
  <c r="G118" i="7"/>
  <c r="F118" i="7"/>
  <c r="E118" i="7"/>
  <c r="D118" i="7"/>
  <c r="C118" i="7"/>
  <c r="B118" i="7"/>
  <c r="A118" i="7"/>
  <c r="J118" i="7" s="1"/>
  <c r="K117" i="7"/>
  <c r="H117" i="7"/>
  <c r="I117" i="7" s="1"/>
  <c r="G117" i="7"/>
  <c r="F117" i="7"/>
  <c r="E117" i="7"/>
  <c r="D117" i="7"/>
  <c r="C117" i="7"/>
  <c r="B117" i="7"/>
  <c r="A117" i="7"/>
  <c r="J117" i="7" s="1"/>
  <c r="K116" i="7"/>
  <c r="H116" i="7"/>
  <c r="I116" i="7" s="1"/>
  <c r="G116" i="7"/>
  <c r="F116" i="7"/>
  <c r="E116" i="7"/>
  <c r="D116" i="7"/>
  <c r="C116" i="7"/>
  <c r="B116" i="7"/>
  <c r="A116" i="7"/>
  <c r="J116" i="7" s="1"/>
  <c r="K115" i="7"/>
  <c r="J115" i="7"/>
  <c r="H115" i="7"/>
  <c r="I115" i="7" s="1"/>
  <c r="G115" i="7"/>
  <c r="F115" i="7"/>
  <c r="E115" i="7"/>
  <c r="D115" i="7"/>
  <c r="C115" i="7"/>
  <c r="B115" i="7"/>
  <c r="A115" i="7"/>
  <c r="K114" i="7"/>
  <c r="J114" i="7"/>
  <c r="H114" i="7"/>
  <c r="I114" i="7" s="1"/>
  <c r="G114" i="7"/>
  <c r="F114" i="7"/>
  <c r="E114" i="7"/>
  <c r="D114" i="7"/>
  <c r="C114" i="7"/>
  <c r="B114" i="7"/>
  <c r="A114" i="7"/>
  <c r="K113" i="7"/>
  <c r="H113" i="7"/>
  <c r="I113" i="7" s="1"/>
  <c r="G113" i="7"/>
  <c r="F113" i="7"/>
  <c r="E113" i="7"/>
  <c r="D113" i="7"/>
  <c r="C113" i="7"/>
  <c r="B113" i="7"/>
  <c r="A113" i="7"/>
  <c r="J113" i="7" s="1"/>
  <c r="K112" i="7"/>
  <c r="H112" i="7"/>
  <c r="I112" i="7" s="1"/>
  <c r="G112" i="7"/>
  <c r="F112" i="7"/>
  <c r="E112" i="7"/>
  <c r="D112" i="7"/>
  <c r="C112" i="7"/>
  <c r="B112" i="7"/>
  <c r="A112" i="7"/>
  <c r="J112" i="7" s="1"/>
  <c r="K111" i="7"/>
  <c r="H111" i="7"/>
  <c r="I111" i="7" s="1"/>
  <c r="G111" i="7"/>
  <c r="F111" i="7"/>
  <c r="E111" i="7"/>
  <c r="D111" i="7"/>
  <c r="C111" i="7"/>
  <c r="B111" i="7"/>
  <c r="A111" i="7"/>
  <c r="J111" i="7" s="1"/>
  <c r="K110" i="7"/>
  <c r="H110" i="7"/>
  <c r="I110" i="7" s="1"/>
  <c r="G110" i="7"/>
  <c r="F110" i="7"/>
  <c r="E110" i="7"/>
  <c r="D110" i="7"/>
  <c r="C110" i="7"/>
  <c r="B110" i="7"/>
  <c r="A110" i="7"/>
  <c r="J110" i="7" s="1"/>
  <c r="K109" i="7"/>
  <c r="H109" i="7"/>
  <c r="I109" i="7" s="1"/>
  <c r="G109" i="7"/>
  <c r="F109" i="7"/>
  <c r="E109" i="7"/>
  <c r="D109" i="7"/>
  <c r="C109" i="7"/>
  <c r="B109" i="7"/>
  <c r="A109" i="7"/>
  <c r="J109" i="7" s="1"/>
  <c r="K108" i="7"/>
  <c r="H108" i="7"/>
  <c r="I108" i="7" s="1"/>
  <c r="G108" i="7"/>
  <c r="F108" i="7"/>
  <c r="E108" i="7"/>
  <c r="D108" i="7"/>
  <c r="C108" i="7"/>
  <c r="B108" i="7"/>
  <c r="A108" i="7"/>
  <c r="J108" i="7" s="1"/>
  <c r="K107" i="7"/>
  <c r="H107" i="7"/>
  <c r="I107" i="7" s="1"/>
  <c r="G107" i="7"/>
  <c r="F107" i="7"/>
  <c r="E107" i="7"/>
  <c r="D107" i="7"/>
  <c r="C107" i="7"/>
  <c r="B107" i="7"/>
  <c r="A107" i="7"/>
  <c r="J107" i="7" s="1"/>
  <c r="K106" i="7"/>
  <c r="I106" i="7"/>
  <c r="H106" i="7"/>
  <c r="G106" i="7"/>
  <c r="F106" i="7"/>
  <c r="E106" i="7"/>
  <c r="D106" i="7"/>
  <c r="C106" i="7"/>
  <c r="B106" i="7"/>
  <c r="A106" i="7"/>
  <c r="J106" i="7" s="1"/>
  <c r="K105" i="7"/>
  <c r="H105" i="7"/>
  <c r="I105" i="7" s="1"/>
  <c r="G105" i="7"/>
  <c r="F105" i="7"/>
  <c r="E105" i="7"/>
  <c r="D105" i="7"/>
  <c r="C105" i="7"/>
  <c r="B105" i="7"/>
  <c r="A105" i="7"/>
  <c r="J105" i="7" s="1"/>
  <c r="K104" i="7"/>
  <c r="H104" i="7"/>
  <c r="I104" i="7" s="1"/>
  <c r="G104" i="7"/>
  <c r="F104" i="7"/>
  <c r="E104" i="7"/>
  <c r="D104" i="7"/>
  <c r="C104" i="7"/>
  <c r="B104" i="7"/>
  <c r="A104" i="7"/>
  <c r="J104" i="7" s="1"/>
  <c r="K103" i="7"/>
  <c r="H103" i="7"/>
  <c r="I103" i="7" s="1"/>
  <c r="G103" i="7"/>
  <c r="F103" i="7"/>
  <c r="E103" i="7"/>
  <c r="D103" i="7"/>
  <c r="C103" i="7"/>
  <c r="B103" i="7"/>
  <c r="A103" i="7"/>
  <c r="J103" i="7" s="1"/>
  <c r="K102" i="7"/>
  <c r="H102" i="7"/>
  <c r="I102" i="7" s="1"/>
  <c r="G102" i="7"/>
  <c r="F102" i="7"/>
  <c r="E102" i="7"/>
  <c r="D102" i="7"/>
  <c r="C102" i="7"/>
  <c r="B102" i="7"/>
  <c r="A102" i="7"/>
  <c r="J102" i="7" s="1"/>
  <c r="K101" i="7"/>
  <c r="J101" i="7"/>
  <c r="H101" i="7"/>
  <c r="I101" i="7" s="1"/>
  <c r="G101" i="7"/>
  <c r="F101" i="7"/>
  <c r="E101" i="7"/>
  <c r="D101" i="7"/>
  <c r="C101" i="7"/>
  <c r="B101" i="7"/>
  <c r="A101" i="7"/>
  <c r="K100" i="7"/>
  <c r="J100" i="7"/>
  <c r="H100" i="7"/>
  <c r="I100" i="7" s="1"/>
  <c r="G100" i="7"/>
  <c r="F100" i="7"/>
  <c r="E100" i="7"/>
  <c r="D100" i="7"/>
  <c r="C100" i="7"/>
  <c r="B100" i="7"/>
  <c r="A100" i="7"/>
  <c r="K99" i="7"/>
  <c r="J99" i="7"/>
  <c r="H99" i="7"/>
  <c r="I99" i="7" s="1"/>
  <c r="G99" i="7"/>
  <c r="F99" i="7"/>
  <c r="E99" i="7"/>
  <c r="D99" i="7"/>
  <c r="C99" i="7"/>
  <c r="B99" i="7"/>
  <c r="A99" i="7"/>
  <c r="K98" i="7"/>
  <c r="H98" i="7"/>
  <c r="I98" i="7" s="1"/>
  <c r="G98" i="7"/>
  <c r="F98" i="7"/>
  <c r="E98" i="7"/>
  <c r="D98" i="7"/>
  <c r="C98" i="7"/>
  <c r="B98" i="7"/>
  <c r="A98" i="7"/>
  <c r="J98" i="7" s="1"/>
  <c r="K97" i="7"/>
  <c r="I97" i="7"/>
  <c r="H97" i="7"/>
  <c r="G97" i="7"/>
  <c r="F97" i="7"/>
  <c r="E97" i="7"/>
  <c r="D97" i="7"/>
  <c r="C97" i="7"/>
  <c r="B97" i="7"/>
  <c r="A97" i="7"/>
  <c r="J97" i="7" s="1"/>
  <c r="K96" i="7"/>
  <c r="H96" i="7"/>
  <c r="I96" i="7" s="1"/>
  <c r="G96" i="7"/>
  <c r="F96" i="7"/>
  <c r="E96" i="7"/>
  <c r="D96" i="7"/>
  <c r="C96" i="7"/>
  <c r="B96" i="7"/>
  <c r="A96" i="7"/>
  <c r="J96" i="7" s="1"/>
  <c r="K95" i="7"/>
  <c r="J95" i="7"/>
  <c r="I95" i="7"/>
  <c r="H95" i="7"/>
  <c r="G95" i="7"/>
  <c r="F95" i="7"/>
  <c r="E95" i="7"/>
  <c r="D95" i="7"/>
  <c r="C95" i="7"/>
  <c r="B95" i="7"/>
  <c r="A95" i="7"/>
  <c r="K94" i="7"/>
  <c r="H94" i="7"/>
  <c r="I94" i="7" s="1"/>
  <c r="G94" i="7"/>
  <c r="F94" i="7"/>
  <c r="E94" i="7"/>
  <c r="D94" i="7"/>
  <c r="C94" i="7"/>
  <c r="B94" i="7"/>
  <c r="A94" i="7"/>
  <c r="J94" i="7" s="1"/>
  <c r="K93" i="7"/>
  <c r="H93" i="7"/>
  <c r="I93" i="7" s="1"/>
  <c r="G93" i="7"/>
  <c r="F93" i="7"/>
  <c r="E93" i="7"/>
  <c r="D93" i="7"/>
  <c r="C93" i="7"/>
  <c r="B93" i="7"/>
  <c r="A93" i="7"/>
  <c r="J93" i="7" s="1"/>
  <c r="K92" i="7"/>
  <c r="H92" i="7"/>
  <c r="I92" i="7" s="1"/>
  <c r="G92" i="7"/>
  <c r="F92" i="7"/>
  <c r="E92" i="7"/>
  <c r="D92" i="7"/>
  <c r="C92" i="7"/>
  <c r="B92" i="7"/>
  <c r="A92" i="7"/>
  <c r="J92" i="7" s="1"/>
  <c r="K91" i="7"/>
  <c r="H91" i="7"/>
  <c r="I91" i="7" s="1"/>
  <c r="G91" i="7"/>
  <c r="F91" i="7"/>
  <c r="E91" i="7"/>
  <c r="D91" i="7"/>
  <c r="C91" i="7"/>
  <c r="B91" i="7"/>
  <c r="A91" i="7"/>
  <c r="J91" i="7" s="1"/>
  <c r="K90" i="7"/>
  <c r="J90" i="7"/>
  <c r="H90" i="7"/>
  <c r="I90" i="7" s="1"/>
  <c r="G90" i="7"/>
  <c r="F90" i="7"/>
  <c r="E90" i="7"/>
  <c r="D90" i="7"/>
  <c r="C90" i="7"/>
  <c r="B90" i="7"/>
  <c r="A90" i="7"/>
  <c r="K89" i="7"/>
  <c r="J89" i="7"/>
  <c r="H89" i="7"/>
  <c r="I89" i="7" s="1"/>
  <c r="G89" i="7"/>
  <c r="F89" i="7"/>
  <c r="E89" i="7"/>
  <c r="D89" i="7"/>
  <c r="C89" i="7"/>
  <c r="B89" i="7"/>
  <c r="A89" i="7"/>
  <c r="K88" i="7"/>
  <c r="J88" i="7"/>
  <c r="H88" i="7"/>
  <c r="I88" i="7" s="1"/>
  <c r="G88" i="7"/>
  <c r="F88" i="7"/>
  <c r="E88" i="7"/>
  <c r="D88" i="7"/>
  <c r="C88" i="7"/>
  <c r="B88" i="7"/>
  <c r="A88" i="7"/>
  <c r="K87" i="7"/>
  <c r="J87" i="7"/>
  <c r="H87" i="7"/>
  <c r="I87" i="7" s="1"/>
  <c r="G87" i="7"/>
  <c r="F87" i="7"/>
  <c r="E87" i="7"/>
  <c r="D87" i="7"/>
  <c r="C87" i="7"/>
  <c r="B87" i="7"/>
  <c r="A87" i="7"/>
  <c r="K86" i="7"/>
  <c r="H86" i="7"/>
  <c r="I86" i="7" s="1"/>
  <c r="G86" i="7"/>
  <c r="F86" i="7"/>
  <c r="E86" i="7"/>
  <c r="D86" i="7"/>
  <c r="C86" i="7"/>
  <c r="B86" i="7"/>
  <c r="A86" i="7"/>
  <c r="J86" i="7" s="1"/>
  <c r="K85" i="7"/>
  <c r="I85" i="7"/>
  <c r="H85" i="7"/>
  <c r="G85" i="7"/>
  <c r="F85" i="7"/>
  <c r="E85" i="7"/>
  <c r="D85" i="7"/>
  <c r="C85" i="7"/>
  <c r="B85" i="7"/>
  <c r="A85" i="7"/>
  <c r="J85" i="7" s="1"/>
  <c r="K84" i="7"/>
  <c r="H84" i="7"/>
  <c r="I84" i="7" s="1"/>
  <c r="G84" i="7"/>
  <c r="F84" i="7"/>
  <c r="E84" i="7"/>
  <c r="D84" i="7"/>
  <c r="C84" i="7"/>
  <c r="B84" i="7"/>
  <c r="A84" i="7"/>
  <c r="J84" i="7" s="1"/>
  <c r="K83" i="7"/>
  <c r="I83" i="7"/>
  <c r="H83" i="7"/>
  <c r="G83" i="7"/>
  <c r="F83" i="7"/>
  <c r="E83" i="7"/>
  <c r="D83" i="7"/>
  <c r="C83" i="7"/>
  <c r="B83" i="7"/>
  <c r="A83" i="7"/>
  <c r="J83" i="7" s="1"/>
  <c r="K82" i="7"/>
  <c r="I82" i="7"/>
  <c r="H82" i="7"/>
  <c r="G82" i="7"/>
  <c r="F82" i="7"/>
  <c r="E82" i="7"/>
  <c r="D82" i="7"/>
  <c r="C82" i="7"/>
  <c r="B82" i="7"/>
  <c r="A82" i="7"/>
  <c r="J82" i="7" s="1"/>
  <c r="K81" i="7"/>
  <c r="H81" i="7"/>
  <c r="I81" i="7" s="1"/>
  <c r="G81" i="7"/>
  <c r="F81" i="7"/>
  <c r="E81" i="7"/>
  <c r="D81" i="7"/>
  <c r="C81" i="7"/>
  <c r="B81" i="7"/>
  <c r="A81" i="7"/>
  <c r="J81" i="7" s="1"/>
  <c r="K80" i="7"/>
  <c r="H80" i="7"/>
  <c r="I80" i="7" s="1"/>
  <c r="G80" i="7"/>
  <c r="F80" i="7"/>
  <c r="E80" i="7"/>
  <c r="D80" i="7"/>
  <c r="C80" i="7"/>
  <c r="B80" i="7"/>
  <c r="A80" i="7"/>
  <c r="J80" i="7" s="1"/>
  <c r="K79" i="7"/>
  <c r="H79" i="7"/>
  <c r="I79" i="7" s="1"/>
  <c r="G79" i="7"/>
  <c r="F79" i="7"/>
  <c r="E79" i="7"/>
  <c r="D79" i="7"/>
  <c r="C79" i="7"/>
  <c r="B79" i="7"/>
  <c r="A79" i="7"/>
  <c r="J79" i="7" s="1"/>
  <c r="K78" i="7"/>
  <c r="H78" i="7"/>
  <c r="I78" i="7" s="1"/>
  <c r="G78" i="7"/>
  <c r="F78" i="7"/>
  <c r="E78" i="7"/>
  <c r="D78" i="7"/>
  <c r="C78" i="7"/>
  <c r="B78" i="7"/>
  <c r="A78" i="7"/>
  <c r="J78" i="7" s="1"/>
  <c r="K77" i="7"/>
  <c r="J77" i="7"/>
  <c r="I77" i="7"/>
  <c r="H77" i="7"/>
  <c r="G77" i="7"/>
  <c r="F77" i="7"/>
  <c r="E77" i="7"/>
  <c r="D77" i="7"/>
  <c r="C77" i="7"/>
  <c r="B77" i="7"/>
  <c r="A77" i="7"/>
  <c r="K76" i="7"/>
  <c r="J76" i="7"/>
  <c r="H76" i="7"/>
  <c r="I76" i="7" s="1"/>
  <c r="G76" i="7"/>
  <c r="F76" i="7"/>
  <c r="E76" i="7"/>
  <c r="D76" i="7"/>
  <c r="C76" i="7"/>
  <c r="B76" i="7"/>
  <c r="A76" i="7"/>
  <c r="K75" i="7"/>
  <c r="J75" i="7"/>
  <c r="H75" i="7"/>
  <c r="I75" i="7" s="1"/>
  <c r="G75" i="7"/>
  <c r="F75" i="7"/>
  <c r="E75" i="7"/>
  <c r="D75" i="7"/>
  <c r="C75" i="7"/>
  <c r="B75" i="7"/>
  <c r="A75" i="7"/>
  <c r="K74" i="7"/>
  <c r="H74" i="7"/>
  <c r="I74" i="7" s="1"/>
  <c r="G74" i="7"/>
  <c r="F74" i="7"/>
  <c r="E74" i="7"/>
  <c r="D74" i="7"/>
  <c r="C74" i="7"/>
  <c r="B74" i="7"/>
  <c r="A74" i="7"/>
  <c r="J74" i="7" s="1"/>
  <c r="K73" i="7"/>
  <c r="H73" i="7"/>
  <c r="I73" i="7" s="1"/>
  <c r="G73" i="7"/>
  <c r="F73" i="7"/>
  <c r="E73" i="7"/>
  <c r="D73" i="7"/>
  <c r="C73" i="7"/>
  <c r="B73" i="7"/>
  <c r="A73" i="7"/>
  <c r="J73" i="7" s="1"/>
  <c r="K72" i="7"/>
  <c r="H72" i="7"/>
  <c r="I72" i="7" s="1"/>
  <c r="G72" i="7"/>
  <c r="F72" i="7"/>
  <c r="E72" i="7"/>
  <c r="D72" i="7"/>
  <c r="C72" i="7"/>
  <c r="B72" i="7"/>
  <c r="A72" i="7"/>
  <c r="J72" i="7" s="1"/>
  <c r="K71" i="7"/>
  <c r="J71" i="7"/>
  <c r="I71" i="7"/>
  <c r="H71" i="7"/>
  <c r="G71" i="7"/>
  <c r="F71" i="7"/>
  <c r="E71" i="7"/>
  <c r="D71" i="7"/>
  <c r="C71" i="7"/>
  <c r="B71" i="7"/>
  <c r="A71" i="7"/>
  <c r="K70" i="7"/>
  <c r="H70" i="7"/>
  <c r="I70" i="7" s="1"/>
  <c r="G70" i="7"/>
  <c r="F70" i="7"/>
  <c r="E70" i="7"/>
  <c r="D70" i="7"/>
  <c r="C70" i="7"/>
  <c r="B70" i="7"/>
  <c r="A70" i="7"/>
  <c r="J70" i="7" s="1"/>
  <c r="K69" i="7"/>
  <c r="H69" i="7"/>
  <c r="I69" i="7" s="1"/>
  <c r="G69" i="7"/>
  <c r="F69" i="7"/>
  <c r="E69" i="7"/>
  <c r="D69" i="7"/>
  <c r="C69" i="7"/>
  <c r="B69" i="7"/>
  <c r="A69" i="7"/>
  <c r="J69" i="7" s="1"/>
  <c r="K68" i="7"/>
  <c r="H68" i="7"/>
  <c r="I68" i="7" s="1"/>
  <c r="G68" i="7"/>
  <c r="F68" i="7"/>
  <c r="E68" i="7"/>
  <c r="D68" i="7"/>
  <c r="C68" i="7"/>
  <c r="B68" i="7"/>
  <c r="A68" i="7"/>
  <c r="J68" i="7" s="1"/>
  <c r="K67" i="7"/>
  <c r="H67" i="7"/>
  <c r="I67" i="7" s="1"/>
  <c r="G67" i="7"/>
  <c r="F67" i="7"/>
  <c r="E67" i="7"/>
  <c r="D67" i="7"/>
  <c r="C67" i="7"/>
  <c r="B67" i="7"/>
  <c r="A67" i="7"/>
  <c r="J67" i="7" s="1"/>
  <c r="K66" i="7"/>
  <c r="J66" i="7"/>
  <c r="H66" i="7"/>
  <c r="I66" i="7" s="1"/>
  <c r="G66" i="7"/>
  <c r="F66" i="7"/>
  <c r="E66" i="7"/>
  <c r="D66" i="7"/>
  <c r="C66" i="7"/>
  <c r="B66" i="7"/>
  <c r="A66" i="7"/>
  <c r="K65" i="7"/>
  <c r="J65" i="7"/>
  <c r="H65" i="7"/>
  <c r="I65" i="7" s="1"/>
  <c r="G65" i="7"/>
  <c r="F65" i="7"/>
  <c r="E65" i="7"/>
  <c r="D65" i="7"/>
  <c r="C65" i="7"/>
  <c r="B65" i="7"/>
  <c r="A65" i="7"/>
  <c r="K64" i="7"/>
  <c r="H64" i="7"/>
  <c r="I64" i="7" s="1"/>
  <c r="G64" i="7"/>
  <c r="F64" i="7"/>
  <c r="E64" i="7"/>
  <c r="D64" i="7"/>
  <c r="C64" i="7"/>
  <c r="B64" i="7"/>
  <c r="A64" i="7"/>
  <c r="J64" i="7" s="1"/>
  <c r="K63" i="7"/>
  <c r="J63" i="7"/>
  <c r="H63" i="7"/>
  <c r="I63" i="7" s="1"/>
  <c r="G63" i="7"/>
  <c r="F63" i="7"/>
  <c r="E63" i="7"/>
  <c r="D63" i="7"/>
  <c r="C63" i="7"/>
  <c r="B63" i="7"/>
  <c r="A63" i="7"/>
  <c r="K62" i="7"/>
  <c r="H62" i="7"/>
  <c r="I62" i="7" s="1"/>
  <c r="G62" i="7"/>
  <c r="F62" i="7"/>
  <c r="E62" i="7"/>
  <c r="D62" i="7"/>
  <c r="C62" i="7"/>
  <c r="B62" i="7"/>
  <c r="A62" i="7"/>
  <c r="J62" i="7" s="1"/>
  <c r="K61" i="7"/>
  <c r="H61" i="7"/>
  <c r="I61" i="7" s="1"/>
  <c r="G61" i="7"/>
  <c r="F61" i="7"/>
  <c r="E61" i="7"/>
  <c r="D61" i="7"/>
  <c r="C61" i="7"/>
  <c r="B61" i="7"/>
  <c r="A61" i="7"/>
  <c r="J61" i="7" s="1"/>
  <c r="K60" i="7"/>
  <c r="H60" i="7"/>
  <c r="I60" i="7" s="1"/>
  <c r="G60" i="7"/>
  <c r="F60" i="7"/>
  <c r="E60" i="7"/>
  <c r="D60" i="7"/>
  <c r="C60" i="7"/>
  <c r="B60" i="7"/>
  <c r="A60" i="7"/>
  <c r="J60" i="7" s="1"/>
  <c r="K59" i="7"/>
  <c r="I59" i="7"/>
  <c r="H59" i="7"/>
  <c r="G59" i="7"/>
  <c r="F59" i="7"/>
  <c r="E59" i="7"/>
  <c r="D59" i="7"/>
  <c r="C59" i="7"/>
  <c r="B59" i="7"/>
  <c r="A59" i="7"/>
  <c r="J59" i="7" s="1"/>
  <c r="K58" i="7"/>
  <c r="H58" i="7"/>
  <c r="I58" i="7" s="1"/>
  <c r="G58" i="7"/>
  <c r="F58" i="7"/>
  <c r="E58" i="7"/>
  <c r="D58" i="7"/>
  <c r="C58" i="7"/>
  <c r="B58" i="7"/>
  <c r="A58" i="7"/>
  <c r="J58" i="7" s="1"/>
  <c r="K57" i="7"/>
  <c r="H57" i="7"/>
  <c r="I57" i="7" s="1"/>
  <c r="G57" i="7"/>
  <c r="F57" i="7"/>
  <c r="E57" i="7"/>
  <c r="D57" i="7"/>
  <c r="C57" i="7"/>
  <c r="B57" i="7"/>
  <c r="A57" i="7"/>
  <c r="J57" i="7" s="1"/>
  <c r="K56" i="7"/>
  <c r="H56" i="7"/>
  <c r="I56" i="7" s="1"/>
  <c r="G56" i="7"/>
  <c r="F56" i="7"/>
  <c r="E56" i="7"/>
  <c r="D56" i="7"/>
  <c r="C56" i="7"/>
  <c r="B56" i="7"/>
  <c r="A56" i="7"/>
  <c r="J56" i="7" s="1"/>
  <c r="K55" i="7"/>
  <c r="H55" i="7"/>
  <c r="I55" i="7" s="1"/>
  <c r="G55" i="7"/>
  <c r="F55" i="7"/>
  <c r="E55" i="7"/>
  <c r="D55" i="7"/>
  <c r="C55" i="7"/>
  <c r="B55" i="7"/>
  <c r="A55" i="7"/>
  <c r="J55" i="7" s="1"/>
  <c r="K54" i="7"/>
  <c r="H54" i="7"/>
  <c r="I54" i="7" s="1"/>
  <c r="G54" i="7"/>
  <c r="F54" i="7"/>
  <c r="E54" i="7"/>
  <c r="D54" i="7"/>
  <c r="C54" i="7"/>
  <c r="B54" i="7"/>
  <c r="A54" i="7"/>
  <c r="J54" i="7" s="1"/>
  <c r="K53" i="7"/>
  <c r="J53" i="7"/>
  <c r="H53" i="7"/>
  <c r="I53" i="7" s="1"/>
  <c r="G53" i="7"/>
  <c r="F53" i="7"/>
  <c r="E53" i="7"/>
  <c r="D53" i="7"/>
  <c r="C53" i="7"/>
  <c r="B53" i="7"/>
  <c r="A53" i="7"/>
  <c r="K52" i="7"/>
  <c r="J52" i="7"/>
  <c r="H52" i="7"/>
  <c r="I52" i="7" s="1"/>
  <c r="G52" i="7"/>
  <c r="F52" i="7"/>
  <c r="E52" i="7"/>
  <c r="D52" i="7"/>
  <c r="C52" i="7"/>
  <c r="B52" i="7"/>
  <c r="A52" i="7"/>
  <c r="K51" i="7"/>
  <c r="J51" i="7"/>
  <c r="H51" i="7"/>
  <c r="I51" i="7" s="1"/>
  <c r="G51" i="7"/>
  <c r="F51" i="7"/>
  <c r="E51" i="7"/>
  <c r="D51" i="7"/>
  <c r="C51" i="7"/>
  <c r="B51" i="7"/>
  <c r="A51" i="7"/>
  <c r="K50" i="7"/>
  <c r="I50" i="7"/>
  <c r="H50" i="7"/>
  <c r="G50" i="7"/>
  <c r="F50" i="7"/>
  <c r="E50" i="7"/>
  <c r="D50" i="7"/>
  <c r="C50" i="7"/>
  <c r="B50" i="7"/>
  <c r="A50" i="7"/>
  <c r="J50" i="7" s="1"/>
  <c r="K49" i="7"/>
  <c r="H49" i="7"/>
  <c r="I49" i="7" s="1"/>
  <c r="G49" i="7"/>
  <c r="F49" i="7"/>
  <c r="E49" i="7"/>
  <c r="D49" i="7"/>
  <c r="C49" i="7"/>
  <c r="B49" i="7"/>
  <c r="A49" i="7"/>
  <c r="J49" i="7" s="1"/>
  <c r="K48" i="7"/>
  <c r="H48" i="7"/>
  <c r="I48" i="7" s="1"/>
  <c r="G48" i="7"/>
  <c r="F48" i="7"/>
  <c r="E48" i="7"/>
  <c r="D48" i="7"/>
  <c r="C48" i="7"/>
  <c r="B48" i="7"/>
  <c r="A48" i="7"/>
  <c r="J48" i="7" s="1"/>
  <c r="K47" i="7"/>
  <c r="J47" i="7"/>
  <c r="H47" i="7"/>
  <c r="I47" i="7" s="1"/>
  <c r="G47" i="7"/>
  <c r="F47" i="7"/>
  <c r="E47" i="7"/>
  <c r="D47" i="7"/>
  <c r="C47" i="7"/>
  <c r="B47" i="7"/>
  <c r="A47" i="7"/>
  <c r="K46" i="7"/>
  <c r="H46" i="7"/>
  <c r="I46" i="7" s="1"/>
  <c r="G46" i="7"/>
  <c r="F46" i="7"/>
  <c r="E46" i="7"/>
  <c r="D46" i="7"/>
  <c r="C46" i="7"/>
  <c r="B46" i="7"/>
  <c r="A46" i="7"/>
  <c r="J46" i="7" s="1"/>
  <c r="K45" i="7"/>
  <c r="H45" i="7"/>
  <c r="I45" i="7" s="1"/>
  <c r="G45" i="7"/>
  <c r="F45" i="7"/>
  <c r="E45" i="7"/>
  <c r="D45" i="7"/>
  <c r="C45" i="7"/>
  <c r="B45" i="7"/>
  <c r="A45" i="7"/>
  <c r="J45" i="7" s="1"/>
  <c r="K44" i="7"/>
  <c r="H44" i="7"/>
  <c r="I44" i="7" s="1"/>
  <c r="G44" i="7"/>
  <c r="F44" i="7"/>
  <c r="E44" i="7"/>
  <c r="D44" i="7"/>
  <c r="C44" i="7"/>
  <c r="B44" i="7"/>
  <c r="A44" i="7"/>
  <c r="J44" i="7" s="1"/>
  <c r="K43" i="7"/>
  <c r="H43" i="7"/>
  <c r="I43" i="7" s="1"/>
  <c r="G43" i="7"/>
  <c r="F43" i="7"/>
  <c r="E43" i="7"/>
  <c r="D43" i="7"/>
  <c r="C43" i="7"/>
  <c r="B43" i="7"/>
  <c r="A43" i="7"/>
  <c r="J43" i="7" s="1"/>
  <c r="K42" i="7"/>
  <c r="J42" i="7"/>
  <c r="I42" i="7"/>
  <c r="H42" i="7"/>
  <c r="G42" i="7"/>
  <c r="F42" i="7"/>
  <c r="E42" i="7"/>
  <c r="D42" i="7"/>
  <c r="C42" i="7"/>
  <c r="B42" i="7"/>
  <c r="A42" i="7"/>
  <c r="K41" i="7"/>
  <c r="J41" i="7"/>
  <c r="H41" i="7"/>
  <c r="I41" i="7" s="1"/>
  <c r="G41" i="7"/>
  <c r="F41" i="7"/>
  <c r="E41" i="7"/>
  <c r="D41" i="7"/>
  <c r="C41" i="7"/>
  <c r="B41" i="7"/>
  <c r="A41" i="7"/>
  <c r="K40" i="7"/>
  <c r="J40" i="7"/>
  <c r="H40" i="7"/>
  <c r="I40" i="7" s="1"/>
  <c r="G40" i="7"/>
  <c r="F40" i="7"/>
  <c r="E40" i="7"/>
  <c r="D40" i="7"/>
  <c r="C40" i="7"/>
  <c r="B40" i="7"/>
  <c r="A40" i="7"/>
  <c r="K39" i="7"/>
  <c r="H39" i="7"/>
  <c r="I39" i="7" s="1"/>
  <c r="G39" i="7"/>
  <c r="F39" i="7"/>
  <c r="E39" i="7"/>
  <c r="D39" i="7"/>
  <c r="C39" i="7"/>
  <c r="B39" i="7"/>
  <c r="A39" i="7"/>
  <c r="J39" i="7" s="1"/>
  <c r="K38" i="7"/>
  <c r="H38" i="7"/>
  <c r="I38" i="7" s="1"/>
  <c r="G38" i="7"/>
  <c r="F38" i="7"/>
  <c r="E38" i="7"/>
  <c r="D38" i="7"/>
  <c r="C38" i="7"/>
  <c r="B38" i="7"/>
  <c r="A38" i="7"/>
  <c r="J38" i="7" s="1"/>
  <c r="K37" i="7"/>
  <c r="H37" i="7"/>
  <c r="I37" i="7" s="1"/>
  <c r="G37" i="7"/>
  <c r="F37" i="7"/>
  <c r="E37" i="7"/>
  <c r="D37" i="7"/>
  <c r="C37" i="7"/>
  <c r="B37" i="7"/>
  <c r="A37" i="7"/>
  <c r="J37" i="7" s="1"/>
  <c r="K36" i="7"/>
  <c r="I36" i="7"/>
  <c r="H36" i="7"/>
  <c r="G36" i="7"/>
  <c r="F36" i="7"/>
  <c r="E36" i="7"/>
  <c r="D36" i="7"/>
  <c r="C36" i="7"/>
  <c r="B36" i="7"/>
  <c r="A36" i="7"/>
  <c r="J36" i="7" s="1"/>
  <c r="K35" i="7"/>
  <c r="J35" i="7"/>
  <c r="H35" i="7"/>
  <c r="I35" i="7" s="1"/>
  <c r="G35" i="7"/>
  <c r="F35" i="7"/>
  <c r="E35" i="7"/>
  <c r="D35" i="7"/>
  <c r="C35" i="7"/>
  <c r="B35" i="7"/>
  <c r="A35" i="7"/>
  <c r="K34" i="7"/>
  <c r="H34" i="7"/>
  <c r="I34" i="7" s="1"/>
  <c r="G34" i="7"/>
  <c r="F34" i="7"/>
  <c r="E34" i="7"/>
  <c r="D34" i="7"/>
  <c r="C34" i="7"/>
  <c r="B34" i="7"/>
  <c r="A34" i="7"/>
  <c r="J34" i="7" s="1"/>
  <c r="K33" i="7"/>
  <c r="H33" i="7"/>
  <c r="I33" i="7" s="1"/>
  <c r="G33" i="7"/>
  <c r="F33" i="7"/>
  <c r="E33" i="7"/>
  <c r="D33" i="7"/>
  <c r="C33" i="7"/>
  <c r="B33" i="7"/>
  <c r="A33" i="7"/>
  <c r="J33" i="7" s="1"/>
  <c r="K32" i="7"/>
  <c r="H32" i="7"/>
  <c r="I32" i="7" s="1"/>
  <c r="G32" i="7"/>
  <c r="F32" i="7"/>
  <c r="E32" i="7"/>
  <c r="D32" i="7"/>
  <c r="C32" i="7"/>
  <c r="B32" i="7"/>
  <c r="A32" i="7"/>
  <c r="J32" i="7" s="1"/>
  <c r="K31" i="7"/>
  <c r="H31" i="7"/>
  <c r="I31" i="7" s="1"/>
  <c r="G31" i="7"/>
  <c r="F31" i="7"/>
  <c r="E31" i="7"/>
  <c r="D31" i="7"/>
  <c r="C31" i="7"/>
  <c r="B31" i="7"/>
  <c r="A31" i="7"/>
  <c r="J31" i="7" s="1"/>
  <c r="K30" i="7"/>
  <c r="J30" i="7"/>
  <c r="H30" i="7"/>
  <c r="I30" i="7" s="1"/>
  <c r="G30" i="7"/>
  <c r="F30" i="7"/>
  <c r="E30" i="7"/>
  <c r="D30" i="7"/>
  <c r="C30" i="7"/>
  <c r="B30" i="7"/>
  <c r="A30" i="7"/>
  <c r="K29" i="7"/>
  <c r="J29" i="7"/>
  <c r="H29" i="7"/>
  <c r="I29" i="7" s="1"/>
  <c r="G29" i="7"/>
  <c r="F29" i="7"/>
  <c r="E29" i="7"/>
  <c r="D29" i="7"/>
  <c r="C29" i="7"/>
  <c r="B29" i="7"/>
  <c r="A29" i="7"/>
  <c r="K28" i="7"/>
  <c r="J28" i="7"/>
  <c r="I28" i="7"/>
  <c r="H28" i="7"/>
  <c r="G28" i="7"/>
  <c r="F28" i="7"/>
  <c r="E28" i="7"/>
  <c r="D28" i="7"/>
  <c r="C28" i="7"/>
  <c r="B28" i="7"/>
  <c r="A28" i="7"/>
  <c r="K27" i="7"/>
  <c r="J27" i="7"/>
  <c r="H27" i="7"/>
  <c r="I27" i="7" s="1"/>
  <c r="G27" i="7"/>
  <c r="F27" i="7"/>
  <c r="E27" i="7"/>
  <c r="D27" i="7"/>
  <c r="C27" i="7"/>
  <c r="B27" i="7"/>
  <c r="A27" i="7"/>
  <c r="K26" i="7"/>
  <c r="H26" i="7"/>
  <c r="I26" i="7" s="1"/>
  <c r="G26" i="7"/>
  <c r="F26" i="7"/>
  <c r="E26" i="7"/>
  <c r="D26" i="7"/>
  <c r="C26" i="7"/>
  <c r="B26" i="7"/>
  <c r="A26" i="7"/>
  <c r="J26" i="7" s="1"/>
  <c r="K25" i="7"/>
  <c r="H25" i="7"/>
  <c r="I25" i="7" s="1"/>
  <c r="G25" i="7"/>
  <c r="F25" i="7"/>
  <c r="E25" i="7"/>
  <c r="D25" i="7"/>
  <c r="C25" i="7"/>
  <c r="B25" i="7"/>
  <c r="A25" i="7"/>
  <c r="J25" i="7" s="1"/>
  <c r="K24" i="7"/>
  <c r="J24" i="7"/>
  <c r="H24" i="7"/>
  <c r="I24" i="7" s="1"/>
  <c r="G24" i="7"/>
  <c r="F24" i="7"/>
  <c r="E24" i="7"/>
  <c r="D24" i="7"/>
  <c r="C24" i="7"/>
  <c r="B24" i="7"/>
  <c r="A24" i="7"/>
  <c r="K23" i="7"/>
  <c r="I23" i="7"/>
  <c r="H23" i="7"/>
  <c r="G23" i="7"/>
  <c r="F23" i="7"/>
  <c r="E23" i="7"/>
  <c r="D23" i="7"/>
  <c r="C23" i="7"/>
  <c r="B23" i="7"/>
  <c r="A23" i="7"/>
  <c r="J23" i="7" s="1"/>
  <c r="K22" i="7"/>
  <c r="I22" i="7"/>
  <c r="H22" i="7"/>
  <c r="G22" i="7"/>
  <c r="F22" i="7"/>
  <c r="E22" i="7"/>
  <c r="D22" i="7"/>
  <c r="C22" i="7"/>
  <c r="B22" i="7"/>
  <c r="A22" i="7"/>
  <c r="J22" i="7" s="1"/>
  <c r="K21" i="7"/>
  <c r="H21" i="7"/>
  <c r="I21" i="7" s="1"/>
  <c r="G21" i="7"/>
  <c r="F21" i="7"/>
  <c r="E21" i="7"/>
  <c r="D21" i="7"/>
  <c r="C21" i="7"/>
  <c r="B21" i="7"/>
  <c r="A21" i="7"/>
  <c r="J21" i="7" s="1"/>
  <c r="K20" i="7"/>
  <c r="H20" i="7"/>
  <c r="I20" i="7" s="1"/>
  <c r="G20" i="7"/>
  <c r="F20" i="7"/>
  <c r="E20" i="7"/>
  <c r="D20" i="7"/>
  <c r="C20" i="7"/>
  <c r="B20" i="7"/>
  <c r="A20" i="7"/>
  <c r="J20" i="7" s="1"/>
  <c r="K19" i="7"/>
  <c r="H19" i="7"/>
  <c r="I19" i="7" s="1"/>
  <c r="G19" i="7"/>
  <c r="F19" i="7"/>
  <c r="E19" i="7"/>
  <c r="D19" i="7"/>
  <c r="C19" i="7"/>
  <c r="B19" i="7"/>
  <c r="A19" i="7"/>
  <c r="J19" i="7" s="1"/>
  <c r="K18" i="7"/>
  <c r="I18" i="7"/>
  <c r="H18" i="7"/>
  <c r="G18" i="7"/>
  <c r="F18" i="7"/>
  <c r="E18" i="7"/>
  <c r="D18" i="7"/>
  <c r="C18" i="7"/>
  <c r="B18" i="7"/>
  <c r="A18" i="7"/>
  <c r="J18" i="7" s="1"/>
  <c r="K17" i="7"/>
  <c r="J17" i="7"/>
  <c r="H17" i="7"/>
  <c r="I17" i="7" s="1"/>
  <c r="G17" i="7"/>
  <c r="F17" i="7"/>
  <c r="E17" i="7"/>
  <c r="D17" i="7"/>
  <c r="C17" i="7"/>
  <c r="B17" i="7"/>
  <c r="A17" i="7"/>
  <c r="K16" i="7"/>
  <c r="J16" i="7"/>
  <c r="H16" i="7"/>
  <c r="I16" i="7" s="1"/>
  <c r="G16" i="7"/>
  <c r="F16" i="7"/>
  <c r="E16" i="7"/>
  <c r="D16" i="7"/>
  <c r="C16" i="7"/>
  <c r="B16" i="7"/>
  <c r="A16" i="7"/>
  <c r="K15" i="7"/>
  <c r="H15" i="7"/>
  <c r="I15" i="7" s="1"/>
  <c r="G15" i="7"/>
  <c r="F15" i="7"/>
  <c r="E15" i="7"/>
  <c r="D15" i="7"/>
  <c r="C15" i="7"/>
  <c r="B15" i="7"/>
  <c r="A15" i="7"/>
  <c r="J15" i="7" s="1"/>
  <c r="K14" i="7"/>
  <c r="H14" i="7"/>
  <c r="I14" i="7" s="1"/>
  <c r="G14" i="7"/>
  <c r="F14" i="7"/>
  <c r="E14" i="7"/>
  <c r="D14" i="7"/>
  <c r="C14" i="7"/>
  <c r="B14" i="7"/>
  <c r="A14" i="7"/>
  <c r="J14" i="7" s="1"/>
  <c r="K13" i="7"/>
  <c r="H13" i="7"/>
  <c r="I13" i="7" s="1"/>
  <c r="G13" i="7"/>
  <c r="F13" i="7"/>
  <c r="E13" i="7"/>
  <c r="D13" i="7"/>
  <c r="C13" i="7"/>
  <c r="B13" i="7"/>
  <c r="A13" i="7"/>
  <c r="J13" i="7" s="1"/>
  <c r="K12" i="7"/>
  <c r="H12" i="7"/>
  <c r="I12" i="7" s="1"/>
  <c r="G12" i="7"/>
  <c r="F12" i="7"/>
  <c r="E12" i="7"/>
  <c r="D12" i="7"/>
  <c r="C12" i="7"/>
  <c r="B12" i="7"/>
  <c r="A12" i="7"/>
  <c r="J12" i="7" s="1"/>
  <c r="K11" i="7"/>
  <c r="J11" i="7"/>
  <c r="H11" i="7"/>
  <c r="I11" i="7" s="1"/>
  <c r="G11" i="7"/>
  <c r="F11" i="7"/>
  <c r="E11" i="7"/>
  <c r="D11" i="7"/>
  <c r="C11" i="7"/>
  <c r="B11" i="7"/>
  <c r="A11" i="7"/>
  <c r="K10" i="7"/>
  <c r="H10" i="7"/>
  <c r="I10" i="7" s="1"/>
  <c r="G10" i="7"/>
  <c r="F10" i="7"/>
  <c r="E10" i="7"/>
  <c r="D10" i="7"/>
  <c r="C10" i="7"/>
  <c r="B10" i="7"/>
  <c r="A10" i="7"/>
  <c r="J10" i="7" s="1"/>
  <c r="K9" i="7"/>
  <c r="H9" i="7"/>
  <c r="I9" i="7" s="1"/>
  <c r="G9" i="7"/>
  <c r="F9" i="7"/>
  <c r="E9" i="7"/>
  <c r="D9" i="7"/>
  <c r="C9" i="7"/>
  <c r="B9" i="7"/>
  <c r="A9" i="7"/>
  <c r="J9" i="7" s="1"/>
  <c r="K8" i="7"/>
  <c r="H8" i="7"/>
  <c r="I8" i="7" s="1"/>
  <c r="G8" i="7"/>
  <c r="F8" i="7"/>
  <c r="E8" i="7"/>
  <c r="D8" i="7"/>
  <c r="C8" i="7"/>
  <c r="B8" i="7"/>
  <c r="A8" i="7"/>
  <c r="J8" i="7" s="1"/>
  <c r="K7" i="7"/>
  <c r="H7" i="7"/>
  <c r="I7" i="7" s="1"/>
  <c r="G7" i="7"/>
  <c r="F7" i="7"/>
  <c r="E7" i="7"/>
  <c r="D7" i="7"/>
  <c r="C7" i="7"/>
  <c r="B7" i="7"/>
  <c r="A7" i="7"/>
  <c r="J7" i="7" s="1"/>
  <c r="K6" i="7"/>
  <c r="J6" i="7"/>
  <c r="H6" i="7"/>
  <c r="I6" i="7" s="1"/>
  <c r="G6" i="7"/>
  <c r="F6" i="7"/>
  <c r="E6" i="7"/>
  <c r="D6" i="7"/>
  <c r="C6" i="7"/>
  <c r="B6" i="7"/>
  <c r="A6" i="7"/>
  <c r="K5" i="7"/>
  <c r="H5" i="7"/>
  <c r="I5" i="7" s="1"/>
  <c r="G5" i="7"/>
  <c r="F5" i="7"/>
  <c r="E5" i="7"/>
  <c r="D5" i="7"/>
  <c r="C5" i="7"/>
  <c r="B5" i="7"/>
  <c r="A5" i="7"/>
  <c r="J5" i="7" s="1"/>
  <c r="K4" i="7"/>
  <c r="H4" i="7"/>
  <c r="I4" i="7" s="1"/>
  <c r="G4" i="7"/>
  <c r="F4" i="7"/>
  <c r="E4" i="7"/>
  <c r="D4" i="7"/>
  <c r="C4" i="7"/>
  <c r="B4" i="7"/>
  <c r="A4" i="7"/>
  <c r="J4" i="7" s="1"/>
  <c r="K3" i="7"/>
  <c r="H3" i="7"/>
  <c r="I3" i="7" s="1"/>
  <c r="G3" i="7"/>
  <c r="F3" i="7"/>
  <c r="E3" i="7"/>
  <c r="D3" i="7"/>
  <c r="C3" i="7"/>
  <c r="B3" i="7"/>
  <c r="A3" i="7"/>
  <c r="J3" i="7" s="1"/>
  <c r="K2" i="7"/>
  <c r="J2" i="7"/>
  <c r="I2" i="7"/>
  <c r="H2" i="7"/>
  <c r="G2" i="7"/>
  <c r="F2" i="7"/>
  <c r="E2" i="7"/>
  <c r="D2" i="7"/>
  <c r="C2" i="7"/>
  <c r="B2" i="7"/>
  <c r="A2" i="7"/>
  <c r="B5" i="1"/>
  <c r="H460" i="10" l="1"/>
  <c r="H490" i="10"/>
  <c r="H379" i="10"/>
  <c r="H451" i="10"/>
  <c r="H344" i="10"/>
  <c r="H321" i="10"/>
  <c r="H391" i="10"/>
  <c r="H308" i="10"/>
  <c r="H313" i="10"/>
  <c r="H338" i="10"/>
  <c r="H343" i="10"/>
  <c r="H463" i="10"/>
  <c r="H388" i="10"/>
  <c r="H415" i="10"/>
  <c r="H694" i="10"/>
  <c r="H324" i="10"/>
  <c r="H360" i="10"/>
  <c r="H396" i="10"/>
  <c r="H432" i="10"/>
  <c r="H468" i="10"/>
  <c r="H487" i="10"/>
  <c r="H393" i="10"/>
  <c r="H429" i="10"/>
  <c r="H465" i="10"/>
  <c r="H318" i="10"/>
  <c r="H354" i="10"/>
  <c r="H390" i="10"/>
  <c r="H426" i="10"/>
  <c r="H462" i="10"/>
  <c r="H484" i="10"/>
  <c r="H517" i="10"/>
  <c r="H522" i="10"/>
  <c r="H532" i="10"/>
  <c r="H537" i="10"/>
  <c r="H625" i="10"/>
  <c r="H640" i="10"/>
  <c r="H312" i="10"/>
  <c r="H348" i="10"/>
  <c r="H384" i="10"/>
  <c r="H420" i="10"/>
  <c r="H607" i="10"/>
  <c r="H309" i="10"/>
  <c r="H417" i="10"/>
  <c r="H453" i="10"/>
  <c r="H486" i="10"/>
  <c r="H758" i="10"/>
  <c r="H763" i="10"/>
  <c r="H339" i="10"/>
  <c r="H375" i="10"/>
  <c r="H411" i="10"/>
  <c r="H447" i="10"/>
  <c r="H483" i="10"/>
  <c r="H336" i="10"/>
  <c r="H372" i="10"/>
  <c r="H408" i="10"/>
  <c r="H444" i="10"/>
  <c r="H480" i="10"/>
  <c r="H571" i="10"/>
  <c r="H576" i="10"/>
  <c r="H586" i="10"/>
  <c r="H684" i="10"/>
  <c r="H702" i="10"/>
  <c r="H333" i="10"/>
  <c r="H369" i="10"/>
  <c r="H405" i="10"/>
  <c r="H441" i="10"/>
  <c r="H477" i="10"/>
  <c r="H523" i="10"/>
  <c r="H679" i="10"/>
  <c r="H712" i="10"/>
  <c r="H643" i="10"/>
  <c r="H661" i="10"/>
  <c r="H717" i="10"/>
  <c r="H776" i="10"/>
  <c r="H781" i="10"/>
  <c r="H910" i="10"/>
  <c r="H920" i="10"/>
  <c r="H673" i="10"/>
  <c r="H691" i="10"/>
  <c r="H709" i="10"/>
  <c r="H508" i="10"/>
  <c r="H526" i="10"/>
  <c r="H544" i="10"/>
  <c r="H562" i="10"/>
  <c r="H580" i="10"/>
  <c r="H598" i="10"/>
  <c r="H616" i="10"/>
  <c r="H634" i="10"/>
  <c r="H652" i="10"/>
  <c r="H495" i="10"/>
  <c r="H513" i="10"/>
  <c r="H531" i="10"/>
  <c r="H549" i="10"/>
  <c r="H567" i="10"/>
  <c r="H585" i="10"/>
  <c r="H603" i="10"/>
  <c r="H621" i="10"/>
  <c r="H639" i="10"/>
  <c r="H657" i="10"/>
  <c r="H670" i="10"/>
  <c r="H675" i="10"/>
  <c r="H688" i="10"/>
  <c r="H693" i="10"/>
  <c r="H706" i="10"/>
  <c r="H838" i="10"/>
  <c r="H541" i="10"/>
  <c r="H559" i="10"/>
  <c r="H577" i="10"/>
  <c r="H595" i="10"/>
  <c r="H613" i="10"/>
  <c r="H631" i="10"/>
  <c r="H649" i="10"/>
  <c r="H502" i="10"/>
  <c r="H520" i="10"/>
  <c r="H538" i="10"/>
  <c r="H556" i="10"/>
  <c r="H574" i="10"/>
  <c r="H592" i="10"/>
  <c r="H610" i="10"/>
  <c r="H628" i="10"/>
  <c r="H646" i="10"/>
  <c r="H784" i="10"/>
  <c r="H812" i="10"/>
  <c r="H507" i="10"/>
  <c r="H525" i="10"/>
  <c r="H543" i="10"/>
  <c r="H561" i="10"/>
  <c r="H579" i="10"/>
  <c r="H597" i="10"/>
  <c r="H615" i="10"/>
  <c r="H633" i="10"/>
  <c r="H651" i="10"/>
  <c r="H664" i="10"/>
  <c r="H669" i="10"/>
  <c r="H682" i="10"/>
  <c r="H687" i="10"/>
  <c r="H700" i="10"/>
  <c r="H705" i="10"/>
  <c r="H725" i="10"/>
  <c r="H766" i="10"/>
  <c r="H794" i="10"/>
  <c r="H799" i="10"/>
  <c r="H736" i="10"/>
  <c r="H760" i="10"/>
  <c r="H796" i="10"/>
  <c r="H814" i="10"/>
  <c r="H832" i="10"/>
  <c r="H850" i="10"/>
  <c r="H868" i="10"/>
  <c r="H886" i="10"/>
  <c r="H904" i="10"/>
  <c r="H752" i="10"/>
  <c r="H770" i="10"/>
  <c r="H788" i="10"/>
  <c r="H806" i="10"/>
  <c r="H824" i="10"/>
  <c r="H842" i="10"/>
  <c r="H860" i="10"/>
  <c r="H878" i="10"/>
  <c r="H914" i="10"/>
  <c r="H932" i="10"/>
  <c r="H1042" i="10"/>
  <c r="H730" i="10"/>
  <c r="H793" i="10"/>
  <c r="H811" i="10"/>
  <c r="H829" i="10"/>
  <c r="H847" i="10"/>
  <c r="H865" i="10"/>
  <c r="H883" i="10"/>
  <c r="H901" i="10"/>
  <c r="H919" i="10"/>
  <c r="H985" i="10"/>
  <c r="H1037" i="10"/>
  <c r="H724" i="10"/>
  <c r="H790" i="10"/>
  <c r="H808" i="10"/>
  <c r="H826" i="10"/>
  <c r="H844" i="10"/>
  <c r="H862" i="10"/>
  <c r="H880" i="10"/>
  <c r="H898" i="10"/>
  <c r="H916" i="10"/>
  <c r="H934" i="10"/>
  <c r="H982" i="10"/>
  <c r="H751" i="10"/>
  <c r="H769" i="10"/>
  <c r="H787" i="10"/>
  <c r="H805" i="10"/>
  <c r="H823" i="10"/>
  <c r="H841" i="10"/>
  <c r="H859" i="10"/>
  <c r="H877" i="10"/>
  <c r="H895" i="10"/>
  <c r="H1019" i="10"/>
  <c r="H715" i="10"/>
  <c r="H748" i="10"/>
  <c r="H761" i="10"/>
  <c r="H779" i="10"/>
  <c r="H797" i="10"/>
  <c r="H815" i="10"/>
  <c r="H833" i="10"/>
  <c r="H851" i="10"/>
  <c r="H869" i="10"/>
  <c r="H887" i="10"/>
  <c r="H905" i="10"/>
  <c r="H923" i="10"/>
  <c r="H941" i="10"/>
  <c r="H974" i="10"/>
  <c r="H962" i="10"/>
  <c r="H995" i="10"/>
  <c r="H1013" i="10"/>
  <c r="H1031" i="10"/>
  <c r="H1049" i="10"/>
  <c r="H959" i="10"/>
  <c r="H950" i="10"/>
  <c r="H986" i="10"/>
  <c r="H1007" i="10"/>
  <c r="H1025" i="10"/>
  <c r="H1043" i="10"/>
  <c r="H947" i="10"/>
  <c r="H983" i="10"/>
  <c r="H944" i="10"/>
  <c r="H980" i="10"/>
  <c r="H1004" i="10"/>
  <c r="H1022" i="10"/>
  <c r="H1040" i="10"/>
  <c r="H1058" i="10"/>
  <c r="H1070" i="10"/>
  <c r="H1082" i="10"/>
  <c r="H1094" i="10"/>
  <c r="H1106" i="10"/>
  <c r="H1118" i="10"/>
  <c r="H1130" i="10"/>
  <c r="H1142" i="10"/>
  <c r="H1154" i="10"/>
  <c r="H1166" i="10"/>
  <c r="H1178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12016A-634F-6443-83F0-4E020C3A3D41}" keepAlive="1" name="Query - lmsi_robustness" description="Connection to the 'lmsi_robustness' query in the workbook." type="5" refreshedVersion="8" background="1" saveData="1">
    <dbPr connection="Provider=Microsoft.Mashup.OleDb.1;Data Source=$Workbook$;Location=lmsi_robustness;Extended Properties=&quot;&quot;" command="SELECT * FROM [lmsi_robustness]"/>
  </connection>
  <connection id="2" xr16:uid="{C28E4CB2-EEFC-DC40-BA99-8B4261B87079}" keepAlive="1" name="Query - lmsi_scores_final" description="Connection to the 'lmsi_scores_final' query in the workbook." type="5" refreshedVersion="8" background="1" saveData="1">
    <dbPr connection="Provider=Microsoft.Mashup.OleDb.1;Data Source=$Workbook$;Location=lmsi_scores_final;Extended Properties=&quot;&quot;" command="SELECT * FROM [lmsi_scores_final]"/>
  </connection>
  <connection id="3" xr16:uid="{B1F99499-9012-7949-924A-532CAE35F698}" keepAlive="1" name="Query - lmsi_scores_final (2)" description="Connection to the 'lmsi_scores_final (2)' query in the workbook." type="5" refreshedVersion="8" background="1" saveData="1">
    <dbPr connection="Provider=Microsoft.Mashup.OleDb.1;Data Source=$Workbook$;Location=&quot;lmsi_scores_final (2)&quot;;Extended Properties=&quot;&quot;" command="SELECT * FROM [lmsi_scores_final (2)]"/>
  </connection>
  <connection id="4" xr16:uid="{AF6F7D41-7DBF-D84E-8503-9A6252B9B0B9}" keepAlive="1" name="Query - lmsi_scores_v1" description="Connection to the 'lmsi_scores_v1' query in the workbook." type="5" refreshedVersion="0" background="1">
    <dbPr connection="Provider=Microsoft.Mashup.OleDb.1;Data Source=$Workbook$;Location=lmsi_scores_v1;Extended Properties=&quot;&quot;" command="SELECT * FROM [lmsi_scores_v1]"/>
  </connection>
  <connection id="5" xr16:uid="{AB37B3A1-5D15-094A-B59E-7143BBEE74DD}" keepAlive="1" name="Query - lmsi_v1_v2_comparison" description="Connection to the 'lmsi_v1_v2_comparison' query in the workbook." type="5" refreshedVersion="8" background="1" saveData="1">
    <dbPr connection="Provider=Microsoft.Mashup.OleDb.1;Data Source=$Workbook$;Location=lmsi_v1_v2_comparison;Extended Properties=&quot;&quot;" command="SELECT * FROM [lmsi_v1_v2_comparis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<sst xmlns="http://schemas.openxmlformats.org/spreadsheetml/2006/main" count="7243" uniqueCount="144">
  <si>
    <t>date</t>
  </si>
  <si>
    <t>state</t>
  </si>
  <si>
    <t>industry</t>
  </si>
  <si>
    <t>vi_norm</t>
  </si>
  <si>
    <t>wpi_norm</t>
  </si>
  <si>
    <t>tightness_norm</t>
  </si>
  <si>
    <t>lmsi_score</t>
  </si>
  <si>
    <t>2009Q4</t>
  </si>
  <si>
    <t>New South Wales</t>
  </si>
  <si>
    <t>Accommodation and Food Services</t>
  </si>
  <si>
    <t>Construction</t>
  </si>
  <si>
    <t>Education and Training</t>
  </si>
  <si>
    <t>Health Care and Social Assistance</t>
  </si>
  <si>
    <t>Manufacturing</t>
  </si>
  <si>
    <t>Professional, Scientific and Technical Services</t>
  </si>
  <si>
    <t>Queensland</t>
  </si>
  <si>
    <t>Victoria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</si>
  <si>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</si>
  <si>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</si>
  <si>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</si>
  <si>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</si>
  <si>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</si>
  <si>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</si>
  <si>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</si>
  <si>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</si>
  <si>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</si>
  <si>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</si>
  <si>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</si>
  <si>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</si>
  <si>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</si>
  <si>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</si>
  <si>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</si>
  <si>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</si>
  <si>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</si>
  <si>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</si>
  <si>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</si>
  <si>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</si>
  <si>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</si>
  <si>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</si>
  <si>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</si>
  <si>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</si>
  <si>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</si>
  <si>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</si>
  <si>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</si>
  <si>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</si>
  <si>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</si>
  <si>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</si>
  <si>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</si>
  <si>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</si>
  <si>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</si>
  <si>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</si>
  <si>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</si>
  <si>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</si>
  <si>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</si>
  <si>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</si>
  <si>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</si>
  <si>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</si>
  <si>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</si>
  <si>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</si>
  <si>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</si>
  <si>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</si>
  <si>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</si>
  <si>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</si>
  <si>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</si>
  <si>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</si>
  <si>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</si>
  <si>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</si>
  <si>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</si>
  <si>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</si>
  <si>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</si>
  <si>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</si>
  <si>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</si>
  <si>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</si>
  <si>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</si>
  <si>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</si>
  <si>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</si>
  <si>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</si>
  <si>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</si>
  <si>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</si>
  <si>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</si>
  <si>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</si>
  <si>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</si>
  <si>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Vacancy Intensity</t>
  </si>
  <si>
    <t>Wage Growth Pressure</t>
  </si>
  <si>
    <t>Total</t>
  </si>
  <si>
    <t>lmsi_original</t>
  </si>
  <si>
    <t>lmsi_weighted</t>
  </si>
  <si>
    <t>component</t>
  </si>
  <si>
    <t>weight</t>
  </si>
  <si>
    <t>stress_band</t>
  </si>
  <si>
    <t>year_quarter</t>
  </si>
  <si>
    <t>vi_contribution</t>
  </si>
  <si>
    <t>wpi_contribution</t>
  </si>
  <si>
    <t>lt_contribution</t>
  </si>
  <si>
    <t xml:space="preserve">Labour Tightness </t>
  </si>
  <si>
    <t>score band</t>
  </si>
  <si>
    <t>range</t>
  </si>
  <si>
    <t>Low</t>
  </si>
  <si>
    <t>Moderate</t>
  </si>
  <si>
    <t>High</t>
  </si>
  <si>
    <t>Critical</t>
  </si>
  <si>
    <t>0 - 25</t>
  </si>
  <si>
    <t>25 -45</t>
  </si>
  <si>
    <t>45 - 60</t>
  </si>
  <si>
    <t>60+</t>
  </si>
  <si>
    <t>lmsi_v1</t>
  </si>
  <si>
    <t>lmsi_v2</t>
  </si>
  <si>
    <t>score_change</t>
  </si>
  <si>
    <t>abs_change</t>
  </si>
  <si>
    <t>methodology_impact</t>
  </si>
  <si>
    <t>dominant_component</t>
  </si>
  <si>
    <t>vi_dominant</t>
  </si>
  <si>
    <t>wp_dominant</t>
  </si>
  <si>
    <t>lt_dominant</t>
  </si>
  <si>
    <t>2026Q1 insight: Wage Pressure dominates 14/18 observations.</t>
  </si>
  <si>
    <t>Labour market stress is now wage-driven, not vacancy-driven.</t>
  </si>
  <si>
    <t>Suggests post-COVID normalisation — employers retaining staff</t>
  </si>
  <si>
    <t>through wage competition rather than posting new vacancies.</t>
  </si>
  <si>
    <t>vi_weight</t>
  </si>
  <si>
    <t>wp_weight</t>
  </si>
  <si>
    <t>lt_weight</t>
  </si>
  <si>
    <t>avg_lmsi</t>
  </si>
  <si>
    <t>max_lmsi</t>
  </si>
  <si>
    <t>min_lmsi</t>
  </si>
  <si>
    <t>key_insight</t>
  </si>
  <si>
    <t>2026Q1_vi_dominant</t>
  </si>
  <si>
    <t>2026Q1_lt_dominant</t>
  </si>
  <si>
    <t>2026Q1_wp_dominant</t>
  </si>
  <si>
    <t>Current score bands calibrated to the v2 UQ2B-based methodology.</t>
  </si>
  <si>
    <t>Critical threshold revised from 80+ to 60+ following tighter score compression.</t>
  </si>
  <si>
    <t>base</t>
  </si>
  <si>
    <t>vi_heavy</t>
  </si>
  <si>
    <t>equal</t>
  </si>
  <si>
    <t>vi_max</t>
  </si>
  <si>
    <t>wpi_heavy</t>
  </si>
  <si>
    <t>base_rank</t>
  </si>
  <si>
    <t>vi_heavy_rank</t>
  </si>
  <si>
    <t>equal_rank</t>
  </si>
  <si>
    <t>vi_max_rank</t>
  </si>
  <si>
    <t>wpi_heavy_rank</t>
  </si>
  <si>
    <t>Top 3 ranking unchanged across all 5 weight scenarios.</t>
  </si>
  <si>
    <t>Maximum rank movement: 3 positions (VIC Health Care, rank 4→2 under WP-heavy scenario).</t>
  </si>
  <si>
    <t>Core findings are robust to weighting assumptions.</t>
  </si>
  <si>
    <t>Rank Stability 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</si>
</sst>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right"/>
    </xf>
    <xf numFmtId="2" fontId="1" fillId="0" borderId="0" xfId="0" applyNumberFormat="1" applyFont="1"/>
    <xf numFmtId="2" fontId="0" fillId="0" borderId="0" xfId="0" applyNumberFormat="1"/>
    <xf numFmtId="2" fontId="0" fillId="3" borderId="0" xfId="0" applyNumberFormat="1" applyFill="1"/>
    <xf numFmtId="2" fontId="0" fillId="0" borderId="0" xfId="0" applyNumberFormat="1" applyAlignment="1">
      <alignment horizontal="right"/>
    </xf>
    <xf numFmtId="0" fontId="1" fillId="4" borderId="0" xfId="0" applyFont="1" applyFill="1"/>
    <xf numFmtId="0" fontId="2" fillId="0" borderId="0" xfId="0" applyFont="1"/>
    <xf numFmtId="0" fontId="1" fillId="5" borderId="0" xfId="0" applyFont="1" applyFill="1"/>
    <xf numFmtId="0" fontId="4" fillId="5" borderId="0" xfId="0" applyFont="1" applyFill="1"/>
    <xf numFmtId="0" fontId="5" fillId="2" borderId="0" xfId="0" applyFont="1" applyFill="1"/>
    <xf numFmtId="0" fontId="6" fillId="6" borderId="1" xfId="0" applyFont="1" applyFill="1" applyBorder="1"/>
    <xf numFmtId="0" fontId="0" fillId="7" borderId="0" xfId="0" applyFill="1"/>
    <xf numFmtId="0" fontId="0" fillId="0" borderId="0" xfId="0" applyNumberFormat="1"/>
    <xf numFmtId="0" fontId="0" fillId="0" borderId="0" xfId="0" applyFont="1"/>
    <xf numFmtId="0" fontId="0" fillId="0" borderId="0" xfId="0" applyAlignment="1">
      <alignment horizontal="center"/>
    </xf>
    <xf numFmtId="0" fontId="0" fillId="7" borderId="0" xfId="0" applyFont="1" applyFill="1"/>
    <xf numFmtId="0" fontId="0" fillId="0" borderId="0" xfId="0" applyFill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4AE32"/>
        </patternFill>
      </fill>
    </dxf>
    <dxf>
      <fill>
        <patternFill>
          <bgColor rgb="FFBA7517"/>
        </patternFill>
      </fill>
    </dxf>
    <dxf>
      <font>
        <color theme="0"/>
      </font>
      <fill>
        <patternFill>
          <bgColor rgb="FF1B2A3D"/>
        </patternFill>
      </fill>
    </dxf>
    <dxf>
      <font>
        <color theme="0"/>
      </font>
      <fill>
        <patternFill>
          <bgColor rgb="FF3B6D11"/>
        </patternFill>
      </fill>
    </dxf>
    <dxf>
      <font>
        <color theme="0"/>
      </font>
      <fill>
        <patternFill>
          <bgColor rgb="FFA32D2D"/>
        </patternFill>
      </fill>
    </dxf>
    <dxf>
      <font>
        <color theme="0"/>
      </font>
      <fill>
        <patternFill>
          <bgColor rgb="FF3B6D11"/>
        </patternFill>
      </fill>
    </dxf>
    <dxf>
      <fill>
        <patternFill>
          <bgColor rgb="FFEF9F27"/>
        </patternFill>
      </fill>
    </dxf>
    <dxf>
      <font>
        <color theme="0"/>
      </font>
      <fill>
        <patternFill>
          <bgColor rgb="FFBA7517"/>
        </patternFill>
      </fill>
    </dxf>
    <dxf>
      <font>
        <color theme="0"/>
      </font>
      <fill>
        <patternFill>
          <bgColor rgb="FFA32D2D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theme="0" tint="-0.249977111117893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fill>
        <patternFill patternType="solid">
          <fgColor indexed="64"/>
          <bgColor theme="0" tint="-0.249977111117893"/>
        </patternFill>
      </fill>
    </dxf>
  </dxfs>
  <tableStyles count="0" defaultTableStyle="TableStyleMedium2" defaultPivotStyle="PivotStyleLight16"/>
  <colors>
    <mruColors>
      <color rgb="FFA32D2D"/>
      <color rgb="FFBA7517"/>
      <color rgb="FFEF9F27"/>
      <color rgb="FF3B6D11"/>
      <color rgb="FF1B2A3D"/>
      <color rgb="FFF4AE32"/>
      <color rgb="FFD84942"/>
      <color rgb="FFFFA900"/>
      <color rgb="FFD87A00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E3D6C1B-6916-394F-AC18-C9A694649BCC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state" tableColumnId="2"/>
      <queryTableField id="3" name="industry" tableColumnId="3"/>
      <queryTableField id="4" name="vi_norm" tableColumnId="4"/>
      <queryTableField id="5" name="wpi_norm" tableColumnId="5"/>
      <queryTableField id="6" name="tightness_norm" tableColumnId="6"/>
      <queryTableField id="7" name="lmsi_score" tableColumnId="7"/>
      <queryTableField id="8" name="vi_contribution" tableColumnId="8"/>
      <queryTableField id="9" name="wpi_contribution" tableColumnId="9"/>
      <queryTableField id="10" name="lt_contribution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4522760-0446-FB48-A632-A443F02ADE2E}" autoFormatId="16" applyNumberFormats="0" applyBorderFormats="0" applyFontFormats="0" applyPatternFormats="0" applyAlignmentFormats="0" applyWidthHeightFormats="0">
  <queryTableRefresh nextId="9" unboundColumnsRight="2">
    <queryTableFields count="8">
      <queryTableField id="1" name="date" tableColumnId="1"/>
      <queryTableField id="2" name="state" tableColumnId="2"/>
      <queryTableField id="3" name="industry" tableColumnId="3"/>
      <queryTableField id="4" name="lmsi_v1" tableColumnId="4"/>
      <queryTableField id="5" name="lmsi_v2" tableColumnId="5"/>
      <queryTableField id="6" name="score_change" tableColumnId="6"/>
      <queryTableField id="7" dataBound="0" tableColumnId="7"/>
      <queryTableField id="8" dataBound="0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AD0850-1A4C-7249-BA43-1C575BB78815}" autoFormatId="16" applyNumberFormats="0" applyBorderFormats="0" applyFontFormats="0" applyPatternFormats="0" applyAlignmentFormats="0" applyWidthHeightFormats="0">
  <queryTableRefresh nextId="19" unboundColumnsRight="5">
    <queryTableFields count="13">
      <queryTableField id="1" name="date" tableColumnId="1"/>
      <queryTableField id="2" name="state" tableColumnId="2"/>
      <queryTableField id="3" name="industry" tableColumnId="3"/>
      <queryTableField id="4" name="base" tableColumnId="4"/>
      <queryTableField id="5" name="vi_heavy" tableColumnId="5"/>
      <queryTableField id="6" name="equal" tableColumnId="6"/>
      <queryTableField id="7" name="vi_max" tableColumnId="7"/>
      <queryTableField id="8" name="wpi_heavy" tableColumnId="8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4FB892-E784-884C-BD33-A1A3974D2618}" name="lmsi_scores_final__2" displayName="lmsi_scores_final__2" ref="A1:J1188" tableType="queryTable" totalsRowShown="0" headerRowDxfId="19">
  <autoFilter ref="A1:J1188" xr:uid="{084FB892-E784-884C-BD33-A1A3974D2618}"/>
  <tableColumns count="10">
    <tableColumn id="1" xr3:uid="{874DED0A-0656-4047-ACF4-07F2241CEDBC}" uniqueName="1" name="date" queryTableFieldId="1" dataDxfId="18"/>
    <tableColumn id="2" xr3:uid="{6A8F02C3-9B1E-174D-85DA-922B74435B0A}" uniqueName="2" name="state" queryTableFieldId="2" dataDxfId="17"/>
    <tableColumn id="3" xr3:uid="{D50A03A4-F865-1C48-8BAE-B756F5B9DF53}" uniqueName="3" name="industry" queryTableFieldId="3" dataDxfId="16"/>
    <tableColumn id="4" xr3:uid="{C76A2B46-CB93-0245-BD65-E2824E4C1D02}" uniqueName="4" name="vi_norm" queryTableFieldId="4"/>
    <tableColumn id="5" xr3:uid="{64E0055C-F9B8-CC43-BE51-D2127A06B301}" uniqueName="5" name="wpi_norm" queryTableFieldId="5"/>
    <tableColumn id="6" xr3:uid="{F1965F54-EA03-8940-9744-572CF8CE3A72}" uniqueName="6" name="tightness_norm" queryTableFieldId="6"/>
    <tableColumn id="7" xr3:uid="{5F051445-4E4A-6B4A-9159-C59C46C35E7C}" uniqueName="7" name="lmsi_score" queryTableFieldId="7"/>
    <tableColumn id="8" xr3:uid="{CD833BA8-F7AA-054F-9EBE-EFDE3C8A38A2}" uniqueName="8" name="vi_contribution" queryTableFieldId="8"/>
    <tableColumn id="9" xr3:uid="{2A850E43-60B4-B34A-B432-418553955C11}" uniqueName="9" name="wpi_contribution" queryTableFieldId="9"/>
    <tableColumn id="10" xr3:uid="{58C69454-67BA-D54C-A020-5C297E72F3EE}" uniqueName="10" name="lt_contribution" queryTableField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0DC053-95AA-2C41-88DB-833F1AE1DD2B}" name="lmsi_v1_v2_comparison" displayName="lmsi_v1_v2_comparison" ref="A1:H1188" tableType="queryTable" totalsRowShown="0" headerRowDxfId="15">
  <autoFilter ref="A1:H1188" xr:uid="{F40DC053-95AA-2C41-88DB-833F1AE1DD2B}"/>
  <tableColumns count="8">
    <tableColumn id="1" xr3:uid="{3DE3C6B1-EC37-004E-A4FF-3CC67182955A}" uniqueName="1" name="date" queryTableFieldId="1" dataDxfId="14"/>
    <tableColumn id="2" xr3:uid="{82059E37-814B-0745-A35A-4985167B78B5}" uniqueName="2" name="state" queryTableFieldId="2" dataDxfId="13"/>
    <tableColumn id="3" xr3:uid="{416B50A9-0F57-074F-8F19-01206F17B712}" uniqueName="3" name="industry" queryTableFieldId="3" dataDxfId="12"/>
    <tableColumn id="4" xr3:uid="{CDFDE45A-3CA4-2542-B0D3-339952C1A708}" uniqueName="4" name="lmsi_v1" queryTableFieldId="4"/>
    <tableColumn id="5" xr3:uid="{2052793C-6792-5F4C-89FB-772E1FFEDD95}" uniqueName="5" name="lmsi_v2" queryTableFieldId="5"/>
    <tableColumn id="6" xr3:uid="{BD64BDC1-0C86-F64D-BA02-B3FDEA23777F}" uniqueName="6" name="score_change" queryTableFieldId="6"/>
    <tableColumn id="7" xr3:uid="{944BD447-9EF0-9C4E-9589-3FCC2BF044C6}" uniqueName="7" name="abs_change" queryTableFieldId="7">
      <calculatedColumnFormula>ABS(lmsi_v1_v2_comparison[[#This Row],[score_change]])</calculatedColumnFormula>
    </tableColumn>
    <tableColumn id="8" xr3:uid="{6BD685B8-F1C0-1940-8E94-5ACE3B91C813}" uniqueName="8" name="methodology_impact" queryTableFieldId="8">
      <calculatedColumnFormula>IF(lmsi_v1_v2_comparison[[#This Row],[score_change]]&gt;0, "v2 Higher","v2 Lower")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FC0042-CC75-8F4C-BF79-E2333C52DAF4}" name="lmsi_robustness" displayName="lmsi_robustness" ref="A1:M11" tableType="queryTable" totalsRowShown="0">
  <autoFilter ref="A1:M11" xr:uid="{8FFC0042-CC75-8F4C-BF79-E2333C52DAF4}"/>
  <tableColumns count="13">
    <tableColumn id="1" xr3:uid="{28091E88-1970-B647-AA55-E16AB7B52A9E}" uniqueName="1" name="date" queryTableFieldId="1" dataDxfId="2"/>
    <tableColumn id="2" xr3:uid="{AB88E69D-38C7-6F4D-9C7D-9E7ABDE63732}" uniqueName="2" name="state" queryTableFieldId="2" dataDxfId="1"/>
    <tableColumn id="3" xr3:uid="{EAC028E0-46F0-D84F-B05D-F75D0A35A334}" uniqueName="3" name="industry" queryTableFieldId="3" dataDxfId="0"/>
    <tableColumn id="4" xr3:uid="{3984EC13-A8FB-084C-81BA-8EA76FDC870F}" uniqueName="4" name="base" queryTableFieldId="4"/>
    <tableColumn id="5" xr3:uid="{A4D1F1E1-7199-4742-BA16-8F313DF1E47A}" uniqueName="5" name="vi_heavy" queryTableFieldId="5"/>
    <tableColumn id="6" xr3:uid="{9D0020A7-DFEC-9744-AE96-4F2986F38E91}" uniqueName="6" name="equal" queryTableFieldId="6"/>
    <tableColumn id="7" xr3:uid="{BCA6B357-AC2F-254E-8B3F-0F8FAB02E6C3}" uniqueName="7" name="vi_max" queryTableFieldId="7"/>
    <tableColumn id="8" xr3:uid="{5D53697D-F5A5-754B-AC51-F234519BB7BE}" uniqueName="8" name="wpi_heavy" queryTableFieldId="8"/>
    <tableColumn id="14" xr3:uid="{068969A5-A5E6-2143-A881-D61B9EC7CC91}" uniqueName="14" name="base_rank" queryTableFieldId="14">
      <calculatedColumnFormula>RANK(D2,$D$2:$D$11,0)</calculatedColumnFormula>
    </tableColumn>
    <tableColumn id="15" xr3:uid="{2D2C21BF-272E-3E43-80BD-FD29FC44861D}" uniqueName="15" name="vi_heavy_rank" queryTableFieldId="15">
      <calculatedColumnFormula>RANK(E2,$E$2:$E$11,0)</calculatedColumnFormula>
    </tableColumn>
    <tableColumn id="16" xr3:uid="{24B8406D-2EFF-0544-A83F-ECFB90798756}" uniqueName="16" name="equal_rank" queryTableFieldId="16">
      <calculatedColumnFormula>RANK(F2,$F$2:$F$11,0)</calculatedColumnFormula>
    </tableColumn>
    <tableColumn id="17" xr3:uid="{47569C43-35AA-E149-8693-396C853852BD}" uniqueName="17" name="vi_max_rank" queryTableFieldId="17">
      <calculatedColumnFormula>RANK(G2,$G$2:$G$11,0)</calculatedColumnFormula>
    </tableColumn>
    <tableColumn id="18" xr3:uid="{A2FD78D5-A837-5D41-A893-35967F0DF936}" uniqueName="18" name="wpi_heavy_rank" queryTableFieldId="18">
      <calculatedColumnFormula>RANK(H2,$H$2:$H$11,0)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EBAB18-D032-8B45-8EE7-891091506C2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ace869f-ae43-430e-95a5-db774c6e99d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A8BC-B36D-F845-9436-55F738CE3A34}">
  <dimension ref="A1:J1188"/>
  <sheetViews>
    <sheetView workbookViewId="0">
      <selection activeCell="J1" sqref="A1:J1"/>
    </sheetView>
  </sheetViews>
  <sheetFormatPr baseColWidth="10" defaultRowHeight="16" x14ac:dyDescent="0.2"/>
  <cols>
    <col min="1" max="1" width="7.5" bestFit="1" customWidth="1"/>
    <col min="2" max="2" width="15.1640625" bestFit="1" customWidth="1"/>
    <col min="3" max="3" width="39" bestFit="1" customWidth="1"/>
    <col min="4" max="4" width="10.1640625" bestFit="1" customWidth="1"/>
    <col min="5" max="5" width="11.6640625" bestFit="1" customWidth="1"/>
    <col min="6" max="6" width="16.6640625" bestFit="1" customWidth="1"/>
    <col min="7" max="7" width="12.83203125" bestFit="1" customWidth="1"/>
    <col min="8" max="8" width="15.83203125" bestFit="1" customWidth="1"/>
    <col min="9" max="9" width="17.33203125" bestFit="1" customWidth="1"/>
    <col min="10" max="10" width="15.6640625" bestFit="1" customWidth="1"/>
  </cols>
  <sheetData>
    <row r="1" spans="1:10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91</v>
      </c>
      <c r="I1" s="11" t="s">
        <v>92</v>
      </c>
      <c r="J1" s="11" t="s">
        <v>93</v>
      </c>
    </row>
    <row r="2" spans="1:10" x14ac:dyDescent="0.2">
      <c r="A2" t="s">
        <v>7</v>
      </c>
      <c r="B2" t="s">
        <v>8</v>
      </c>
      <c r="C2" t="s">
        <v>9</v>
      </c>
      <c r="D2">
        <v>26.91</v>
      </c>
      <c r="E2">
        <v>30.77</v>
      </c>
      <c r="F2">
        <v>5.47</v>
      </c>
      <c r="G2">
        <v>21.64</v>
      </c>
      <c r="H2">
        <v>10.76</v>
      </c>
      <c r="I2">
        <v>9.23</v>
      </c>
      <c r="J2">
        <v>1.64</v>
      </c>
    </row>
    <row r="3" spans="1:10" x14ac:dyDescent="0.2">
      <c r="A3" t="s">
        <v>7</v>
      </c>
      <c r="B3" t="s">
        <v>8</v>
      </c>
      <c r="C3" t="s">
        <v>10</v>
      </c>
      <c r="D3">
        <v>9.69</v>
      </c>
      <c r="E3">
        <v>59.62</v>
      </c>
      <c r="F3">
        <v>3.61</v>
      </c>
      <c r="G3">
        <v>22.84</v>
      </c>
      <c r="H3">
        <v>3.87</v>
      </c>
      <c r="I3">
        <v>17.88</v>
      </c>
      <c r="J3">
        <v>1.08</v>
      </c>
    </row>
    <row r="4" spans="1:10" x14ac:dyDescent="0.2">
      <c r="A4" t="s">
        <v>7</v>
      </c>
      <c r="B4" t="s">
        <v>8</v>
      </c>
      <c r="C4" t="s">
        <v>11</v>
      </c>
      <c r="D4">
        <v>1.59</v>
      </c>
      <c r="E4">
        <v>69.23</v>
      </c>
      <c r="F4">
        <v>4.0199999999999996</v>
      </c>
      <c r="G4">
        <v>22.61</v>
      </c>
      <c r="H4">
        <v>0.64</v>
      </c>
      <c r="I4">
        <v>20.77</v>
      </c>
      <c r="J4">
        <v>1.21</v>
      </c>
    </row>
    <row r="5" spans="1:10" x14ac:dyDescent="0.2">
      <c r="A5" t="s">
        <v>7</v>
      </c>
      <c r="B5" t="s">
        <v>8</v>
      </c>
      <c r="C5" t="s">
        <v>12</v>
      </c>
      <c r="D5">
        <v>7.48</v>
      </c>
      <c r="E5">
        <v>69.23</v>
      </c>
      <c r="F5">
        <v>14.72</v>
      </c>
      <c r="G5">
        <v>28.18</v>
      </c>
      <c r="H5">
        <v>2.99</v>
      </c>
      <c r="I5">
        <v>20.77</v>
      </c>
      <c r="J5">
        <v>4.41</v>
      </c>
    </row>
    <row r="6" spans="1:10" x14ac:dyDescent="0.2">
      <c r="A6" t="s">
        <v>7</v>
      </c>
      <c r="B6" t="s">
        <v>8</v>
      </c>
      <c r="C6" t="s">
        <v>13</v>
      </c>
      <c r="D6">
        <v>7.08</v>
      </c>
      <c r="E6">
        <v>32.69</v>
      </c>
      <c r="F6">
        <v>2.52</v>
      </c>
      <c r="G6">
        <v>13.4</v>
      </c>
      <c r="H6">
        <v>2.83</v>
      </c>
      <c r="I6">
        <v>9.81</v>
      </c>
      <c r="J6">
        <v>0.76</v>
      </c>
    </row>
    <row r="7" spans="1:10" x14ac:dyDescent="0.2">
      <c r="A7" t="s">
        <v>7</v>
      </c>
      <c r="B7" t="s">
        <v>8</v>
      </c>
      <c r="C7" t="s">
        <v>14</v>
      </c>
      <c r="D7">
        <v>13.19</v>
      </c>
      <c r="E7">
        <v>48.08</v>
      </c>
      <c r="F7">
        <v>5.89</v>
      </c>
      <c r="G7">
        <v>21.46</v>
      </c>
      <c r="H7">
        <v>5.28</v>
      </c>
      <c r="I7">
        <v>14.42</v>
      </c>
      <c r="J7">
        <v>1.77</v>
      </c>
    </row>
    <row r="8" spans="1:10" x14ac:dyDescent="0.2">
      <c r="A8" t="s">
        <v>7</v>
      </c>
      <c r="B8" t="s">
        <v>15</v>
      </c>
      <c r="C8" t="s">
        <v>9</v>
      </c>
      <c r="D8">
        <v>39.1</v>
      </c>
      <c r="E8">
        <v>30.77</v>
      </c>
      <c r="F8">
        <v>7.98</v>
      </c>
      <c r="G8">
        <v>27.26</v>
      </c>
      <c r="H8">
        <v>15.64</v>
      </c>
      <c r="I8">
        <v>9.23</v>
      </c>
      <c r="J8">
        <v>2.39</v>
      </c>
    </row>
    <row r="9" spans="1:10" x14ac:dyDescent="0.2">
      <c r="A9" t="s">
        <v>7</v>
      </c>
      <c r="B9" t="s">
        <v>15</v>
      </c>
      <c r="C9" t="s">
        <v>10</v>
      </c>
      <c r="D9">
        <v>12.16</v>
      </c>
      <c r="E9">
        <v>59.62</v>
      </c>
      <c r="F9">
        <v>5</v>
      </c>
      <c r="G9">
        <v>24.25</v>
      </c>
      <c r="H9">
        <v>4.8600000000000003</v>
      </c>
      <c r="I9">
        <v>17.88</v>
      </c>
      <c r="J9">
        <v>1.5</v>
      </c>
    </row>
    <row r="10" spans="1:10" x14ac:dyDescent="0.2">
      <c r="A10" t="s">
        <v>7</v>
      </c>
      <c r="B10" t="s">
        <v>15</v>
      </c>
      <c r="C10" t="s">
        <v>11</v>
      </c>
      <c r="D10">
        <v>3.83</v>
      </c>
      <c r="E10">
        <v>69.23</v>
      </c>
      <c r="F10">
        <v>5.93</v>
      </c>
      <c r="G10">
        <v>24.08</v>
      </c>
      <c r="H10">
        <v>1.53</v>
      </c>
      <c r="I10">
        <v>20.77</v>
      </c>
      <c r="J10">
        <v>1.78</v>
      </c>
    </row>
    <row r="11" spans="1:10" x14ac:dyDescent="0.2">
      <c r="A11" t="s">
        <v>7</v>
      </c>
      <c r="B11" t="s">
        <v>15</v>
      </c>
      <c r="C11" t="s">
        <v>12</v>
      </c>
      <c r="D11">
        <v>13.56</v>
      </c>
      <c r="E11">
        <v>69.23</v>
      </c>
      <c r="F11">
        <v>9.48</v>
      </c>
      <c r="G11">
        <v>29.04</v>
      </c>
      <c r="H11">
        <v>5.42</v>
      </c>
      <c r="I11">
        <v>20.77</v>
      </c>
      <c r="J11">
        <v>2.84</v>
      </c>
    </row>
    <row r="12" spans="1:10" x14ac:dyDescent="0.2">
      <c r="A12" t="s">
        <v>7</v>
      </c>
      <c r="B12" t="s">
        <v>15</v>
      </c>
      <c r="C12" t="s">
        <v>13</v>
      </c>
      <c r="D12">
        <v>13.34</v>
      </c>
      <c r="E12">
        <v>32.69</v>
      </c>
      <c r="F12">
        <v>6.59</v>
      </c>
      <c r="G12">
        <v>17.12</v>
      </c>
      <c r="H12">
        <v>5.33</v>
      </c>
      <c r="I12">
        <v>9.81</v>
      </c>
      <c r="J12">
        <v>1.98</v>
      </c>
    </row>
    <row r="13" spans="1:10" x14ac:dyDescent="0.2">
      <c r="A13" t="s">
        <v>7</v>
      </c>
      <c r="B13" t="s">
        <v>15</v>
      </c>
      <c r="C13" t="s">
        <v>14</v>
      </c>
      <c r="D13">
        <v>25.88</v>
      </c>
      <c r="E13">
        <v>48.08</v>
      </c>
      <c r="F13">
        <v>20.74</v>
      </c>
      <c r="G13">
        <v>31</v>
      </c>
      <c r="H13">
        <v>10.35</v>
      </c>
      <c r="I13">
        <v>14.42</v>
      </c>
      <c r="J13">
        <v>6.22</v>
      </c>
    </row>
    <row r="14" spans="1:10" x14ac:dyDescent="0.2">
      <c r="A14" t="s">
        <v>7</v>
      </c>
      <c r="B14" t="s">
        <v>16</v>
      </c>
      <c r="C14" t="s">
        <v>9</v>
      </c>
      <c r="D14">
        <v>34.200000000000003</v>
      </c>
      <c r="E14">
        <v>30.77</v>
      </c>
      <c r="F14">
        <v>8.94</v>
      </c>
      <c r="G14">
        <v>25.59</v>
      </c>
      <c r="H14">
        <v>13.68</v>
      </c>
      <c r="I14">
        <v>9.23</v>
      </c>
      <c r="J14">
        <v>2.68</v>
      </c>
    </row>
    <row r="15" spans="1:10" x14ac:dyDescent="0.2">
      <c r="A15" t="s">
        <v>7</v>
      </c>
      <c r="B15" t="s">
        <v>16</v>
      </c>
      <c r="C15" t="s">
        <v>10</v>
      </c>
      <c r="D15">
        <v>13.12</v>
      </c>
      <c r="E15">
        <v>59.62</v>
      </c>
      <c r="F15">
        <v>8.23</v>
      </c>
      <c r="G15">
        <v>25.6</v>
      </c>
      <c r="H15">
        <v>5.25</v>
      </c>
      <c r="I15">
        <v>17.88</v>
      </c>
      <c r="J15">
        <v>2.4700000000000002</v>
      </c>
    </row>
    <row r="16" spans="1:10" x14ac:dyDescent="0.2">
      <c r="A16" t="s">
        <v>7</v>
      </c>
      <c r="B16" t="s">
        <v>16</v>
      </c>
      <c r="C16" t="s">
        <v>11</v>
      </c>
      <c r="D16">
        <v>2.31</v>
      </c>
      <c r="E16">
        <v>69.23</v>
      </c>
      <c r="F16">
        <v>5.0599999999999996</v>
      </c>
      <c r="G16">
        <v>23.21</v>
      </c>
      <c r="H16">
        <v>0.93</v>
      </c>
      <c r="I16">
        <v>20.77</v>
      </c>
      <c r="J16">
        <v>1.52</v>
      </c>
    </row>
    <row r="17" spans="1:10" x14ac:dyDescent="0.2">
      <c r="A17" t="s">
        <v>7</v>
      </c>
      <c r="B17" t="s">
        <v>16</v>
      </c>
      <c r="C17" t="s">
        <v>12</v>
      </c>
      <c r="D17">
        <v>9.7100000000000009</v>
      </c>
      <c r="E17">
        <v>69.23</v>
      </c>
      <c r="F17">
        <v>22.98</v>
      </c>
      <c r="G17">
        <v>31.55</v>
      </c>
      <c r="H17">
        <v>3.89</v>
      </c>
      <c r="I17">
        <v>20.77</v>
      </c>
      <c r="J17">
        <v>6.89</v>
      </c>
    </row>
    <row r="18" spans="1:10" x14ac:dyDescent="0.2">
      <c r="A18" t="s">
        <v>7</v>
      </c>
      <c r="B18" t="s">
        <v>16</v>
      </c>
      <c r="C18" t="s">
        <v>13</v>
      </c>
      <c r="D18">
        <v>7.35</v>
      </c>
      <c r="E18">
        <v>32.69</v>
      </c>
      <c r="F18">
        <v>2.08</v>
      </c>
      <c r="G18">
        <v>13.37</v>
      </c>
      <c r="H18">
        <v>2.94</v>
      </c>
      <c r="I18">
        <v>9.81</v>
      </c>
      <c r="J18">
        <v>0.63</v>
      </c>
    </row>
    <row r="19" spans="1:10" x14ac:dyDescent="0.2">
      <c r="A19" t="s">
        <v>7</v>
      </c>
      <c r="B19" t="s">
        <v>16</v>
      </c>
      <c r="C19" t="s">
        <v>14</v>
      </c>
      <c r="D19">
        <v>16.850000000000001</v>
      </c>
      <c r="E19">
        <v>48.08</v>
      </c>
      <c r="F19">
        <v>15.74</v>
      </c>
      <c r="G19">
        <v>25.89</v>
      </c>
      <c r="H19">
        <v>6.74</v>
      </c>
      <c r="I19">
        <v>14.42</v>
      </c>
      <c r="J19">
        <v>4.72</v>
      </c>
    </row>
    <row r="20" spans="1:10" x14ac:dyDescent="0.2">
      <c r="A20" t="s">
        <v>17</v>
      </c>
      <c r="B20" t="s">
        <v>8</v>
      </c>
      <c r="C20" t="s">
        <v>9</v>
      </c>
      <c r="D20">
        <v>19.41</v>
      </c>
      <c r="E20">
        <v>28.85</v>
      </c>
      <c r="F20">
        <v>3.23</v>
      </c>
      <c r="G20">
        <v>17.39</v>
      </c>
      <c r="H20">
        <v>7.77</v>
      </c>
      <c r="I20">
        <v>8.65</v>
      </c>
      <c r="J20">
        <v>0.97</v>
      </c>
    </row>
    <row r="21" spans="1:10" x14ac:dyDescent="0.2">
      <c r="A21" t="s">
        <v>17</v>
      </c>
      <c r="B21" t="s">
        <v>8</v>
      </c>
      <c r="C21" t="s">
        <v>10</v>
      </c>
      <c r="D21">
        <v>11.19</v>
      </c>
      <c r="E21">
        <v>51.92</v>
      </c>
      <c r="F21">
        <v>5.33</v>
      </c>
      <c r="G21">
        <v>21.65</v>
      </c>
      <c r="H21">
        <v>4.4800000000000004</v>
      </c>
      <c r="I21">
        <v>15.58</v>
      </c>
      <c r="J21">
        <v>1.6</v>
      </c>
    </row>
    <row r="22" spans="1:10" x14ac:dyDescent="0.2">
      <c r="A22" t="s">
        <v>17</v>
      </c>
      <c r="B22" t="s">
        <v>8</v>
      </c>
      <c r="C22" t="s">
        <v>11</v>
      </c>
      <c r="D22">
        <v>2.72</v>
      </c>
      <c r="E22">
        <v>76.92</v>
      </c>
      <c r="F22">
        <v>2.4500000000000002</v>
      </c>
      <c r="G22">
        <v>24.9</v>
      </c>
      <c r="H22">
        <v>1.0900000000000001</v>
      </c>
      <c r="I22">
        <v>23.08</v>
      </c>
      <c r="J22">
        <v>0.73</v>
      </c>
    </row>
    <row r="23" spans="1:10" x14ac:dyDescent="0.2">
      <c r="A23" t="s">
        <v>17</v>
      </c>
      <c r="B23" t="s">
        <v>8</v>
      </c>
      <c r="C23" t="s">
        <v>12</v>
      </c>
      <c r="D23">
        <v>6.74</v>
      </c>
      <c r="E23">
        <v>67.31</v>
      </c>
      <c r="F23">
        <v>9.07</v>
      </c>
      <c r="G23">
        <v>25.61</v>
      </c>
      <c r="H23">
        <v>2.69</v>
      </c>
      <c r="I23">
        <v>20.190000000000001</v>
      </c>
      <c r="J23">
        <v>2.72</v>
      </c>
    </row>
    <row r="24" spans="1:10" x14ac:dyDescent="0.2">
      <c r="A24" t="s">
        <v>17</v>
      </c>
      <c r="B24" t="s">
        <v>8</v>
      </c>
      <c r="C24" t="s">
        <v>13</v>
      </c>
      <c r="D24">
        <v>9.3699999999999992</v>
      </c>
      <c r="E24">
        <v>34.619999999999997</v>
      </c>
      <c r="F24">
        <v>3.66</v>
      </c>
      <c r="G24">
        <v>15.23</v>
      </c>
      <c r="H24">
        <v>3.75</v>
      </c>
      <c r="I24">
        <v>10.38</v>
      </c>
      <c r="J24">
        <v>1.1000000000000001</v>
      </c>
    </row>
    <row r="25" spans="1:10" x14ac:dyDescent="0.2">
      <c r="A25" t="s">
        <v>17</v>
      </c>
      <c r="B25" t="s">
        <v>8</v>
      </c>
      <c r="C25" t="s">
        <v>14</v>
      </c>
      <c r="D25">
        <v>16.059999999999999</v>
      </c>
      <c r="E25">
        <v>50</v>
      </c>
      <c r="F25">
        <v>8.8699999999999992</v>
      </c>
      <c r="G25">
        <v>24.08</v>
      </c>
      <c r="H25">
        <v>6.42</v>
      </c>
      <c r="I25">
        <v>15</v>
      </c>
      <c r="J25">
        <v>2.66</v>
      </c>
    </row>
    <row r="26" spans="1:10" x14ac:dyDescent="0.2">
      <c r="A26" t="s">
        <v>17</v>
      </c>
      <c r="B26" t="s">
        <v>15</v>
      </c>
      <c r="C26" t="s">
        <v>9</v>
      </c>
      <c r="D26">
        <v>30.6</v>
      </c>
      <c r="E26">
        <v>28.85</v>
      </c>
      <c r="F26">
        <v>4.9000000000000004</v>
      </c>
      <c r="G26">
        <v>22.36</v>
      </c>
      <c r="H26">
        <v>12.24</v>
      </c>
      <c r="I26">
        <v>8.65</v>
      </c>
      <c r="J26">
        <v>1.47</v>
      </c>
    </row>
    <row r="27" spans="1:10" x14ac:dyDescent="0.2">
      <c r="A27" t="s">
        <v>17</v>
      </c>
      <c r="B27" t="s">
        <v>15</v>
      </c>
      <c r="C27" t="s">
        <v>10</v>
      </c>
      <c r="D27">
        <v>14.48</v>
      </c>
      <c r="E27">
        <v>51.92</v>
      </c>
      <c r="F27">
        <v>4.5999999999999996</v>
      </c>
      <c r="G27">
        <v>22.75</v>
      </c>
      <c r="H27">
        <v>5.79</v>
      </c>
      <c r="I27">
        <v>15.58</v>
      </c>
      <c r="J27">
        <v>1.38</v>
      </c>
    </row>
    <row r="28" spans="1:10" x14ac:dyDescent="0.2">
      <c r="A28" t="s">
        <v>17</v>
      </c>
      <c r="B28" t="s">
        <v>15</v>
      </c>
      <c r="C28" t="s">
        <v>11</v>
      </c>
      <c r="D28">
        <v>5.15</v>
      </c>
      <c r="E28">
        <v>76.92</v>
      </c>
      <c r="F28">
        <v>2.2200000000000002</v>
      </c>
      <c r="G28">
        <v>25.8</v>
      </c>
      <c r="H28">
        <v>2.06</v>
      </c>
      <c r="I28">
        <v>23.08</v>
      </c>
      <c r="J28">
        <v>0.67</v>
      </c>
    </row>
    <row r="29" spans="1:10" x14ac:dyDescent="0.2">
      <c r="A29" t="s">
        <v>17</v>
      </c>
      <c r="B29" t="s">
        <v>15</v>
      </c>
      <c r="C29" t="s">
        <v>12</v>
      </c>
      <c r="D29">
        <v>12.16</v>
      </c>
      <c r="E29">
        <v>67.31</v>
      </c>
      <c r="F29">
        <v>16.11</v>
      </c>
      <c r="G29">
        <v>29.89</v>
      </c>
      <c r="H29">
        <v>4.87</v>
      </c>
      <c r="I29">
        <v>20.190000000000001</v>
      </c>
      <c r="J29">
        <v>4.83</v>
      </c>
    </row>
    <row r="30" spans="1:10" x14ac:dyDescent="0.2">
      <c r="A30" t="s">
        <v>17</v>
      </c>
      <c r="B30" t="s">
        <v>15</v>
      </c>
      <c r="C30" t="s">
        <v>13</v>
      </c>
      <c r="D30">
        <v>17.95</v>
      </c>
      <c r="E30">
        <v>34.619999999999997</v>
      </c>
      <c r="F30">
        <v>5.78</v>
      </c>
      <c r="G30">
        <v>19.3</v>
      </c>
      <c r="H30">
        <v>7.18</v>
      </c>
      <c r="I30">
        <v>10.38</v>
      </c>
      <c r="J30">
        <v>1.73</v>
      </c>
    </row>
    <row r="31" spans="1:10" x14ac:dyDescent="0.2">
      <c r="A31" t="s">
        <v>17</v>
      </c>
      <c r="B31" t="s">
        <v>15</v>
      </c>
      <c r="C31" t="s">
        <v>14</v>
      </c>
      <c r="D31">
        <v>33.82</v>
      </c>
      <c r="E31">
        <v>50</v>
      </c>
      <c r="F31">
        <v>20.43</v>
      </c>
      <c r="G31">
        <v>34.659999999999997</v>
      </c>
      <c r="H31">
        <v>13.53</v>
      </c>
      <c r="I31">
        <v>15</v>
      </c>
      <c r="J31">
        <v>6.13</v>
      </c>
    </row>
    <row r="32" spans="1:10" x14ac:dyDescent="0.2">
      <c r="A32" t="s">
        <v>17</v>
      </c>
      <c r="B32" t="s">
        <v>16</v>
      </c>
      <c r="C32" t="s">
        <v>9</v>
      </c>
      <c r="D32">
        <v>24.51</v>
      </c>
      <c r="E32">
        <v>28.85</v>
      </c>
      <c r="F32">
        <v>6.47</v>
      </c>
      <c r="G32">
        <v>20.399999999999999</v>
      </c>
      <c r="H32">
        <v>9.8000000000000007</v>
      </c>
      <c r="I32">
        <v>8.65</v>
      </c>
      <c r="J32">
        <v>1.94</v>
      </c>
    </row>
    <row r="33" spans="1:10" x14ac:dyDescent="0.2">
      <c r="A33" t="s">
        <v>17</v>
      </c>
      <c r="B33" t="s">
        <v>16</v>
      </c>
      <c r="C33" t="s">
        <v>10</v>
      </c>
      <c r="D33">
        <v>13.9</v>
      </c>
      <c r="E33">
        <v>51.92</v>
      </c>
      <c r="F33">
        <v>9.6</v>
      </c>
      <c r="G33">
        <v>24.02</v>
      </c>
      <c r="H33">
        <v>5.56</v>
      </c>
      <c r="I33">
        <v>15.58</v>
      </c>
      <c r="J33">
        <v>2.88</v>
      </c>
    </row>
    <row r="34" spans="1:10" x14ac:dyDescent="0.2">
      <c r="A34" t="s">
        <v>17</v>
      </c>
      <c r="B34" t="s">
        <v>16</v>
      </c>
      <c r="C34" t="s">
        <v>11</v>
      </c>
      <c r="D34">
        <v>3.34</v>
      </c>
      <c r="E34">
        <v>76.92</v>
      </c>
      <c r="F34">
        <v>3.36</v>
      </c>
      <c r="G34">
        <v>25.42</v>
      </c>
      <c r="H34">
        <v>1.34</v>
      </c>
      <c r="I34">
        <v>23.08</v>
      </c>
      <c r="J34">
        <v>1.01</v>
      </c>
    </row>
    <row r="35" spans="1:10" x14ac:dyDescent="0.2">
      <c r="A35" t="s">
        <v>17</v>
      </c>
      <c r="B35" t="s">
        <v>16</v>
      </c>
      <c r="C35" t="s">
        <v>12</v>
      </c>
      <c r="D35">
        <v>8.98</v>
      </c>
      <c r="E35">
        <v>67.31</v>
      </c>
      <c r="F35">
        <v>8.99</v>
      </c>
      <c r="G35">
        <v>26.48</v>
      </c>
      <c r="H35">
        <v>3.59</v>
      </c>
      <c r="I35">
        <v>20.190000000000001</v>
      </c>
      <c r="J35">
        <v>2.7</v>
      </c>
    </row>
    <row r="36" spans="1:10" x14ac:dyDescent="0.2">
      <c r="A36" t="s">
        <v>17</v>
      </c>
      <c r="B36" t="s">
        <v>16</v>
      </c>
      <c r="C36" t="s">
        <v>13</v>
      </c>
      <c r="D36">
        <v>9.16</v>
      </c>
      <c r="E36">
        <v>34.619999999999997</v>
      </c>
      <c r="F36">
        <v>2.9</v>
      </c>
      <c r="G36">
        <v>14.92</v>
      </c>
      <c r="H36">
        <v>3.67</v>
      </c>
      <c r="I36">
        <v>10.38</v>
      </c>
      <c r="J36">
        <v>0.87</v>
      </c>
    </row>
    <row r="37" spans="1:10" x14ac:dyDescent="0.2">
      <c r="A37" t="s">
        <v>17</v>
      </c>
      <c r="B37" t="s">
        <v>16</v>
      </c>
      <c r="C37" t="s">
        <v>14</v>
      </c>
      <c r="D37">
        <v>22.71</v>
      </c>
      <c r="E37">
        <v>50</v>
      </c>
      <c r="F37">
        <v>12.12</v>
      </c>
      <c r="G37">
        <v>27.72</v>
      </c>
      <c r="H37">
        <v>9.08</v>
      </c>
      <c r="I37">
        <v>15</v>
      </c>
      <c r="J37">
        <v>3.64</v>
      </c>
    </row>
    <row r="38" spans="1:10" x14ac:dyDescent="0.2">
      <c r="A38" t="s">
        <v>18</v>
      </c>
      <c r="B38" t="s">
        <v>8</v>
      </c>
      <c r="C38" t="s">
        <v>9</v>
      </c>
      <c r="D38">
        <v>10.130000000000001</v>
      </c>
      <c r="E38">
        <v>32.69</v>
      </c>
      <c r="F38">
        <v>1.59</v>
      </c>
      <c r="G38">
        <v>14.34</v>
      </c>
      <c r="H38">
        <v>4.05</v>
      </c>
      <c r="I38">
        <v>9.81</v>
      </c>
      <c r="J38">
        <v>0.48</v>
      </c>
    </row>
    <row r="39" spans="1:10" x14ac:dyDescent="0.2">
      <c r="A39" t="s">
        <v>18</v>
      </c>
      <c r="B39" t="s">
        <v>8</v>
      </c>
      <c r="C39" t="s">
        <v>10</v>
      </c>
      <c r="D39">
        <v>10.57</v>
      </c>
      <c r="E39">
        <v>50</v>
      </c>
      <c r="F39">
        <v>6.03</v>
      </c>
      <c r="G39">
        <v>21.04</v>
      </c>
      <c r="H39">
        <v>4.2300000000000004</v>
      </c>
      <c r="I39">
        <v>15</v>
      </c>
      <c r="J39">
        <v>1.81</v>
      </c>
    </row>
    <row r="40" spans="1:10" x14ac:dyDescent="0.2">
      <c r="A40" t="s">
        <v>18</v>
      </c>
      <c r="B40" t="s">
        <v>8</v>
      </c>
      <c r="C40" t="s">
        <v>11</v>
      </c>
      <c r="D40">
        <v>2.54</v>
      </c>
      <c r="E40">
        <v>69.23</v>
      </c>
      <c r="F40">
        <v>6.64</v>
      </c>
      <c r="G40">
        <v>23.78</v>
      </c>
      <c r="H40">
        <v>1.02</v>
      </c>
      <c r="I40">
        <v>20.77</v>
      </c>
      <c r="J40">
        <v>1.99</v>
      </c>
    </row>
    <row r="41" spans="1:10" x14ac:dyDescent="0.2">
      <c r="A41" t="s">
        <v>18</v>
      </c>
      <c r="B41" t="s">
        <v>8</v>
      </c>
      <c r="C41" t="s">
        <v>12</v>
      </c>
      <c r="D41">
        <v>8.34</v>
      </c>
      <c r="E41">
        <v>71.150000000000006</v>
      </c>
      <c r="F41">
        <v>12.81</v>
      </c>
      <c r="G41">
        <v>28.53</v>
      </c>
      <c r="H41">
        <v>3.34</v>
      </c>
      <c r="I41">
        <v>21.35</v>
      </c>
      <c r="J41">
        <v>3.84</v>
      </c>
    </row>
    <row r="42" spans="1:10" x14ac:dyDescent="0.2">
      <c r="A42" t="s">
        <v>18</v>
      </c>
      <c r="B42" t="s">
        <v>8</v>
      </c>
      <c r="C42" t="s">
        <v>13</v>
      </c>
      <c r="D42">
        <v>8.89</v>
      </c>
      <c r="E42">
        <v>42.31</v>
      </c>
      <c r="F42">
        <v>3.84</v>
      </c>
      <c r="G42">
        <v>17.399999999999999</v>
      </c>
      <c r="H42">
        <v>3.56</v>
      </c>
      <c r="I42">
        <v>12.69</v>
      </c>
      <c r="J42">
        <v>1.1499999999999999</v>
      </c>
    </row>
    <row r="43" spans="1:10" x14ac:dyDescent="0.2">
      <c r="A43" t="s">
        <v>18</v>
      </c>
      <c r="B43" t="s">
        <v>8</v>
      </c>
      <c r="C43" t="s">
        <v>14</v>
      </c>
      <c r="D43">
        <v>11.69</v>
      </c>
      <c r="E43">
        <v>50</v>
      </c>
      <c r="F43">
        <v>7.76</v>
      </c>
      <c r="G43">
        <v>22.01</v>
      </c>
      <c r="H43">
        <v>4.68</v>
      </c>
      <c r="I43">
        <v>15</v>
      </c>
      <c r="J43">
        <v>2.33</v>
      </c>
    </row>
    <row r="44" spans="1:10" x14ac:dyDescent="0.2">
      <c r="A44" t="s">
        <v>18</v>
      </c>
      <c r="B44" t="s">
        <v>15</v>
      </c>
      <c r="C44" t="s">
        <v>9</v>
      </c>
      <c r="D44">
        <v>14.17</v>
      </c>
      <c r="E44">
        <v>32.69</v>
      </c>
      <c r="F44">
        <v>2.3199999999999998</v>
      </c>
      <c r="G44">
        <v>16.170000000000002</v>
      </c>
      <c r="H44">
        <v>5.67</v>
      </c>
      <c r="I44">
        <v>9.81</v>
      </c>
      <c r="J44">
        <v>0.69</v>
      </c>
    </row>
    <row r="45" spans="1:10" x14ac:dyDescent="0.2">
      <c r="A45" t="s">
        <v>18</v>
      </c>
      <c r="B45" t="s">
        <v>15</v>
      </c>
      <c r="C45" t="s">
        <v>10</v>
      </c>
      <c r="D45">
        <v>14.64</v>
      </c>
      <c r="E45">
        <v>50</v>
      </c>
      <c r="F45">
        <v>6.01</v>
      </c>
      <c r="G45">
        <v>22.66</v>
      </c>
      <c r="H45">
        <v>5.86</v>
      </c>
      <c r="I45">
        <v>15</v>
      </c>
      <c r="J45">
        <v>1.8</v>
      </c>
    </row>
    <row r="46" spans="1:10" x14ac:dyDescent="0.2">
      <c r="A46" t="s">
        <v>18</v>
      </c>
      <c r="B46" t="s">
        <v>15</v>
      </c>
      <c r="C46" t="s">
        <v>11</v>
      </c>
      <c r="D46">
        <v>5.15</v>
      </c>
      <c r="E46">
        <v>69.23</v>
      </c>
      <c r="F46">
        <v>6.96</v>
      </c>
      <c r="G46">
        <v>24.92</v>
      </c>
      <c r="H46">
        <v>2.06</v>
      </c>
      <c r="I46">
        <v>20.77</v>
      </c>
      <c r="J46">
        <v>2.09</v>
      </c>
    </row>
    <row r="47" spans="1:10" x14ac:dyDescent="0.2">
      <c r="A47" t="s">
        <v>18</v>
      </c>
      <c r="B47" t="s">
        <v>15</v>
      </c>
      <c r="C47" t="s">
        <v>12</v>
      </c>
      <c r="D47">
        <v>14.12</v>
      </c>
      <c r="E47">
        <v>71.150000000000006</v>
      </c>
      <c r="F47">
        <v>14.76</v>
      </c>
      <c r="G47">
        <v>31.42</v>
      </c>
      <c r="H47">
        <v>5.65</v>
      </c>
      <c r="I47">
        <v>21.35</v>
      </c>
      <c r="J47">
        <v>4.43</v>
      </c>
    </row>
    <row r="48" spans="1:10" x14ac:dyDescent="0.2">
      <c r="A48" t="s">
        <v>18</v>
      </c>
      <c r="B48" t="s">
        <v>15</v>
      </c>
      <c r="C48" t="s">
        <v>13</v>
      </c>
      <c r="D48">
        <v>14.76</v>
      </c>
      <c r="E48">
        <v>42.31</v>
      </c>
      <c r="F48">
        <v>4.76</v>
      </c>
      <c r="G48">
        <v>20.02</v>
      </c>
      <c r="H48">
        <v>5.9</v>
      </c>
      <c r="I48">
        <v>12.69</v>
      </c>
      <c r="J48">
        <v>1.43</v>
      </c>
    </row>
    <row r="49" spans="1:10" x14ac:dyDescent="0.2">
      <c r="A49" t="s">
        <v>18</v>
      </c>
      <c r="B49" t="s">
        <v>15</v>
      </c>
      <c r="C49" t="s">
        <v>14</v>
      </c>
      <c r="D49">
        <v>25.41</v>
      </c>
      <c r="E49">
        <v>50</v>
      </c>
      <c r="F49">
        <v>19.11</v>
      </c>
      <c r="G49">
        <v>30.9</v>
      </c>
      <c r="H49">
        <v>10.16</v>
      </c>
      <c r="I49">
        <v>15</v>
      </c>
      <c r="J49">
        <v>5.73</v>
      </c>
    </row>
    <row r="50" spans="1:10" x14ac:dyDescent="0.2">
      <c r="A50" t="s">
        <v>18</v>
      </c>
      <c r="B50" t="s">
        <v>16</v>
      </c>
      <c r="C50" t="s">
        <v>9</v>
      </c>
      <c r="D50">
        <v>11</v>
      </c>
      <c r="E50">
        <v>32.69</v>
      </c>
      <c r="F50">
        <v>2.0699999999999998</v>
      </c>
      <c r="G50">
        <v>14.83</v>
      </c>
      <c r="H50">
        <v>4.4000000000000004</v>
      </c>
      <c r="I50">
        <v>9.81</v>
      </c>
      <c r="J50">
        <v>0.62</v>
      </c>
    </row>
    <row r="51" spans="1:10" x14ac:dyDescent="0.2">
      <c r="A51" t="s">
        <v>18</v>
      </c>
      <c r="B51" t="s">
        <v>16</v>
      </c>
      <c r="C51" t="s">
        <v>10</v>
      </c>
      <c r="D51">
        <v>12.71</v>
      </c>
      <c r="E51">
        <v>50</v>
      </c>
      <c r="F51">
        <v>5.97</v>
      </c>
      <c r="G51">
        <v>21.87</v>
      </c>
      <c r="H51">
        <v>5.08</v>
      </c>
      <c r="I51">
        <v>15</v>
      </c>
      <c r="J51">
        <v>1.79</v>
      </c>
    </row>
    <row r="52" spans="1:10" x14ac:dyDescent="0.2">
      <c r="A52" t="s">
        <v>18</v>
      </c>
      <c r="B52" t="s">
        <v>16</v>
      </c>
      <c r="C52" t="s">
        <v>11</v>
      </c>
      <c r="D52">
        <v>3.37</v>
      </c>
      <c r="E52">
        <v>69.23</v>
      </c>
      <c r="F52">
        <v>3.11</v>
      </c>
      <c r="G52">
        <v>23.05</v>
      </c>
      <c r="H52">
        <v>1.35</v>
      </c>
      <c r="I52">
        <v>20.77</v>
      </c>
      <c r="J52">
        <v>0.93</v>
      </c>
    </row>
    <row r="53" spans="1:10" x14ac:dyDescent="0.2">
      <c r="A53" t="s">
        <v>18</v>
      </c>
      <c r="B53" t="s">
        <v>16</v>
      </c>
      <c r="C53" t="s">
        <v>12</v>
      </c>
      <c r="D53">
        <v>11.67</v>
      </c>
      <c r="E53">
        <v>71.150000000000006</v>
      </c>
      <c r="F53">
        <v>12.01</v>
      </c>
      <c r="G53">
        <v>29.62</v>
      </c>
      <c r="H53">
        <v>4.67</v>
      </c>
      <c r="I53">
        <v>21.35</v>
      </c>
      <c r="J53">
        <v>3.6</v>
      </c>
    </row>
    <row r="54" spans="1:10" x14ac:dyDescent="0.2">
      <c r="A54" t="s">
        <v>18</v>
      </c>
      <c r="B54" t="s">
        <v>16</v>
      </c>
      <c r="C54" t="s">
        <v>13</v>
      </c>
      <c r="D54">
        <v>8.8699999999999992</v>
      </c>
      <c r="E54">
        <v>42.31</v>
      </c>
      <c r="F54">
        <v>4.22</v>
      </c>
      <c r="G54">
        <v>17.510000000000002</v>
      </c>
      <c r="H54">
        <v>3.55</v>
      </c>
      <c r="I54">
        <v>12.69</v>
      </c>
      <c r="J54">
        <v>1.27</v>
      </c>
    </row>
    <row r="55" spans="1:10" x14ac:dyDescent="0.2">
      <c r="A55" t="s">
        <v>18</v>
      </c>
      <c r="B55" t="s">
        <v>16</v>
      </c>
      <c r="C55" t="s">
        <v>14</v>
      </c>
      <c r="D55">
        <v>16.579999999999998</v>
      </c>
      <c r="E55">
        <v>50</v>
      </c>
      <c r="F55">
        <v>18.72</v>
      </c>
      <c r="G55">
        <v>27.25</v>
      </c>
      <c r="H55">
        <v>6.63</v>
      </c>
      <c r="I55">
        <v>15</v>
      </c>
      <c r="J55">
        <v>5.62</v>
      </c>
    </row>
    <row r="56" spans="1:10" x14ac:dyDescent="0.2">
      <c r="A56" t="s">
        <v>19</v>
      </c>
      <c r="B56" t="s">
        <v>8</v>
      </c>
      <c r="C56" t="s">
        <v>9</v>
      </c>
      <c r="D56">
        <v>20.190000000000001</v>
      </c>
      <c r="E56">
        <v>59.62</v>
      </c>
      <c r="F56">
        <v>6.25</v>
      </c>
      <c r="G56">
        <v>27.84</v>
      </c>
      <c r="H56">
        <v>8.08</v>
      </c>
      <c r="I56">
        <v>17.88</v>
      </c>
      <c r="J56">
        <v>1.87</v>
      </c>
    </row>
    <row r="57" spans="1:10" x14ac:dyDescent="0.2">
      <c r="A57" t="s">
        <v>19</v>
      </c>
      <c r="B57" t="s">
        <v>8</v>
      </c>
      <c r="C57" t="s">
        <v>10</v>
      </c>
      <c r="D57">
        <v>12.13</v>
      </c>
      <c r="E57">
        <v>63.46</v>
      </c>
      <c r="F57">
        <v>7.06</v>
      </c>
      <c r="G57">
        <v>26.01</v>
      </c>
      <c r="H57">
        <v>4.8499999999999996</v>
      </c>
      <c r="I57">
        <v>19.04</v>
      </c>
      <c r="J57">
        <v>2.12</v>
      </c>
    </row>
    <row r="58" spans="1:10" x14ac:dyDescent="0.2">
      <c r="A58" t="s">
        <v>19</v>
      </c>
      <c r="B58" t="s">
        <v>8</v>
      </c>
      <c r="C58" t="s">
        <v>11</v>
      </c>
      <c r="D58">
        <v>1.1399999999999999</v>
      </c>
      <c r="E58">
        <v>78.849999999999994</v>
      </c>
      <c r="F58">
        <v>4.0599999999999996</v>
      </c>
      <c r="G58">
        <v>25.33</v>
      </c>
      <c r="H58">
        <v>0.46</v>
      </c>
      <c r="I58">
        <v>23.65</v>
      </c>
      <c r="J58">
        <v>1.22</v>
      </c>
    </row>
    <row r="59" spans="1:10" x14ac:dyDescent="0.2">
      <c r="A59" t="s">
        <v>19</v>
      </c>
      <c r="B59" t="s">
        <v>8</v>
      </c>
      <c r="C59" t="s">
        <v>12</v>
      </c>
      <c r="D59">
        <v>11.4</v>
      </c>
      <c r="E59">
        <v>67.31</v>
      </c>
      <c r="F59">
        <v>22.23</v>
      </c>
      <c r="G59">
        <v>31.42</v>
      </c>
      <c r="H59">
        <v>4.5599999999999996</v>
      </c>
      <c r="I59">
        <v>20.190000000000001</v>
      </c>
      <c r="J59">
        <v>6.67</v>
      </c>
    </row>
    <row r="60" spans="1:10" x14ac:dyDescent="0.2">
      <c r="A60" t="s">
        <v>19</v>
      </c>
      <c r="B60" t="s">
        <v>8</v>
      </c>
      <c r="C60" t="s">
        <v>13</v>
      </c>
      <c r="D60">
        <v>11.69</v>
      </c>
      <c r="E60">
        <v>55.77</v>
      </c>
      <c r="F60">
        <v>5.73</v>
      </c>
      <c r="G60">
        <v>23.13</v>
      </c>
      <c r="H60">
        <v>4.68</v>
      </c>
      <c r="I60">
        <v>16.73</v>
      </c>
      <c r="J60">
        <v>1.72</v>
      </c>
    </row>
    <row r="61" spans="1:10" x14ac:dyDescent="0.2">
      <c r="A61" t="s">
        <v>19</v>
      </c>
      <c r="B61" t="s">
        <v>8</v>
      </c>
      <c r="C61" t="s">
        <v>14</v>
      </c>
      <c r="D61">
        <v>12.45</v>
      </c>
      <c r="E61">
        <v>73.08</v>
      </c>
      <c r="F61">
        <v>13.29</v>
      </c>
      <c r="G61">
        <v>30.89</v>
      </c>
      <c r="H61">
        <v>4.9800000000000004</v>
      </c>
      <c r="I61">
        <v>21.92</v>
      </c>
      <c r="J61">
        <v>3.99</v>
      </c>
    </row>
    <row r="62" spans="1:10" x14ac:dyDescent="0.2">
      <c r="A62" t="s">
        <v>19</v>
      </c>
      <c r="B62" t="s">
        <v>15</v>
      </c>
      <c r="C62" t="s">
        <v>9</v>
      </c>
      <c r="D62">
        <v>29.64</v>
      </c>
      <c r="E62">
        <v>59.62</v>
      </c>
      <c r="F62">
        <v>5.49</v>
      </c>
      <c r="G62">
        <v>31.39</v>
      </c>
      <c r="H62">
        <v>11.85</v>
      </c>
      <c r="I62">
        <v>17.88</v>
      </c>
      <c r="J62">
        <v>1.65</v>
      </c>
    </row>
    <row r="63" spans="1:10" x14ac:dyDescent="0.2">
      <c r="A63" t="s">
        <v>19</v>
      </c>
      <c r="B63" t="s">
        <v>15</v>
      </c>
      <c r="C63" t="s">
        <v>10</v>
      </c>
      <c r="D63">
        <v>15.36</v>
      </c>
      <c r="E63">
        <v>63.46</v>
      </c>
      <c r="F63">
        <v>6.51</v>
      </c>
      <c r="G63">
        <v>27.14</v>
      </c>
      <c r="H63">
        <v>6.15</v>
      </c>
      <c r="I63">
        <v>19.04</v>
      </c>
      <c r="J63">
        <v>1.95</v>
      </c>
    </row>
    <row r="64" spans="1:10" x14ac:dyDescent="0.2">
      <c r="A64" t="s">
        <v>19</v>
      </c>
      <c r="B64" t="s">
        <v>15</v>
      </c>
      <c r="C64" t="s">
        <v>11</v>
      </c>
      <c r="D64">
        <v>3.25</v>
      </c>
      <c r="E64">
        <v>78.849999999999994</v>
      </c>
      <c r="F64">
        <v>5.05</v>
      </c>
      <c r="G64">
        <v>26.47</v>
      </c>
      <c r="H64">
        <v>1.3</v>
      </c>
      <c r="I64">
        <v>23.65</v>
      </c>
      <c r="J64">
        <v>1.52</v>
      </c>
    </row>
    <row r="65" spans="1:10" x14ac:dyDescent="0.2">
      <c r="A65" t="s">
        <v>19</v>
      </c>
      <c r="B65" t="s">
        <v>15</v>
      </c>
      <c r="C65" t="s">
        <v>12</v>
      </c>
      <c r="D65">
        <v>20.96</v>
      </c>
      <c r="E65">
        <v>67.31</v>
      </c>
      <c r="F65">
        <v>15.31</v>
      </c>
      <c r="G65">
        <v>33.17</v>
      </c>
      <c r="H65">
        <v>8.39</v>
      </c>
      <c r="I65">
        <v>20.190000000000001</v>
      </c>
      <c r="J65">
        <v>4.59</v>
      </c>
    </row>
    <row r="66" spans="1:10" x14ac:dyDescent="0.2">
      <c r="A66" t="s">
        <v>19</v>
      </c>
      <c r="B66" t="s">
        <v>15</v>
      </c>
      <c r="C66" t="s">
        <v>13</v>
      </c>
      <c r="D66">
        <v>18.18</v>
      </c>
      <c r="E66">
        <v>55.77</v>
      </c>
      <c r="F66">
        <v>7.56</v>
      </c>
      <c r="G66">
        <v>26.27</v>
      </c>
      <c r="H66">
        <v>7.27</v>
      </c>
      <c r="I66">
        <v>16.73</v>
      </c>
      <c r="J66">
        <v>2.27</v>
      </c>
    </row>
    <row r="67" spans="1:10" x14ac:dyDescent="0.2">
      <c r="A67" t="s">
        <v>19</v>
      </c>
      <c r="B67" t="s">
        <v>15</v>
      </c>
      <c r="C67" t="s">
        <v>14</v>
      </c>
      <c r="D67">
        <v>29.88</v>
      </c>
      <c r="E67">
        <v>73.08</v>
      </c>
      <c r="F67">
        <v>35.53</v>
      </c>
      <c r="G67">
        <v>44.53</v>
      </c>
      <c r="H67">
        <v>11.95</v>
      </c>
      <c r="I67">
        <v>21.92</v>
      </c>
      <c r="J67">
        <v>10.66</v>
      </c>
    </row>
    <row r="68" spans="1:10" x14ac:dyDescent="0.2">
      <c r="A68" t="s">
        <v>19</v>
      </c>
      <c r="B68" t="s">
        <v>16</v>
      </c>
      <c r="C68" t="s">
        <v>9</v>
      </c>
      <c r="D68">
        <v>23.61</v>
      </c>
      <c r="E68">
        <v>59.62</v>
      </c>
      <c r="F68">
        <v>6.55</v>
      </c>
      <c r="G68">
        <v>29.29</v>
      </c>
      <c r="H68">
        <v>9.44</v>
      </c>
      <c r="I68">
        <v>17.88</v>
      </c>
      <c r="J68">
        <v>1.96</v>
      </c>
    </row>
    <row r="69" spans="1:10" x14ac:dyDescent="0.2">
      <c r="A69" t="s">
        <v>19</v>
      </c>
      <c r="B69" t="s">
        <v>16</v>
      </c>
      <c r="C69" t="s">
        <v>10</v>
      </c>
      <c r="D69">
        <v>13.61</v>
      </c>
      <c r="E69">
        <v>63.46</v>
      </c>
      <c r="F69">
        <v>10.62</v>
      </c>
      <c r="G69">
        <v>27.67</v>
      </c>
      <c r="H69">
        <v>5.44</v>
      </c>
      <c r="I69">
        <v>19.04</v>
      </c>
      <c r="J69">
        <v>3.19</v>
      </c>
    </row>
    <row r="70" spans="1:10" x14ac:dyDescent="0.2">
      <c r="A70" t="s">
        <v>19</v>
      </c>
      <c r="B70" t="s">
        <v>16</v>
      </c>
      <c r="C70" t="s">
        <v>11</v>
      </c>
      <c r="D70">
        <v>1.71</v>
      </c>
      <c r="E70">
        <v>78.849999999999994</v>
      </c>
      <c r="F70">
        <v>4.84</v>
      </c>
      <c r="G70">
        <v>25.79</v>
      </c>
      <c r="H70">
        <v>0.68</v>
      </c>
      <c r="I70">
        <v>23.65</v>
      </c>
      <c r="J70">
        <v>1.45</v>
      </c>
    </row>
    <row r="71" spans="1:10" x14ac:dyDescent="0.2">
      <c r="A71" t="s">
        <v>19</v>
      </c>
      <c r="B71" t="s">
        <v>16</v>
      </c>
      <c r="C71" t="s">
        <v>12</v>
      </c>
      <c r="D71">
        <v>15.45</v>
      </c>
      <c r="E71">
        <v>67.31</v>
      </c>
      <c r="F71">
        <v>18.61</v>
      </c>
      <c r="G71">
        <v>31.96</v>
      </c>
      <c r="H71">
        <v>6.18</v>
      </c>
      <c r="I71">
        <v>20.190000000000001</v>
      </c>
      <c r="J71">
        <v>5.58</v>
      </c>
    </row>
    <row r="72" spans="1:10" x14ac:dyDescent="0.2">
      <c r="A72" t="s">
        <v>19</v>
      </c>
      <c r="B72" t="s">
        <v>16</v>
      </c>
      <c r="C72" t="s">
        <v>13</v>
      </c>
      <c r="D72">
        <v>11.19</v>
      </c>
      <c r="E72">
        <v>55.77</v>
      </c>
      <c r="F72">
        <v>7.37</v>
      </c>
      <c r="G72">
        <v>23.42</v>
      </c>
      <c r="H72">
        <v>4.4800000000000004</v>
      </c>
      <c r="I72">
        <v>16.73</v>
      </c>
      <c r="J72">
        <v>2.21</v>
      </c>
    </row>
    <row r="73" spans="1:10" x14ac:dyDescent="0.2">
      <c r="A73" t="s">
        <v>19</v>
      </c>
      <c r="B73" t="s">
        <v>16</v>
      </c>
      <c r="C73" t="s">
        <v>14</v>
      </c>
      <c r="D73">
        <v>18.510000000000002</v>
      </c>
      <c r="E73">
        <v>73.08</v>
      </c>
      <c r="F73">
        <v>21.79</v>
      </c>
      <c r="G73">
        <v>35.86</v>
      </c>
      <c r="H73">
        <v>7.4</v>
      </c>
      <c r="I73">
        <v>21.92</v>
      </c>
      <c r="J73">
        <v>6.54</v>
      </c>
    </row>
    <row r="74" spans="1:10" x14ac:dyDescent="0.2">
      <c r="A74" t="s">
        <v>20</v>
      </c>
      <c r="B74" t="s">
        <v>8</v>
      </c>
      <c r="C74" t="s">
        <v>9</v>
      </c>
      <c r="D74">
        <v>25.43</v>
      </c>
      <c r="E74">
        <v>61.54</v>
      </c>
      <c r="F74">
        <v>10.01</v>
      </c>
      <c r="G74">
        <v>31.64</v>
      </c>
      <c r="H74">
        <v>10.17</v>
      </c>
      <c r="I74">
        <v>18.46</v>
      </c>
      <c r="J74">
        <v>3</v>
      </c>
    </row>
    <row r="75" spans="1:10" x14ac:dyDescent="0.2">
      <c r="A75" t="s">
        <v>20</v>
      </c>
      <c r="B75" t="s">
        <v>8</v>
      </c>
      <c r="C75" t="s">
        <v>10</v>
      </c>
      <c r="D75">
        <v>9.4600000000000009</v>
      </c>
      <c r="E75">
        <v>71.150000000000006</v>
      </c>
      <c r="F75">
        <v>7.96</v>
      </c>
      <c r="G75">
        <v>27.52</v>
      </c>
      <c r="H75">
        <v>3.79</v>
      </c>
      <c r="I75">
        <v>21.35</v>
      </c>
      <c r="J75">
        <v>2.39</v>
      </c>
    </row>
    <row r="76" spans="1:10" x14ac:dyDescent="0.2">
      <c r="A76" t="s">
        <v>20</v>
      </c>
      <c r="B76" t="s">
        <v>8</v>
      </c>
      <c r="C76" t="s">
        <v>11</v>
      </c>
      <c r="D76">
        <v>1.77</v>
      </c>
      <c r="E76">
        <v>78.849999999999994</v>
      </c>
      <c r="F76">
        <v>5.63</v>
      </c>
      <c r="G76">
        <v>26.05</v>
      </c>
      <c r="H76">
        <v>0.71</v>
      </c>
      <c r="I76">
        <v>23.65</v>
      </c>
      <c r="J76">
        <v>1.69</v>
      </c>
    </row>
    <row r="77" spans="1:10" x14ac:dyDescent="0.2">
      <c r="A77" t="s">
        <v>20</v>
      </c>
      <c r="B77" t="s">
        <v>8</v>
      </c>
      <c r="C77" t="s">
        <v>12</v>
      </c>
      <c r="D77">
        <v>9.1199999999999992</v>
      </c>
      <c r="E77">
        <v>63.46</v>
      </c>
      <c r="F77">
        <v>7.67</v>
      </c>
      <c r="G77">
        <v>24.99</v>
      </c>
      <c r="H77">
        <v>3.65</v>
      </c>
      <c r="I77">
        <v>19.04</v>
      </c>
      <c r="J77">
        <v>2.2999999999999998</v>
      </c>
    </row>
    <row r="78" spans="1:10" x14ac:dyDescent="0.2">
      <c r="A78" t="s">
        <v>20</v>
      </c>
      <c r="B78" t="s">
        <v>8</v>
      </c>
      <c r="C78" t="s">
        <v>13</v>
      </c>
      <c r="D78">
        <v>10.15</v>
      </c>
      <c r="E78">
        <v>69.23</v>
      </c>
      <c r="F78">
        <v>6.01</v>
      </c>
      <c r="G78">
        <v>26.63</v>
      </c>
      <c r="H78">
        <v>4.0599999999999996</v>
      </c>
      <c r="I78">
        <v>20.77</v>
      </c>
      <c r="J78">
        <v>1.8</v>
      </c>
    </row>
    <row r="79" spans="1:10" x14ac:dyDescent="0.2">
      <c r="A79" t="s">
        <v>20</v>
      </c>
      <c r="B79" t="s">
        <v>8</v>
      </c>
      <c r="C79" t="s">
        <v>14</v>
      </c>
      <c r="D79">
        <v>15.67</v>
      </c>
      <c r="E79">
        <v>82.69</v>
      </c>
      <c r="F79">
        <v>22.21</v>
      </c>
      <c r="G79">
        <v>37.74</v>
      </c>
      <c r="H79">
        <v>6.27</v>
      </c>
      <c r="I79">
        <v>24.81</v>
      </c>
      <c r="J79">
        <v>6.66</v>
      </c>
    </row>
    <row r="80" spans="1:10" x14ac:dyDescent="0.2">
      <c r="A80" t="s">
        <v>20</v>
      </c>
      <c r="B80" t="s">
        <v>15</v>
      </c>
      <c r="C80" t="s">
        <v>9</v>
      </c>
      <c r="D80">
        <v>35.19</v>
      </c>
      <c r="E80">
        <v>61.54</v>
      </c>
      <c r="F80">
        <v>9.2100000000000009</v>
      </c>
      <c r="G80">
        <v>35.299999999999997</v>
      </c>
      <c r="H80">
        <v>14.07</v>
      </c>
      <c r="I80">
        <v>18.46</v>
      </c>
      <c r="J80">
        <v>2.76</v>
      </c>
    </row>
    <row r="81" spans="1:10" x14ac:dyDescent="0.2">
      <c r="A81" t="s">
        <v>20</v>
      </c>
      <c r="B81" t="s">
        <v>15</v>
      </c>
      <c r="C81" t="s">
        <v>10</v>
      </c>
      <c r="D81">
        <v>12.46</v>
      </c>
      <c r="E81">
        <v>71.150000000000006</v>
      </c>
      <c r="F81">
        <v>5.67</v>
      </c>
      <c r="G81">
        <v>28.03</v>
      </c>
      <c r="H81">
        <v>4.9800000000000004</v>
      </c>
      <c r="I81">
        <v>21.35</v>
      </c>
      <c r="J81">
        <v>1.7</v>
      </c>
    </row>
    <row r="82" spans="1:10" x14ac:dyDescent="0.2">
      <c r="A82" t="s">
        <v>20</v>
      </c>
      <c r="B82" t="s">
        <v>15</v>
      </c>
      <c r="C82" t="s">
        <v>11</v>
      </c>
      <c r="D82">
        <v>3.87</v>
      </c>
      <c r="E82">
        <v>78.849999999999994</v>
      </c>
      <c r="F82">
        <v>5.76</v>
      </c>
      <c r="G82">
        <v>26.93</v>
      </c>
      <c r="H82">
        <v>1.55</v>
      </c>
      <c r="I82">
        <v>23.65</v>
      </c>
      <c r="J82">
        <v>1.73</v>
      </c>
    </row>
    <row r="83" spans="1:10" x14ac:dyDescent="0.2">
      <c r="A83" t="s">
        <v>20</v>
      </c>
      <c r="B83" t="s">
        <v>15</v>
      </c>
      <c r="C83" t="s">
        <v>12</v>
      </c>
      <c r="D83">
        <v>16.63</v>
      </c>
      <c r="E83">
        <v>63.46</v>
      </c>
      <c r="F83">
        <v>19.75</v>
      </c>
      <c r="G83">
        <v>31.61</v>
      </c>
      <c r="H83">
        <v>6.65</v>
      </c>
      <c r="I83">
        <v>19.04</v>
      </c>
      <c r="J83">
        <v>5.92</v>
      </c>
    </row>
    <row r="84" spans="1:10" x14ac:dyDescent="0.2">
      <c r="A84" t="s">
        <v>20</v>
      </c>
      <c r="B84" t="s">
        <v>15</v>
      </c>
      <c r="C84" t="s">
        <v>13</v>
      </c>
      <c r="D84">
        <v>17.02</v>
      </c>
      <c r="E84">
        <v>69.23</v>
      </c>
      <c r="F84">
        <v>6.9</v>
      </c>
      <c r="G84">
        <v>29.65</v>
      </c>
      <c r="H84">
        <v>6.81</v>
      </c>
      <c r="I84">
        <v>20.77</v>
      </c>
      <c r="J84">
        <v>2.0699999999999998</v>
      </c>
    </row>
    <row r="85" spans="1:10" x14ac:dyDescent="0.2">
      <c r="A85" t="s">
        <v>20</v>
      </c>
      <c r="B85" t="s">
        <v>15</v>
      </c>
      <c r="C85" t="s">
        <v>14</v>
      </c>
      <c r="D85">
        <v>35.31</v>
      </c>
      <c r="E85">
        <v>82.69</v>
      </c>
      <c r="F85">
        <v>29.65</v>
      </c>
      <c r="G85">
        <v>47.83</v>
      </c>
      <c r="H85">
        <v>14.12</v>
      </c>
      <c r="I85">
        <v>24.81</v>
      </c>
      <c r="J85">
        <v>8.89</v>
      </c>
    </row>
    <row r="86" spans="1:10" x14ac:dyDescent="0.2">
      <c r="A86" t="s">
        <v>20</v>
      </c>
      <c r="B86" t="s">
        <v>16</v>
      </c>
      <c r="C86" t="s">
        <v>9</v>
      </c>
      <c r="D86">
        <v>30.6</v>
      </c>
      <c r="E86">
        <v>61.54</v>
      </c>
      <c r="F86">
        <v>7.88</v>
      </c>
      <c r="G86">
        <v>33.07</v>
      </c>
      <c r="H86">
        <v>12.24</v>
      </c>
      <c r="I86">
        <v>18.46</v>
      </c>
      <c r="J86">
        <v>2.36</v>
      </c>
    </row>
    <row r="87" spans="1:10" x14ac:dyDescent="0.2">
      <c r="A87" t="s">
        <v>20</v>
      </c>
      <c r="B87" t="s">
        <v>16</v>
      </c>
      <c r="C87" t="s">
        <v>10</v>
      </c>
      <c r="D87">
        <v>11.74</v>
      </c>
      <c r="E87">
        <v>71.150000000000006</v>
      </c>
      <c r="F87">
        <v>13.3</v>
      </c>
      <c r="G87">
        <v>30.03</v>
      </c>
      <c r="H87">
        <v>4.6900000000000004</v>
      </c>
      <c r="I87">
        <v>21.35</v>
      </c>
      <c r="J87">
        <v>3.99</v>
      </c>
    </row>
    <row r="88" spans="1:10" x14ac:dyDescent="0.2">
      <c r="A88" t="s">
        <v>20</v>
      </c>
      <c r="B88" t="s">
        <v>16</v>
      </c>
      <c r="C88" t="s">
        <v>11</v>
      </c>
      <c r="D88">
        <v>2.59</v>
      </c>
      <c r="E88">
        <v>78.849999999999994</v>
      </c>
      <c r="F88">
        <v>5.4</v>
      </c>
      <c r="G88">
        <v>26.31</v>
      </c>
      <c r="H88">
        <v>1.04</v>
      </c>
      <c r="I88">
        <v>23.65</v>
      </c>
      <c r="J88">
        <v>1.62</v>
      </c>
    </row>
    <row r="89" spans="1:10" x14ac:dyDescent="0.2">
      <c r="A89" t="s">
        <v>20</v>
      </c>
      <c r="B89" t="s">
        <v>16</v>
      </c>
      <c r="C89" t="s">
        <v>12</v>
      </c>
      <c r="D89">
        <v>12.53</v>
      </c>
      <c r="E89">
        <v>63.46</v>
      </c>
      <c r="F89">
        <v>16.45</v>
      </c>
      <c r="G89">
        <v>28.99</v>
      </c>
      <c r="H89">
        <v>5.01</v>
      </c>
      <c r="I89">
        <v>19.04</v>
      </c>
      <c r="J89">
        <v>4.9400000000000004</v>
      </c>
    </row>
    <row r="90" spans="1:10" x14ac:dyDescent="0.2">
      <c r="A90" t="s">
        <v>20</v>
      </c>
      <c r="B90" t="s">
        <v>16</v>
      </c>
      <c r="C90" t="s">
        <v>13</v>
      </c>
      <c r="D90">
        <v>9.73</v>
      </c>
      <c r="E90">
        <v>69.23</v>
      </c>
      <c r="F90">
        <v>5.36</v>
      </c>
      <c r="G90">
        <v>26.27</v>
      </c>
      <c r="H90">
        <v>3.89</v>
      </c>
      <c r="I90">
        <v>20.77</v>
      </c>
      <c r="J90">
        <v>1.61</v>
      </c>
    </row>
    <row r="91" spans="1:10" x14ac:dyDescent="0.2">
      <c r="A91" t="s">
        <v>20</v>
      </c>
      <c r="B91" t="s">
        <v>16</v>
      </c>
      <c r="C91" t="s">
        <v>14</v>
      </c>
      <c r="D91">
        <v>22.29</v>
      </c>
      <c r="E91">
        <v>82.69</v>
      </c>
      <c r="F91">
        <v>21.81</v>
      </c>
      <c r="G91">
        <v>40.270000000000003</v>
      </c>
      <c r="H91">
        <v>8.92</v>
      </c>
      <c r="I91">
        <v>24.81</v>
      </c>
      <c r="J91">
        <v>6.54</v>
      </c>
    </row>
    <row r="92" spans="1:10" x14ac:dyDescent="0.2">
      <c r="A92" t="s">
        <v>21</v>
      </c>
      <c r="B92" t="s">
        <v>8</v>
      </c>
      <c r="C92" t="s">
        <v>9</v>
      </c>
      <c r="D92">
        <v>19</v>
      </c>
      <c r="E92">
        <v>57.69</v>
      </c>
      <c r="F92">
        <v>5.23</v>
      </c>
      <c r="G92">
        <v>26.47</v>
      </c>
      <c r="H92">
        <v>7.6</v>
      </c>
      <c r="I92">
        <v>17.309999999999999</v>
      </c>
      <c r="J92">
        <v>1.57</v>
      </c>
    </row>
    <row r="93" spans="1:10" x14ac:dyDescent="0.2">
      <c r="A93" t="s">
        <v>21</v>
      </c>
      <c r="B93" t="s">
        <v>8</v>
      </c>
      <c r="C93" t="s">
        <v>10</v>
      </c>
      <c r="D93">
        <v>19.489999999999998</v>
      </c>
      <c r="E93">
        <v>76.92</v>
      </c>
      <c r="F93">
        <v>6.59</v>
      </c>
      <c r="G93">
        <v>32.85</v>
      </c>
      <c r="H93">
        <v>7.8</v>
      </c>
      <c r="I93">
        <v>23.08</v>
      </c>
      <c r="J93">
        <v>1.98</v>
      </c>
    </row>
    <row r="94" spans="1:10" x14ac:dyDescent="0.2">
      <c r="A94" t="s">
        <v>21</v>
      </c>
      <c r="B94" t="s">
        <v>8</v>
      </c>
      <c r="C94" t="s">
        <v>11</v>
      </c>
      <c r="D94">
        <v>3.65</v>
      </c>
      <c r="E94">
        <v>67.31</v>
      </c>
      <c r="F94">
        <v>4.78</v>
      </c>
      <c r="G94">
        <v>23.09</v>
      </c>
      <c r="H94">
        <v>1.46</v>
      </c>
      <c r="I94">
        <v>20.190000000000001</v>
      </c>
      <c r="J94">
        <v>1.44</v>
      </c>
    </row>
    <row r="95" spans="1:10" x14ac:dyDescent="0.2">
      <c r="A95" t="s">
        <v>21</v>
      </c>
      <c r="B95" t="s">
        <v>8</v>
      </c>
      <c r="C95" t="s">
        <v>12</v>
      </c>
      <c r="D95">
        <v>8.91</v>
      </c>
      <c r="E95">
        <v>57.69</v>
      </c>
      <c r="F95">
        <v>13.92</v>
      </c>
      <c r="G95">
        <v>25.05</v>
      </c>
      <c r="H95">
        <v>3.56</v>
      </c>
      <c r="I95">
        <v>17.309999999999999</v>
      </c>
      <c r="J95">
        <v>4.18</v>
      </c>
    </row>
    <row r="96" spans="1:10" x14ac:dyDescent="0.2">
      <c r="A96" t="s">
        <v>21</v>
      </c>
      <c r="B96" t="s">
        <v>8</v>
      </c>
      <c r="C96" t="s">
        <v>13</v>
      </c>
      <c r="D96">
        <v>8.99</v>
      </c>
      <c r="E96">
        <v>73.08</v>
      </c>
      <c r="F96">
        <v>7.3</v>
      </c>
      <c r="G96">
        <v>27.71</v>
      </c>
      <c r="H96">
        <v>3.6</v>
      </c>
      <c r="I96">
        <v>21.92</v>
      </c>
      <c r="J96">
        <v>2.19</v>
      </c>
    </row>
    <row r="97" spans="1:10" x14ac:dyDescent="0.2">
      <c r="A97" t="s">
        <v>21</v>
      </c>
      <c r="B97" t="s">
        <v>8</v>
      </c>
      <c r="C97" t="s">
        <v>14</v>
      </c>
      <c r="D97">
        <v>20.57</v>
      </c>
      <c r="E97">
        <v>82.69</v>
      </c>
      <c r="F97">
        <v>12.58</v>
      </c>
      <c r="G97">
        <v>36.81</v>
      </c>
      <c r="H97">
        <v>8.23</v>
      </c>
      <c r="I97">
        <v>24.81</v>
      </c>
      <c r="J97">
        <v>3.77</v>
      </c>
    </row>
    <row r="98" spans="1:10" x14ac:dyDescent="0.2">
      <c r="A98" t="s">
        <v>21</v>
      </c>
      <c r="B98" t="s">
        <v>15</v>
      </c>
      <c r="C98" t="s">
        <v>9</v>
      </c>
      <c r="D98">
        <v>31.56</v>
      </c>
      <c r="E98">
        <v>57.69</v>
      </c>
      <c r="F98">
        <v>4.49</v>
      </c>
      <c r="G98">
        <v>31.28</v>
      </c>
      <c r="H98">
        <v>12.62</v>
      </c>
      <c r="I98">
        <v>17.309999999999999</v>
      </c>
      <c r="J98">
        <v>1.35</v>
      </c>
    </row>
    <row r="99" spans="1:10" x14ac:dyDescent="0.2">
      <c r="A99" t="s">
        <v>21</v>
      </c>
      <c r="B99" t="s">
        <v>15</v>
      </c>
      <c r="C99" t="s">
        <v>10</v>
      </c>
      <c r="D99">
        <v>23.05</v>
      </c>
      <c r="E99">
        <v>76.92</v>
      </c>
      <c r="F99">
        <v>6.87</v>
      </c>
      <c r="G99">
        <v>34.36</v>
      </c>
      <c r="H99">
        <v>9.2200000000000006</v>
      </c>
      <c r="I99">
        <v>23.08</v>
      </c>
      <c r="J99">
        <v>2.06</v>
      </c>
    </row>
    <row r="100" spans="1:10" x14ac:dyDescent="0.2">
      <c r="A100" t="s">
        <v>21</v>
      </c>
      <c r="B100" t="s">
        <v>15</v>
      </c>
      <c r="C100" t="s">
        <v>11</v>
      </c>
      <c r="D100">
        <v>6.92</v>
      </c>
      <c r="E100">
        <v>67.31</v>
      </c>
      <c r="F100">
        <v>3.44</v>
      </c>
      <c r="G100">
        <v>23.99</v>
      </c>
      <c r="H100">
        <v>2.77</v>
      </c>
      <c r="I100">
        <v>20.190000000000001</v>
      </c>
      <c r="J100">
        <v>1.03</v>
      </c>
    </row>
    <row r="101" spans="1:10" x14ac:dyDescent="0.2">
      <c r="A101" t="s">
        <v>21</v>
      </c>
      <c r="B101" t="s">
        <v>15</v>
      </c>
      <c r="C101" t="s">
        <v>12</v>
      </c>
      <c r="D101">
        <v>15.86</v>
      </c>
      <c r="E101">
        <v>57.69</v>
      </c>
      <c r="F101">
        <v>12.25</v>
      </c>
      <c r="G101">
        <v>27.32</v>
      </c>
      <c r="H101">
        <v>6.34</v>
      </c>
      <c r="I101">
        <v>17.309999999999999</v>
      </c>
      <c r="J101">
        <v>3.68</v>
      </c>
    </row>
    <row r="102" spans="1:10" x14ac:dyDescent="0.2">
      <c r="A102" t="s">
        <v>21</v>
      </c>
      <c r="B102" t="s">
        <v>15</v>
      </c>
      <c r="C102" t="s">
        <v>13</v>
      </c>
      <c r="D102">
        <v>18.350000000000001</v>
      </c>
      <c r="E102">
        <v>73.08</v>
      </c>
      <c r="F102">
        <v>3.84</v>
      </c>
      <c r="G102">
        <v>30.42</v>
      </c>
      <c r="H102">
        <v>7.34</v>
      </c>
      <c r="I102">
        <v>21.92</v>
      </c>
      <c r="J102">
        <v>1.1499999999999999</v>
      </c>
    </row>
    <row r="103" spans="1:10" x14ac:dyDescent="0.2">
      <c r="A103" t="s">
        <v>21</v>
      </c>
      <c r="B103" t="s">
        <v>15</v>
      </c>
      <c r="C103" t="s">
        <v>14</v>
      </c>
      <c r="D103">
        <v>40.93</v>
      </c>
      <c r="E103">
        <v>82.69</v>
      </c>
      <c r="F103">
        <v>24.32</v>
      </c>
      <c r="G103">
        <v>48.47</v>
      </c>
      <c r="H103">
        <v>16.37</v>
      </c>
      <c r="I103">
        <v>24.81</v>
      </c>
      <c r="J103">
        <v>7.3</v>
      </c>
    </row>
    <row r="104" spans="1:10" x14ac:dyDescent="0.2">
      <c r="A104" t="s">
        <v>21</v>
      </c>
      <c r="B104" t="s">
        <v>16</v>
      </c>
      <c r="C104" t="s">
        <v>9</v>
      </c>
      <c r="D104">
        <v>26.47</v>
      </c>
      <c r="E104">
        <v>57.69</v>
      </c>
      <c r="F104">
        <v>5.44</v>
      </c>
      <c r="G104">
        <v>29.53</v>
      </c>
      <c r="H104">
        <v>10.59</v>
      </c>
      <c r="I104">
        <v>17.309999999999999</v>
      </c>
      <c r="J104">
        <v>1.63</v>
      </c>
    </row>
    <row r="105" spans="1:10" x14ac:dyDescent="0.2">
      <c r="A105" t="s">
        <v>21</v>
      </c>
      <c r="B105" t="s">
        <v>16</v>
      </c>
      <c r="C105" t="s">
        <v>10</v>
      </c>
      <c r="D105">
        <v>20.64</v>
      </c>
      <c r="E105">
        <v>76.92</v>
      </c>
      <c r="F105">
        <v>10.71</v>
      </c>
      <c r="G105">
        <v>34.54</v>
      </c>
      <c r="H105">
        <v>8.25</v>
      </c>
      <c r="I105">
        <v>23.08</v>
      </c>
      <c r="J105">
        <v>3.21</v>
      </c>
    </row>
    <row r="106" spans="1:10" x14ac:dyDescent="0.2">
      <c r="A106" t="s">
        <v>21</v>
      </c>
      <c r="B106" t="s">
        <v>16</v>
      </c>
      <c r="C106" t="s">
        <v>11</v>
      </c>
      <c r="D106">
        <v>5.09</v>
      </c>
      <c r="E106">
        <v>67.31</v>
      </c>
      <c r="F106">
        <v>3.98</v>
      </c>
      <c r="G106">
        <v>23.42</v>
      </c>
      <c r="H106">
        <v>2.0299999999999998</v>
      </c>
      <c r="I106">
        <v>20.190000000000001</v>
      </c>
      <c r="J106">
        <v>1.19</v>
      </c>
    </row>
    <row r="107" spans="1:10" x14ac:dyDescent="0.2">
      <c r="A107" t="s">
        <v>21</v>
      </c>
      <c r="B107" t="s">
        <v>16</v>
      </c>
      <c r="C107" t="s">
        <v>12</v>
      </c>
      <c r="D107">
        <v>12.09</v>
      </c>
      <c r="E107">
        <v>57.69</v>
      </c>
      <c r="F107">
        <v>17.09</v>
      </c>
      <c r="G107">
        <v>27.27</v>
      </c>
      <c r="H107">
        <v>4.83</v>
      </c>
      <c r="I107">
        <v>17.309999999999999</v>
      </c>
      <c r="J107">
        <v>5.13</v>
      </c>
    </row>
    <row r="108" spans="1:10" x14ac:dyDescent="0.2">
      <c r="A108" t="s">
        <v>21</v>
      </c>
      <c r="B108" t="s">
        <v>16</v>
      </c>
      <c r="C108" t="s">
        <v>13</v>
      </c>
      <c r="D108">
        <v>9.27</v>
      </c>
      <c r="E108">
        <v>73.08</v>
      </c>
      <c r="F108">
        <v>4.8499999999999996</v>
      </c>
      <c r="G108">
        <v>27.09</v>
      </c>
      <c r="H108">
        <v>3.71</v>
      </c>
      <c r="I108">
        <v>21.92</v>
      </c>
      <c r="J108">
        <v>1.45</v>
      </c>
    </row>
    <row r="109" spans="1:10" x14ac:dyDescent="0.2">
      <c r="A109" t="s">
        <v>21</v>
      </c>
      <c r="B109" t="s">
        <v>16</v>
      </c>
      <c r="C109" t="s">
        <v>14</v>
      </c>
      <c r="D109">
        <v>27.27</v>
      </c>
      <c r="E109">
        <v>82.69</v>
      </c>
      <c r="F109">
        <v>29.27</v>
      </c>
      <c r="G109">
        <v>44.5</v>
      </c>
      <c r="H109">
        <v>10.91</v>
      </c>
      <c r="I109">
        <v>24.81</v>
      </c>
      <c r="J109">
        <v>8.7799999999999994</v>
      </c>
    </row>
    <row r="110" spans="1:10" x14ac:dyDescent="0.2">
      <c r="A110" t="s">
        <v>22</v>
      </c>
      <c r="B110" t="s">
        <v>8</v>
      </c>
      <c r="C110" t="s">
        <v>9</v>
      </c>
      <c r="D110">
        <v>15.08</v>
      </c>
      <c r="E110">
        <v>51.92</v>
      </c>
      <c r="F110">
        <v>2.97</v>
      </c>
      <c r="G110">
        <v>22.5</v>
      </c>
      <c r="H110">
        <v>6.03</v>
      </c>
      <c r="I110">
        <v>15.58</v>
      </c>
      <c r="J110">
        <v>0.89</v>
      </c>
    </row>
    <row r="111" spans="1:10" x14ac:dyDescent="0.2">
      <c r="A111" t="s">
        <v>22</v>
      </c>
      <c r="B111" t="s">
        <v>8</v>
      </c>
      <c r="C111" t="s">
        <v>10</v>
      </c>
      <c r="D111">
        <v>17.190000000000001</v>
      </c>
      <c r="E111">
        <v>69.23</v>
      </c>
      <c r="F111">
        <v>9.52</v>
      </c>
      <c r="G111">
        <v>30.5</v>
      </c>
      <c r="H111">
        <v>6.88</v>
      </c>
      <c r="I111">
        <v>20.77</v>
      </c>
      <c r="J111">
        <v>2.86</v>
      </c>
    </row>
    <row r="112" spans="1:10" x14ac:dyDescent="0.2">
      <c r="A112" t="s">
        <v>22</v>
      </c>
      <c r="B112" t="s">
        <v>8</v>
      </c>
      <c r="C112" t="s">
        <v>11</v>
      </c>
      <c r="D112">
        <v>0.93</v>
      </c>
      <c r="E112">
        <v>67.31</v>
      </c>
      <c r="F112">
        <v>2.2599999999999998</v>
      </c>
      <c r="G112">
        <v>21.24</v>
      </c>
      <c r="H112">
        <v>0.37</v>
      </c>
      <c r="I112">
        <v>20.190000000000001</v>
      </c>
      <c r="J112">
        <v>0.68</v>
      </c>
    </row>
    <row r="113" spans="1:10" x14ac:dyDescent="0.2">
      <c r="A113" t="s">
        <v>22</v>
      </c>
      <c r="B113" t="s">
        <v>8</v>
      </c>
      <c r="C113" t="s">
        <v>12</v>
      </c>
      <c r="D113">
        <v>9.7899999999999991</v>
      </c>
      <c r="E113">
        <v>63.46</v>
      </c>
      <c r="F113">
        <v>15.71</v>
      </c>
      <c r="G113">
        <v>27.67</v>
      </c>
      <c r="H113">
        <v>3.91</v>
      </c>
      <c r="I113">
        <v>19.04</v>
      </c>
      <c r="J113">
        <v>4.71</v>
      </c>
    </row>
    <row r="114" spans="1:10" x14ac:dyDescent="0.2">
      <c r="A114" t="s">
        <v>22</v>
      </c>
      <c r="B114" t="s">
        <v>8</v>
      </c>
      <c r="C114" t="s">
        <v>13</v>
      </c>
      <c r="D114">
        <v>8.77</v>
      </c>
      <c r="E114">
        <v>73.08</v>
      </c>
      <c r="F114">
        <v>4.29</v>
      </c>
      <c r="G114">
        <v>26.72</v>
      </c>
      <c r="H114">
        <v>3.51</v>
      </c>
      <c r="I114">
        <v>21.92</v>
      </c>
      <c r="J114">
        <v>1.29</v>
      </c>
    </row>
    <row r="115" spans="1:10" x14ac:dyDescent="0.2">
      <c r="A115" t="s">
        <v>22</v>
      </c>
      <c r="B115" t="s">
        <v>8</v>
      </c>
      <c r="C115" t="s">
        <v>14</v>
      </c>
      <c r="D115">
        <v>22.75</v>
      </c>
      <c r="E115">
        <v>71.150000000000006</v>
      </c>
      <c r="F115">
        <v>17.07</v>
      </c>
      <c r="G115">
        <v>35.57</v>
      </c>
      <c r="H115">
        <v>9.1</v>
      </c>
      <c r="I115">
        <v>21.35</v>
      </c>
      <c r="J115">
        <v>5.12</v>
      </c>
    </row>
    <row r="116" spans="1:10" x14ac:dyDescent="0.2">
      <c r="A116" t="s">
        <v>22</v>
      </c>
      <c r="B116" t="s">
        <v>15</v>
      </c>
      <c r="C116" t="s">
        <v>9</v>
      </c>
      <c r="D116">
        <v>22.64</v>
      </c>
      <c r="E116">
        <v>51.92</v>
      </c>
      <c r="F116">
        <v>4.42</v>
      </c>
      <c r="G116">
        <v>25.96</v>
      </c>
      <c r="H116">
        <v>9.06</v>
      </c>
      <c r="I116">
        <v>15.58</v>
      </c>
      <c r="J116">
        <v>1.33</v>
      </c>
    </row>
    <row r="117" spans="1:10" x14ac:dyDescent="0.2">
      <c r="A117" t="s">
        <v>22</v>
      </c>
      <c r="B117" t="s">
        <v>15</v>
      </c>
      <c r="C117" t="s">
        <v>10</v>
      </c>
      <c r="D117">
        <v>21.89</v>
      </c>
      <c r="E117">
        <v>69.23</v>
      </c>
      <c r="F117">
        <v>7.44</v>
      </c>
      <c r="G117">
        <v>31.76</v>
      </c>
      <c r="H117">
        <v>8.76</v>
      </c>
      <c r="I117">
        <v>20.77</v>
      </c>
      <c r="J117">
        <v>2.23</v>
      </c>
    </row>
    <row r="118" spans="1:10" x14ac:dyDescent="0.2">
      <c r="A118" t="s">
        <v>22</v>
      </c>
      <c r="B118" t="s">
        <v>15</v>
      </c>
      <c r="C118" t="s">
        <v>11</v>
      </c>
      <c r="D118">
        <v>2.82</v>
      </c>
      <c r="E118">
        <v>67.31</v>
      </c>
      <c r="F118">
        <v>4.3099999999999996</v>
      </c>
      <c r="G118">
        <v>22.62</v>
      </c>
      <c r="H118">
        <v>1.1299999999999999</v>
      </c>
      <c r="I118">
        <v>20.190000000000001</v>
      </c>
      <c r="J118">
        <v>1.29</v>
      </c>
    </row>
    <row r="119" spans="1:10" x14ac:dyDescent="0.2">
      <c r="A119" t="s">
        <v>22</v>
      </c>
      <c r="B119" t="s">
        <v>15</v>
      </c>
      <c r="C119" t="s">
        <v>12</v>
      </c>
      <c r="D119">
        <v>15.01</v>
      </c>
      <c r="E119">
        <v>63.46</v>
      </c>
      <c r="F119">
        <v>13.48</v>
      </c>
      <c r="G119">
        <v>29.08</v>
      </c>
      <c r="H119">
        <v>6</v>
      </c>
      <c r="I119">
        <v>19.04</v>
      </c>
      <c r="J119">
        <v>4.04</v>
      </c>
    </row>
    <row r="120" spans="1:10" x14ac:dyDescent="0.2">
      <c r="A120" t="s">
        <v>22</v>
      </c>
      <c r="B120" t="s">
        <v>15</v>
      </c>
      <c r="C120" t="s">
        <v>13</v>
      </c>
      <c r="D120">
        <v>15.47</v>
      </c>
      <c r="E120">
        <v>73.08</v>
      </c>
      <c r="F120">
        <v>4.93</v>
      </c>
      <c r="G120">
        <v>29.59</v>
      </c>
      <c r="H120">
        <v>6.19</v>
      </c>
      <c r="I120">
        <v>21.92</v>
      </c>
      <c r="J120">
        <v>1.48</v>
      </c>
    </row>
    <row r="121" spans="1:10" x14ac:dyDescent="0.2">
      <c r="A121" t="s">
        <v>22</v>
      </c>
      <c r="B121" t="s">
        <v>15</v>
      </c>
      <c r="C121" t="s">
        <v>14</v>
      </c>
      <c r="D121">
        <v>43.5</v>
      </c>
      <c r="E121">
        <v>71.150000000000006</v>
      </c>
      <c r="F121">
        <v>31.71</v>
      </c>
      <c r="G121">
        <v>48.26</v>
      </c>
      <c r="H121">
        <v>17.399999999999999</v>
      </c>
      <c r="I121">
        <v>21.35</v>
      </c>
      <c r="J121">
        <v>9.51</v>
      </c>
    </row>
    <row r="122" spans="1:10" x14ac:dyDescent="0.2">
      <c r="A122" t="s">
        <v>22</v>
      </c>
      <c r="B122" t="s">
        <v>16</v>
      </c>
      <c r="C122" t="s">
        <v>9</v>
      </c>
      <c r="D122">
        <v>20.059999999999999</v>
      </c>
      <c r="E122">
        <v>51.92</v>
      </c>
      <c r="F122">
        <v>7.36</v>
      </c>
      <c r="G122">
        <v>25.81</v>
      </c>
      <c r="H122">
        <v>8.02</v>
      </c>
      <c r="I122">
        <v>15.58</v>
      </c>
      <c r="J122">
        <v>2.21</v>
      </c>
    </row>
    <row r="123" spans="1:10" x14ac:dyDescent="0.2">
      <c r="A123" t="s">
        <v>22</v>
      </c>
      <c r="B123" t="s">
        <v>16</v>
      </c>
      <c r="C123" t="s">
        <v>10</v>
      </c>
      <c r="D123">
        <v>19.78</v>
      </c>
      <c r="E123">
        <v>69.23</v>
      </c>
      <c r="F123">
        <v>11.59</v>
      </c>
      <c r="G123">
        <v>32.159999999999997</v>
      </c>
      <c r="H123">
        <v>7.91</v>
      </c>
      <c r="I123">
        <v>20.77</v>
      </c>
      <c r="J123">
        <v>3.48</v>
      </c>
    </row>
    <row r="124" spans="1:10" x14ac:dyDescent="0.2">
      <c r="A124" t="s">
        <v>22</v>
      </c>
      <c r="B124" t="s">
        <v>16</v>
      </c>
      <c r="C124" t="s">
        <v>11</v>
      </c>
      <c r="D124">
        <v>1.6</v>
      </c>
      <c r="E124">
        <v>67.31</v>
      </c>
      <c r="F124">
        <v>9.1300000000000008</v>
      </c>
      <c r="G124">
        <v>23.57</v>
      </c>
      <c r="H124">
        <v>0.64</v>
      </c>
      <c r="I124">
        <v>20.190000000000001</v>
      </c>
      <c r="J124">
        <v>2.74</v>
      </c>
    </row>
    <row r="125" spans="1:10" x14ac:dyDescent="0.2">
      <c r="A125" t="s">
        <v>22</v>
      </c>
      <c r="B125" t="s">
        <v>16</v>
      </c>
      <c r="C125" t="s">
        <v>12</v>
      </c>
      <c r="D125">
        <v>11.79</v>
      </c>
      <c r="E125">
        <v>63.46</v>
      </c>
      <c r="F125">
        <v>10.79</v>
      </c>
      <c r="G125">
        <v>26.99</v>
      </c>
      <c r="H125">
        <v>4.72</v>
      </c>
      <c r="I125">
        <v>19.04</v>
      </c>
      <c r="J125">
        <v>3.24</v>
      </c>
    </row>
    <row r="126" spans="1:10" x14ac:dyDescent="0.2">
      <c r="A126" t="s">
        <v>22</v>
      </c>
      <c r="B126" t="s">
        <v>16</v>
      </c>
      <c r="C126" t="s">
        <v>13</v>
      </c>
      <c r="D126">
        <v>7.98</v>
      </c>
      <c r="E126">
        <v>73.08</v>
      </c>
      <c r="F126">
        <v>5.71</v>
      </c>
      <c r="G126">
        <v>26.83</v>
      </c>
      <c r="H126">
        <v>3.19</v>
      </c>
      <c r="I126">
        <v>21.92</v>
      </c>
      <c r="J126">
        <v>1.71</v>
      </c>
    </row>
    <row r="127" spans="1:10" x14ac:dyDescent="0.2">
      <c r="A127" t="s">
        <v>22</v>
      </c>
      <c r="B127" t="s">
        <v>16</v>
      </c>
      <c r="C127" t="s">
        <v>14</v>
      </c>
      <c r="D127">
        <v>30.09</v>
      </c>
      <c r="E127">
        <v>71.150000000000006</v>
      </c>
      <c r="F127">
        <v>43.49</v>
      </c>
      <c r="G127">
        <v>46.43</v>
      </c>
      <c r="H127">
        <v>12.04</v>
      </c>
      <c r="I127">
        <v>21.35</v>
      </c>
      <c r="J127">
        <v>13.05</v>
      </c>
    </row>
    <row r="128" spans="1:10" x14ac:dyDescent="0.2">
      <c r="A128" t="s">
        <v>23</v>
      </c>
      <c r="B128" t="s">
        <v>8</v>
      </c>
      <c r="C128" t="s">
        <v>9</v>
      </c>
      <c r="D128">
        <v>13.97</v>
      </c>
      <c r="E128">
        <v>53.85</v>
      </c>
      <c r="F128">
        <v>2.91</v>
      </c>
      <c r="G128">
        <v>22.62</v>
      </c>
      <c r="H128">
        <v>5.59</v>
      </c>
      <c r="I128">
        <v>16.149999999999999</v>
      </c>
      <c r="J128">
        <v>0.87</v>
      </c>
    </row>
    <row r="129" spans="1:10" x14ac:dyDescent="0.2">
      <c r="A129" t="s">
        <v>23</v>
      </c>
      <c r="B129" t="s">
        <v>8</v>
      </c>
      <c r="C129" t="s">
        <v>10</v>
      </c>
      <c r="D129">
        <v>22.57</v>
      </c>
      <c r="E129">
        <v>69.23</v>
      </c>
      <c r="F129">
        <v>12.43</v>
      </c>
      <c r="G129">
        <v>33.53</v>
      </c>
      <c r="H129">
        <v>9.0299999999999994</v>
      </c>
      <c r="I129">
        <v>20.77</v>
      </c>
      <c r="J129">
        <v>3.73</v>
      </c>
    </row>
    <row r="130" spans="1:10" x14ac:dyDescent="0.2">
      <c r="A130" t="s">
        <v>23</v>
      </c>
      <c r="B130" t="s">
        <v>8</v>
      </c>
      <c r="C130" t="s">
        <v>11</v>
      </c>
      <c r="D130">
        <v>2.27</v>
      </c>
      <c r="E130">
        <v>69.23</v>
      </c>
      <c r="F130">
        <v>4.17</v>
      </c>
      <c r="G130">
        <v>22.93</v>
      </c>
      <c r="H130">
        <v>0.91</v>
      </c>
      <c r="I130">
        <v>20.77</v>
      </c>
      <c r="J130">
        <v>1.25</v>
      </c>
    </row>
    <row r="131" spans="1:10" x14ac:dyDescent="0.2">
      <c r="A131" t="s">
        <v>23</v>
      </c>
      <c r="B131" t="s">
        <v>8</v>
      </c>
      <c r="C131" t="s">
        <v>12</v>
      </c>
      <c r="D131">
        <v>8.08</v>
      </c>
      <c r="E131">
        <v>53.85</v>
      </c>
      <c r="F131">
        <v>10.17</v>
      </c>
      <c r="G131">
        <v>22.44</v>
      </c>
      <c r="H131">
        <v>3.23</v>
      </c>
      <c r="I131">
        <v>16.149999999999999</v>
      </c>
      <c r="J131">
        <v>3.05</v>
      </c>
    </row>
    <row r="132" spans="1:10" x14ac:dyDescent="0.2">
      <c r="A132" t="s">
        <v>23</v>
      </c>
      <c r="B132" t="s">
        <v>8</v>
      </c>
      <c r="C132" t="s">
        <v>13</v>
      </c>
      <c r="D132">
        <v>8.84</v>
      </c>
      <c r="E132">
        <v>63.46</v>
      </c>
      <c r="F132">
        <v>4.82</v>
      </c>
      <c r="G132">
        <v>24.02</v>
      </c>
      <c r="H132">
        <v>3.54</v>
      </c>
      <c r="I132">
        <v>19.04</v>
      </c>
      <c r="J132">
        <v>1.45</v>
      </c>
    </row>
    <row r="133" spans="1:10" x14ac:dyDescent="0.2">
      <c r="A133" t="s">
        <v>23</v>
      </c>
      <c r="B133" t="s">
        <v>8</v>
      </c>
      <c r="C133" t="s">
        <v>14</v>
      </c>
      <c r="D133">
        <v>18.45</v>
      </c>
      <c r="E133">
        <v>73.08</v>
      </c>
      <c r="F133">
        <v>12.7</v>
      </c>
      <c r="G133">
        <v>33.11</v>
      </c>
      <c r="H133">
        <v>7.38</v>
      </c>
      <c r="I133">
        <v>21.92</v>
      </c>
      <c r="J133">
        <v>3.81</v>
      </c>
    </row>
    <row r="134" spans="1:10" x14ac:dyDescent="0.2">
      <c r="A134" t="s">
        <v>23</v>
      </c>
      <c r="B134" t="s">
        <v>15</v>
      </c>
      <c r="C134" t="s">
        <v>9</v>
      </c>
      <c r="D134">
        <v>21.36</v>
      </c>
      <c r="E134">
        <v>53.85</v>
      </c>
      <c r="F134">
        <v>6.17</v>
      </c>
      <c r="G134">
        <v>26.55</v>
      </c>
      <c r="H134">
        <v>8.5399999999999991</v>
      </c>
      <c r="I134">
        <v>16.149999999999999</v>
      </c>
      <c r="J134">
        <v>1.85</v>
      </c>
    </row>
    <row r="135" spans="1:10" x14ac:dyDescent="0.2">
      <c r="A135" t="s">
        <v>23</v>
      </c>
      <c r="B135" t="s">
        <v>15</v>
      </c>
      <c r="C135" t="s">
        <v>10</v>
      </c>
      <c r="D135">
        <v>28.5</v>
      </c>
      <c r="E135">
        <v>69.23</v>
      </c>
      <c r="F135">
        <v>9.2799999999999994</v>
      </c>
      <c r="G135">
        <v>34.950000000000003</v>
      </c>
      <c r="H135">
        <v>11.4</v>
      </c>
      <c r="I135">
        <v>20.77</v>
      </c>
      <c r="J135">
        <v>2.78</v>
      </c>
    </row>
    <row r="136" spans="1:10" x14ac:dyDescent="0.2">
      <c r="A136" t="s">
        <v>23</v>
      </c>
      <c r="B136" t="s">
        <v>15</v>
      </c>
      <c r="C136" t="s">
        <v>11</v>
      </c>
      <c r="D136">
        <v>4.4000000000000004</v>
      </c>
      <c r="E136">
        <v>69.23</v>
      </c>
      <c r="F136">
        <v>14.27</v>
      </c>
      <c r="G136">
        <v>26.81</v>
      </c>
      <c r="H136">
        <v>1.76</v>
      </c>
      <c r="I136">
        <v>20.77</v>
      </c>
      <c r="J136">
        <v>4.28</v>
      </c>
    </row>
    <row r="137" spans="1:10" x14ac:dyDescent="0.2">
      <c r="A137" t="s">
        <v>23</v>
      </c>
      <c r="B137" t="s">
        <v>15</v>
      </c>
      <c r="C137" t="s">
        <v>12</v>
      </c>
      <c r="D137">
        <v>14.53</v>
      </c>
      <c r="E137">
        <v>53.85</v>
      </c>
      <c r="F137">
        <v>9.0399999999999991</v>
      </c>
      <c r="G137">
        <v>24.68</v>
      </c>
      <c r="H137">
        <v>5.81</v>
      </c>
      <c r="I137">
        <v>16.149999999999999</v>
      </c>
      <c r="J137">
        <v>2.71</v>
      </c>
    </row>
    <row r="138" spans="1:10" x14ac:dyDescent="0.2">
      <c r="A138" t="s">
        <v>23</v>
      </c>
      <c r="B138" t="s">
        <v>15</v>
      </c>
      <c r="C138" t="s">
        <v>13</v>
      </c>
      <c r="D138">
        <v>13.88</v>
      </c>
      <c r="E138">
        <v>63.46</v>
      </c>
      <c r="F138">
        <v>7.22</v>
      </c>
      <c r="G138">
        <v>26.76</v>
      </c>
      <c r="H138">
        <v>5.55</v>
      </c>
      <c r="I138">
        <v>19.04</v>
      </c>
      <c r="J138">
        <v>2.17</v>
      </c>
    </row>
    <row r="139" spans="1:10" x14ac:dyDescent="0.2">
      <c r="A139" t="s">
        <v>23</v>
      </c>
      <c r="B139" t="s">
        <v>15</v>
      </c>
      <c r="C139" t="s">
        <v>14</v>
      </c>
      <c r="D139">
        <v>39.08</v>
      </c>
      <c r="E139">
        <v>73.08</v>
      </c>
      <c r="F139">
        <v>23.74</v>
      </c>
      <c r="G139">
        <v>44.68</v>
      </c>
      <c r="H139">
        <v>15.63</v>
      </c>
      <c r="I139">
        <v>21.92</v>
      </c>
      <c r="J139">
        <v>7.12</v>
      </c>
    </row>
    <row r="140" spans="1:10" x14ac:dyDescent="0.2">
      <c r="A140" t="s">
        <v>23</v>
      </c>
      <c r="B140" t="s">
        <v>16</v>
      </c>
      <c r="C140" t="s">
        <v>9</v>
      </c>
      <c r="D140">
        <v>17.170000000000002</v>
      </c>
      <c r="E140">
        <v>53.85</v>
      </c>
      <c r="F140">
        <v>6.61</v>
      </c>
      <c r="G140">
        <v>25.01</v>
      </c>
      <c r="H140">
        <v>6.87</v>
      </c>
      <c r="I140">
        <v>16.149999999999999</v>
      </c>
      <c r="J140">
        <v>1.98</v>
      </c>
    </row>
    <row r="141" spans="1:10" x14ac:dyDescent="0.2">
      <c r="A141" t="s">
        <v>23</v>
      </c>
      <c r="B141" t="s">
        <v>16</v>
      </c>
      <c r="C141" t="s">
        <v>10</v>
      </c>
      <c r="D141">
        <v>24.72</v>
      </c>
      <c r="E141">
        <v>69.23</v>
      </c>
      <c r="F141">
        <v>15.86</v>
      </c>
      <c r="G141">
        <v>35.42</v>
      </c>
      <c r="H141">
        <v>9.89</v>
      </c>
      <c r="I141">
        <v>20.77</v>
      </c>
      <c r="J141">
        <v>4.76</v>
      </c>
    </row>
    <row r="142" spans="1:10" x14ac:dyDescent="0.2">
      <c r="A142" t="s">
        <v>23</v>
      </c>
      <c r="B142" t="s">
        <v>16</v>
      </c>
      <c r="C142" t="s">
        <v>11</v>
      </c>
      <c r="D142">
        <v>3.1</v>
      </c>
      <c r="E142">
        <v>69.23</v>
      </c>
      <c r="F142">
        <v>6.51</v>
      </c>
      <c r="G142">
        <v>23.96</v>
      </c>
      <c r="H142">
        <v>1.24</v>
      </c>
      <c r="I142">
        <v>20.77</v>
      </c>
      <c r="J142">
        <v>1.95</v>
      </c>
    </row>
    <row r="143" spans="1:10" x14ac:dyDescent="0.2">
      <c r="A143" t="s">
        <v>23</v>
      </c>
      <c r="B143" t="s">
        <v>16</v>
      </c>
      <c r="C143" t="s">
        <v>12</v>
      </c>
      <c r="D143">
        <v>10.75</v>
      </c>
      <c r="E143">
        <v>53.85</v>
      </c>
      <c r="F143">
        <v>16.14</v>
      </c>
      <c r="G143">
        <v>25.3</v>
      </c>
      <c r="H143">
        <v>4.3</v>
      </c>
      <c r="I143">
        <v>16.149999999999999</v>
      </c>
      <c r="J143">
        <v>4.84</v>
      </c>
    </row>
    <row r="144" spans="1:10" x14ac:dyDescent="0.2">
      <c r="A144" t="s">
        <v>23</v>
      </c>
      <c r="B144" t="s">
        <v>16</v>
      </c>
      <c r="C144" t="s">
        <v>13</v>
      </c>
      <c r="D144">
        <v>8.14</v>
      </c>
      <c r="E144">
        <v>63.46</v>
      </c>
      <c r="F144">
        <v>4.07</v>
      </c>
      <c r="G144">
        <v>23.52</v>
      </c>
      <c r="H144">
        <v>3.26</v>
      </c>
      <c r="I144">
        <v>19.04</v>
      </c>
      <c r="J144">
        <v>1.22</v>
      </c>
    </row>
    <row r="145" spans="1:10" x14ac:dyDescent="0.2">
      <c r="A145" t="s">
        <v>23</v>
      </c>
      <c r="B145" t="s">
        <v>16</v>
      </c>
      <c r="C145" t="s">
        <v>14</v>
      </c>
      <c r="D145">
        <v>24.23</v>
      </c>
      <c r="E145">
        <v>73.08</v>
      </c>
      <c r="F145">
        <v>45.64</v>
      </c>
      <c r="G145">
        <v>45.31</v>
      </c>
      <c r="H145">
        <v>9.69</v>
      </c>
      <c r="I145">
        <v>21.92</v>
      </c>
      <c r="J145">
        <v>13.69</v>
      </c>
    </row>
    <row r="146" spans="1:10" x14ac:dyDescent="0.2">
      <c r="A146" t="s">
        <v>24</v>
      </c>
      <c r="B146" t="s">
        <v>8</v>
      </c>
      <c r="C146" t="s">
        <v>9</v>
      </c>
      <c r="D146">
        <v>26.32</v>
      </c>
      <c r="E146">
        <v>67.31</v>
      </c>
      <c r="F146">
        <v>5.3</v>
      </c>
      <c r="G146">
        <v>32.31</v>
      </c>
      <c r="H146">
        <v>10.53</v>
      </c>
      <c r="I146">
        <v>20.190000000000001</v>
      </c>
      <c r="J146">
        <v>1.59</v>
      </c>
    </row>
    <row r="147" spans="1:10" x14ac:dyDescent="0.2">
      <c r="A147" t="s">
        <v>24</v>
      </c>
      <c r="B147" t="s">
        <v>8</v>
      </c>
      <c r="C147" t="s">
        <v>10</v>
      </c>
      <c r="D147">
        <v>11.2</v>
      </c>
      <c r="E147">
        <v>71.150000000000006</v>
      </c>
      <c r="F147">
        <v>5.36</v>
      </c>
      <c r="G147">
        <v>27.43</v>
      </c>
      <c r="H147">
        <v>4.4800000000000004</v>
      </c>
      <c r="I147">
        <v>21.35</v>
      </c>
      <c r="J147">
        <v>1.61</v>
      </c>
    </row>
    <row r="148" spans="1:10" x14ac:dyDescent="0.2">
      <c r="A148" t="s">
        <v>24</v>
      </c>
      <c r="B148" t="s">
        <v>8</v>
      </c>
      <c r="C148" t="s">
        <v>11</v>
      </c>
      <c r="D148">
        <v>2.98</v>
      </c>
      <c r="E148">
        <v>63.46</v>
      </c>
      <c r="F148">
        <v>6.48</v>
      </c>
      <c r="G148">
        <v>22.17</v>
      </c>
      <c r="H148">
        <v>1.19</v>
      </c>
      <c r="I148">
        <v>19.04</v>
      </c>
      <c r="J148">
        <v>1.94</v>
      </c>
    </row>
    <row r="149" spans="1:10" x14ac:dyDescent="0.2">
      <c r="A149" t="s">
        <v>24</v>
      </c>
      <c r="B149" t="s">
        <v>8</v>
      </c>
      <c r="C149" t="s">
        <v>12</v>
      </c>
      <c r="D149">
        <v>6.43</v>
      </c>
      <c r="E149">
        <v>51.92</v>
      </c>
      <c r="F149">
        <v>11.5</v>
      </c>
      <c r="G149">
        <v>21.6</v>
      </c>
      <c r="H149">
        <v>2.57</v>
      </c>
      <c r="I149">
        <v>15.58</v>
      </c>
      <c r="J149">
        <v>3.45</v>
      </c>
    </row>
    <row r="150" spans="1:10" x14ac:dyDescent="0.2">
      <c r="A150" t="s">
        <v>24</v>
      </c>
      <c r="B150" t="s">
        <v>8</v>
      </c>
      <c r="C150" t="s">
        <v>13</v>
      </c>
      <c r="D150">
        <v>9.0500000000000007</v>
      </c>
      <c r="E150">
        <v>65.38</v>
      </c>
      <c r="F150">
        <v>5.03</v>
      </c>
      <c r="G150">
        <v>24.74</v>
      </c>
      <c r="H150">
        <v>3.62</v>
      </c>
      <c r="I150">
        <v>19.62</v>
      </c>
      <c r="J150">
        <v>1.51</v>
      </c>
    </row>
    <row r="151" spans="1:10" x14ac:dyDescent="0.2">
      <c r="A151" t="s">
        <v>24</v>
      </c>
      <c r="B151" t="s">
        <v>8</v>
      </c>
      <c r="C151" t="s">
        <v>14</v>
      </c>
      <c r="D151">
        <v>19.53</v>
      </c>
      <c r="E151">
        <v>84.62</v>
      </c>
      <c r="F151">
        <v>12.98</v>
      </c>
      <c r="G151">
        <v>37.090000000000003</v>
      </c>
      <c r="H151">
        <v>7.81</v>
      </c>
      <c r="I151">
        <v>25.38</v>
      </c>
      <c r="J151">
        <v>3.89</v>
      </c>
    </row>
    <row r="152" spans="1:10" x14ac:dyDescent="0.2">
      <c r="A152" t="s">
        <v>24</v>
      </c>
      <c r="B152" t="s">
        <v>15</v>
      </c>
      <c r="C152" t="s">
        <v>9</v>
      </c>
      <c r="D152">
        <v>41.09</v>
      </c>
      <c r="E152">
        <v>67.31</v>
      </c>
      <c r="F152">
        <v>7.17</v>
      </c>
      <c r="G152">
        <v>38.78</v>
      </c>
      <c r="H152">
        <v>16.43</v>
      </c>
      <c r="I152">
        <v>20.190000000000001</v>
      </c>
      <c r="J152">
        <v>2.15</v>
      </c>
    </row>
    <row r="153" spans="1:10" x14ac:dyDescent="0.2">
      <c r="A153" t="s">
        <v>24</v>
      </c>
      <c r="B153" t="s">
        <v>15</v>
      </c>
      <c r="C153" t="s">
        <v>10</v>
      </c>
      <c r="D153">
        <v>14.99</v>
      </c>
      <c r="E153">
        <v>71.150000000000006</v>
      </c>
      <c r="F153">
        <v>7.97</v>
      </c>
      <c r="G153">
        <v>29.73</v>
      </c>
      <c r="H153">
        <v>6</v>
      </c>
      <c r="I153">
        <v>21.35</v>
      </c>
      <c r="J153">
        <v>2.39</v>
      </c>
    </row>
    <row r="154" spans="1:10" x14ac:dyDescent="0.2">
      <c r="A154" t="s">
        <v>24</v>
      </c>
      <c r="B154" t="s">
        <v>15</v>
      </c>
      <c r="C154" t="s">
        <v>11</v>
      </c>
      <c r="D154">
        <v>5.25</v>
      </c>
      <c r="E154">
        <v>63.46</v>
      </c>
      <c r="F154">
        <v>7.38</v>
      </c>
      <c r="G154">
        <v>23.35</v>
      </c>
      <c r="H154">
        <v>2.1</v>
      </c>
      <c r="I154">
        <v>19.04</v>
      </c>
      <c r="J154">
        <v>2.21</v>
      </c>
    </row>
    <row r="155" spans="1:10" x14ac:dyDescent="0.2">
      <c r="A155" t="s">
        <v>24</v>
      </c>
      <c r="B155" t="s">
        <v>15</v>
      </c>
      <c r="C155" t="s">
        <v>12</v>
      </c>
      <c r="D155">
        <v>11.17</v>
      </c>
      <c r="E155">
        <v>51.92</v>
      </c>
      <c r="F155">
        <v>8.9600000000000009</v>
      </c>
      <c r="G155">
        <v>22.73</v>
      </c>
      <c r="H155">
        <v>4.47</v>
      </c>
      <c r="I155">
        <v>15.58</v>
      </c>
      <c r="J155">
        <v>2.69</v>
      </c>
    </row>
    <row r="156" spans="1:10" x14ac:dyDescent="0.2">
      <c r="A156" t="s">
        <v>24</v>
      </c>
      <c r="B156" t="s">
        <v>15</v>
      </c>
      <c r="C156" t="s">
        <v>13</v>
      </c>
      <c r="D156">
        <v>15.71</v>
      </c>
      <c r="E156">
        <v>65.38</v>
      </c>
      <c r="F156">
        <v>7.12</v>
      </c>
      <c r="G156">
        <v>28.03</v>
      </c>
      <c r="H156">
        <v>6.28</v>
      </c>
      <c r="I156">
        <v>19.62</v>
      </c>
      <c r="J156">
        <v>2.14</v>
      </c>
    </row>
    <row r="157" spans="1:10" x14ac:dyDescent="0.2">
      <c r="A157" t="s">
        <v>24</v>
      </c>
      <c r="B157" t="s">
        <v>15</v>
      </c>
      <c r="C157" t="s">
        <v>14</v>
      </c>
      <c r="D157">
        <v>42.95</v>
      </c>
      <c r="E157">
        <v>84.62</v>
      </c>
      <c r="F157">
        <v>26.17</v>
      </c>
      <c r="G157">
        <v>50.42</v>
      </c>
      <c r="H157">
        <v>17.18</v>
      </c>
      <c r="I157">
        <v>25.38</v>
      </c>
      <c r="J157">
        <v>7.85</v>
      </c>
    </row>
    <row r="158" spans="1:10" x14ac:dyDescent="0.2">
      <c r="A158" t="s">
        <v>24</v>
      </c>
      <c r="B158" t="s">
        <v>16</v>
      </c>
      <c r="C158" t="s">
        <v>9</v>
      </c>
      <c r="D158">
        <v>35.32</v>
      </c>
      <c r="E158">
        <v>67.31</v>
      </c>
      <c r="F158">
        <v>10.35</v>
      </c>
      <c r="G158">
        <v>37.43</v>
      </c>
      <c r="H158">
        <v>14.13</v>
      </c>
      <c r="I158">
        <v>20.190000000000001</v>
      </c>
      <c r="J158">
        <v>3.11</v>
      </c>
    </row>
    <row r="159" spans="1:10" x14ac:dyDescent="0.2">
      <c r="A159" t="s">
        <v>24</v>
      </c>
      <c r="B159" t="s">
        <v>16</v>
      </c>
      <c r="C159" t="s">
        <v>10</v>
      </c>
      <c r="D159">
        <v>12.84</v>
      </c>
      <c r="E159">
        <v>71.150000000000006</v>
      </c>
      <c r="F159">
        <v>9.6199999999999992</v>
      </c>
      <c r="G159">
        <v>29.37</v>
      </c>
      <c r="H159">
        <v>5.14</v>
      </c>
      <c r="I159">
        <v>21.35</v>
      </c>
      <c r="J159">
        <v>2.89</v>
      </c>
    </row>
    <row r="160" spans="1:10" x14ac:dyDescent="0.2">
      <c r="A160" t="s">
        <v>24</v>
      </c>
      <c r="B160" t="s">
        <v>16</v>
      </c>
      <c r="C160" t="s">
        <v>11</v>
      </c>
      <c r="D160">
        <v>3.84</v>
      </c>
      <c r="E160">
        <v>63.46</v>
      </c>
      <c r="F160">
        <v>7.01</v>
      </c>
      <c r="G160">
        <v>22.68</v>
      </c>
      <c r="H160">
        <v>1.53</v>
      </c>
      <c r="I160">
        <v>19.04</v>
      </c>
      <c r="J160">
        <v>2.1</v>
      </c>
    </row>
    <row r="161" spans="1:10" x14ac:dyDescent="0.2">
      <c r="A161" t="s">
        <v>24</v>
      </c>
      <c r="B161" t="s">
        <v>16</v>
      </c>
      <c r="C161" t="s">
        <v>12</v>
      </c>
      <c r="D161">
        <v>9.0399999999999991</v>
      </c>
      <c r="E161">
        <v>51.92</v>
      </c>
      <c r="F161">
        <v>10.88</v>
      </c>
      <c r="G161">
        <v>22.46</v>
      </c>
      <c r="H161">
        <v>3.62</v>
      </c>
      <c r="I161">
        <v>15.58</v>
      </c>
      <c r="J161">
        <v>3.26</v>
      </c>
    </row>
    <row r="162" spans="1:10" x14ac:dyDescent="0.2">
      <c r="A162" t="s">
        <v>24</v>
      </c>
      <c r="B162" t="s">
        <v>16</v>
      </c>
      <c r="C162" t="s">
        <v>13</v>
      </c>
      <c r="D162">
        <v>8.6300000000000008</v>
      </c>
      <c r="E162">
        <v>65.38</v>
      </c>
      <c r="F162">
        <v>5.52</v>
      </c>
      <c r="G162">
        <v>24.73</v>
      </c>
      <c r="H162">
        <v>3.45</v>
      </c>
      <c r="I162">
        <v>19.62</v>
      </c>
      <c r="J162">
        <v>1.66</v>
      </c>
    </row>
    <row r="163" spans="1:10" x14ac:dyDescent="0.2">
      <c r="A163" t="s">
        <v>24</v>
      </c>
      <c r="B163" t="s">
        <v>16</v>
      </c>
      <c r="C163" t="s">
        <v>14</v>
      </c>
      <c r="D163">
        <v>27.43</v>
      </c>
      <c r="E163">
        <v>84.62</v>
      </c>
      <c r="F163">
        <v>24.11</v>
      </c>
      <c r="G163">
        <v>43.59</v>
      </c>
      <c r="H163">
        <v>10.97</v>
      </c>
      <c r="I163">
        <v>25.38</v>
      </c>
      <c r="J163">
        <v>7.23</v>
      </c>
    </row>
    <row r="164" spans="1:10" x14ac:dyDescent="0.2">
      <c r="A164" t="s">
        <v>25</v>
      </c>
      <c r="B164" t="s">
        <v>8</v>
      </c>
      <c r="C164" t="s">
        <v>9</v>
      </c>
      <c r="D164">
        <v>22.8</v>
      </c>
      <c r="E164">
        <v>59.62</v>
      </c>
      <c r="F164">
        <v>3.4</v>
      </c>
      <c r="G164">
        <v>28.02</v>
      </c>
      <c r="H164">
        <v>9.1199999999999992</v>
      </c>
      <c r="I164">
        <v>17.88</v>
      </c>
      <c r="J164">
        <v>1.02</v>
      </c>
    </row>
    <row r="165" spans="1:10" x14ac:dyDescent="0.2">
      <c r="A165" t="s">
        <v>25</v>
      </c>
      <c r="B165" t="s">
        <v>8</v>
      </c>
      <c r="C165" t="s">
        <v>10</v>
      </c>
      <c r="D165">
        <v>13.38</v>
      </c>
      <c r="E165">
        <v>75</v>
      </c>
      <c r="F165">
        <v>5.92</v>
      </c>
      <c r="G165">
        <v>29.63</v>
      </c>
      <c r="H165">
        <v>5.35</v>
      </c>
      <c r="I165">
        <v>22.5</v>
      </c>
      <c r="J165">
        <v>1.78</v>
      </c>
    </row>
    <row r="166" spans="1:10" x14ac:dyDescent="0.2">
      <c r="A166" t="s">
        <v>25</v>
      </c>
      <c r="B166" t="s">
        <v>8</v>
      </c>
      <c r="C166" t="s">
        <v>11</v>
      </c>
      <c r="D166">
        <v>1.59</v>
      </c>
      <c r="E166">
        <v>63.46</v>
      </c>
      <c r="F166">
        <v>2.34</v>
      </c>
      <c r="G166">
        <v>20.38</v>
      </c>
      <c r="H166">
        <v>0.64</v>
      </c>
      <c r="I166">
        <v>19.04</v>
      </c>
      <c r="J166">
        <v>0.7</v>
      </c>
    </row>
    <row r="167" spans="1:10" x14ac:dyDescent="0.2">
      <c r="A167" t="s">
        <v>25</v>
      </c>
      <c r="B167" t="s">
        <v>8</v>
      </c>
      <c r="C167" t="s">
        <v>12</v>
      </c>
      <c r="D167">
        <v>7.17</v>
      </c>
      <c r="E167">
        <v>51.92</v>
      </c>
      <c r="F167">
        <v>7.06</v>
      </c>
      <c r="G167">
        <v>20.56</v>
      </c>
      <c r="H167">
        <v>2.87</v>
      </c>
      <c r="I167">
        <v>15.58</v>
      </c>
      <c r="J167">
        <v>2.12</v>
      </c>
    </row>
    <row r="168" spans="1:10" x14ac:dyDescent="0.2">
      <c r="A168" t="s">
        <v>25</v>
      </c>
      <c r="B168" t="s">
        <v>8</v>
      </c>
      <c r="C168" t="s">
        <v>13</v>
      </c>
      <c r="D168">
        <v>10.06</v>
      </c>
      <c r="E168">
        <v>67.31</v>
      </c>
      <c r="F168">
        <v>4.7</v>
      </c>
      <c r="G168">
        <v>25.63</v>
      </c>
      <c r="H168">
        <v>4.0199999999999996</v>
      </c>
      <c r="I168">
        <v>20.190000000000001</v>
      </c>
      <c r="J168">
        <v>1.41</v>
      </c>
    </row>
    <row r="169" spans="1:10" x14ac:dyDescent="0.2">
      <c r="A169" t="s">
        <v>25</v>
      </c>
      <c r="B169" t="s">
        <v>8</v>
      </c>
      <c r="C169" t="s">
        <v>14</v>
      </c>
      <c r="D169">
        <v>18.170000000000002</v>
      </c>
      <c r="E169">
        <v>76.92</v>
      </c>
      <c r="F169">
        <v>10.08</v>
      </c>
      <c r="G169">
        <v>33.369999999999997</v>
      </c>
      <c r="H169">
        <v>7.27</v>
      </c>
      <c r="I169">
        <v>23.08</v>
      </c>
      <c r="J169">
        <v>3.02</v>
      </c>
    </row>
    <row r="170" spans="1:10" x14ac:dyDescent="0.2">
      <c r="A170" t="s">
        <v>25</v>
      </c>
      <c r="B170" t="s">
        <v>15</v>
      </c>
      <c r="C170" t="s">
        <v>9</v>
      </c>
      <c r="D170">
        <v>36.35</v>
      </c>
      <c r="E170">
        <v>59.62</v>
      </c>
      <c r="F170">
        <v>6.7</v>
      </c>
      <c r="G170">
        <v>34.43</v>
      </c>
      <c r="H170">
        <v>14.54</v>
      </c>
      <c r="I170">
        <v>17.88</v>
      </c>
      <c r="J170">
        <v>2.0099999999999998</v>
      </c>
    </row>
    <row r="171" spans="1:10" x14ac:dyDescent="0.2">
      <c r="A171" t="s">
        <v>25</v>
      </c>
      <c r="B171" t="s">
        <v>15</v>
      </c>
      <c r="C171" t="s">
        <v>10</v>
      </c>
      <c r="D171">
        <v>18.55</v>
      </c>
      <c r="E171">
        <v>75</v>
      </c>
      <c r="F171">
        <v>5.85</v>
      </c>
      <c r="G171">
        <v>31.68</v>
      </c>
      <c r="H171">
        <v>7.42</v>
      </c>
      <c r="I171">
        <v>22.5</v>
      </c>
      <c r="J171">
        <v>1.76</v>
      </c>
    </row>
    <row r="172" spans="1:10" x14ac:dyDescent="0.2">
      <c r="A172" t="s">
        <v>25</v>
      </c>
      <c r="B172" t="s">
        <v>15</v>
      </c>
      <c r="C172" t="s">
        <v>11</v>
      </c>
      <c r="D172">
        <v>2.81</v>
      </c>
      <c r="E172">
        <v>63.46</v>
      </c>
      <c r="F172">
        <v>3.2</v>
      </c>
      <c r="G172">
        <v>21.12</v>
      </c>
      <c r="H172">
        <v>1.1200000000000001</v>
      </c>
      <c r="I172">
        <v>19.04</v>
      </c>
      <c r="J172">
        <v>0.96</v>
      </c>
    </row>
    <row r="173" spans="1:10" x14ac:dyDescent="0.2">
      <c r="A173" t="s">
        <v>25</v>
      </c>
      <c r="B173" t="s">
        <v>15</v>
      </c>
      <c r="C173" t="s">
        <v>12</v>
      </c>
      <c r="D173">
        <v>11.96</v>
      </c>
      <c r="E173">
        <v>51.92</v>
      </c>
      <c r="F173">
        <v>5.91</v>
      </c>
      <c r="G173">
        <v>22.13</v>
      </c>
      <c r="H173">
        <v>4.78</v>
      </c>
      <c r="I173">
        <v>15.58</v>
      </c>
      <c r="J173">
        <v>1.77</v>
      </c>
    </row>
    <row r="174" spans="1:10" x14ac:dyDescent="0.2">
      <c r="A174" t="s">
        <v>25</v>
      </c>
      <c r="B174" t="s">
        <v>15</v>
      </c>
      <c r="C174" t="s">
        <v>13</v>
      </c>
      <c r="D174">
        <v>17.86</v>
      </c>
      <c r="E174">
        <v>67.31</v>
      </c>
      <c r="F174">
        <v>6.48</v>
      </c>
      <c r="G174">
        <v>29.28</v>
      </c>
      <c r="H174">
        <v>7.14</v>
      </c>
      <c r="I174">
        <v>20.190000000000001</v>
      </c>
      <c r="J174">
        <v>1.94</v>
      </c>
    </row>
    <row r="175" spans="1:10" x14ac:dyDescent="0.2">
      <c r="A175" t="s">
        <v>25</v>
      </c>
      <c r="B175" t="s">
        <v>15</v>
      </c>
      <c r="C175" t="s">
        <v>14</v>
      </c>
      <c r="D175">
        <v>42.73</v>
      </c>
      <c r="E175">
        <v>76.92</v>
      </c>
      <c r="F175">
        <v>16.34</v>
      </c>
      <c r="G175">
        <v>45.07</v>
      </c>
      <c r="H175">
        <v>17.09</v>
      </c>
      <c r="I175">
        <v>23.08</v>
      </c>
      <c r="J175">
        <v>4.9000000000000004</v>
      </c>
    </row>
    <row r="176" spans="1:10" x14ac:dyDescent="0.2">
      <c r="A176" t="s">
        <v>25</v>
      </c>
      <c r="B176" t="s">
        <v>16</v>
      </c>
      <c r="C176" t="s">
        <v>9</v>
      </c>
      <c r="D176">
        <v>27.73</v>
      </c>
      <c r="E176">
        <v>59.62</v>
      </c>
      <c r="F176">
        <v>6.02</v>
      </c>
      <c r="G176">
        <v>30.78</v>
      </c>
      <c r="H176">
        <v>11.09</v>
      </c>
      <c r="I176">
        <v>17.88</v>
      </c>
      <c r="J176">
        <v>1.81</v>
      </c>
    </row>
    <row r="177" spans="1:10" x14ac:dyDescent="0.2">
      <c r="A177" t="s">
        <v>25</v>
      </c>
      <c r="B177" t="s">
        <v>16</v>
      </c>
      <c r="C177" t="s">
        <v>10</v>
      </c>
      <c r="D177">
        <v>17.32</v>
      </c>
      <c r="E177">
        <v>75</v>
      </c>
      <c r="F177">
        <v>6.56</v>
      </c>
      <c r="G177">
        <v>31.39</v>
      </c>
      <c r="H177">
        <v>6.93</v>
      </c>
      <c r="I177">
        <v>22.5</v>
      </c>
      <c r="J177">
        <v>1.97</v>
      </c>
    </row>
    <row r="178" spans="1:10" x14ac:dyDescent="0.2">
      <c r="A178" t="s">
        <v>25</v>
      </c>
      <c r="B178" t="s">
        <v>16</v>
      </c>
      <c r="C178" t="s">
        <v>11</v>
      </c>
      <c r="D178">
        <v>1.88</v>
      </c>
      <c r="E178">
        <v>63.46</v>
      </c>
      <c r="F178">
        <v>2.1800000000000002</v>
      </c>
      <c r="G178">
        <v>20.45</v>
      </c>
      <c r="H178">
        <v>0.75</v>
      </c>
      <c r="I178">
        <v>19.04</v>
      </c>
      <c r="J178">
        <v>0.66</v>
      </c>
    </row>
    <row r="179" spans="1:10" x14ac:dyDescent="0.2">
      <c r="A179" t="s">
        <v>25</v>
      </c>
      <c r="B179" t="s">
        <v>16</v>
      </c>
      <c r="C179" t="s">
        <v>12</v>
      </c>
      <c r="D179">
        <v>9.5399999999999991</v>
      </c>
      <c r="E179">
        <v>51.92</v>
      </c>
      <c r="F179">
        <v>8.86</v>
      </c>
      <c r="G179">
        <v>22.05</v>
      </c>
      <c r="H179">
        <v>3.82</v>
      </c>
      <c r="I179">
        <v>15.58</v>
      </c>
      <c r="J179">
        <v>2.66</v>
      </c>
    </row>
    <row r="180" spans="1:10" x14ac:dyDescent="0.2">
      <c r="A180" t="s">
        <v>25</v>
      </c>
      <c r="B180" t="s">
        <v>16</v>
      </c>
      <c r="C180" t="s">
        <v>13</v>
      </c>
      <c r="D180">
        <v>9.16</v>
      </c>
      <c r="E180">
        <v>67.31</v>
      </c>
      <c r="F180">
        <v>4.4400000000000004</v>
      </c>
      <c r="G180">
        <v>25.19</v>
      </c>
      <c r="H180">
        <v>3.66</v>
      </c>
      <c r="I180">
        <v>20.190000000000001</v>
      </c>
      <c r="J180">
        <v>1.33</v>
      </c>
    </row>
    <row r="181" spans="1:10" x14ac:dyDescent="0.2">
      <c r="A181" t="s">
        <v>25</v>
      </c>
      <c r="B181" t="s">
        <v>16</v>
      </c>
      <c r="C181" t="s">
        <v>14</v>
      </c>
      <c r="D181">
        <v>24.04</v>
      </c>
      <c r="E181">
        <v>76.92</v>
      </c>
      <c r="F181">
        <v>15.25</v>
      </c>
      <c r="G181">
        <v>37.270000000000003</v>
      </c>
      <c r="H181">
        <v>9.61</v>
      </c>
      <c r="I181">
        <v>23.08</v>
      </c>
      <c r="J181">
        <v>4.58</v>
      </c>
    </row>
    <row r="182" spans="1:10" x14ac:dyDescent="0.2">
      <c r="A182" t="s">
        <v>26</v>
      </c>
      <c r="B182" t="s">
        <v>8</v>
      </c>
      <c r="C182" t="s">
        <v>9</v>
      </c>
      <c r="D182">
        <v>16.98</v>
      </c>
      <c r="E182">
        <v>59.62</v>
      </c>
      <c r="F182">
        <v>4.43</v>
      </c>
      <c r="G182">
        <v>26.01</v>
      </c>
      <c r="H182">
        <v>6.79</v>
      </c>
      <c r="I182">
        <v>17.88</v>
      </c>
      <c r="J182">
        <v>1.33</v>
      </c>
    </row>
    <row r="183" spans="1:10" x14ac:dyDescent="0.2">
      <c r="A183" t="s">
        <v>26</v>
      </c>
      <c r="B183" t="s">
        <v>8</v>
      </c>
      <c r="C183" t="s">
        <v>10</v>
      </c>
      <c r="D183">
        <v>17.079999999999998</v>
      </c>
      <c r="E183">
        <v>75</v>
      </c>
      <c r="F183">
        <v>7.38</v>
      </c>
      <c r="G183">
        <v>31.55</v>
      </c>
      <c r="H183">
        <v>6.83</v>
      </c>
      <c r="I183">
        <v>22.5</v>
      </c>
      <c r="J183">
        <v>2.21</v>
      </c>
    </row>
    <row r="184" spans="1:10" x14ac:dyDescent="0.2">
      <c r="A184" t="s">
        <v>26</v>
      </c>
      <c r="B184" t="s">
        <v>8</v>
      </c>
      <c r="C184" t="s">
        <v>11</v>
      </c>
      <c r="D184">
        <v>2.5</v>
      </c>
      <c r="E184">
        <v>63.46</v>
      </c>
      <c r="F184">
        <v>11.41</v>
      </c>
      <c r="G184">
        <v>23.46</v>
      </c>
      <c r="H184">
        <v>1</v>
      </c>
      <c r="I184">
        <v>19.04</v>
      </c>
      <c r="J184">
        <v>3.42</v>
      </c>
    </row>
    <row r="185" spans="1:10" x14ac:dyDescent="0.2">
      <c r="A185" t="s">
        <v>26</v>
      </c>
      <c r="B185" t="s">
        <v>8</v>
      </c>
      <c r="C185" t="s">
        <v>12</v>
      </c>
      <c r="D185">
        <v>6.55</v>
      </c>
      <c r="E185">
        <v>44.23</v>
      </c>
      <c r="F185">
        <v>7.44</v>
      </c>
      <c r="G185">
        <v>18.12</v>
      </c>
      <c r="H185">
        <v>2.62</v>
      </c>
      <c r="I185">
        <v>13.27</v>
      </c>
      <c r="J185">
        <v>2.23</v>
      </c>
    </row>
    <row r="186" spans="1:10" x14ac:dyDescent="0.2">
      <c r="A186" t="s">
        <v>26</v>
      </c>
      <c r="B186" t="s">
        <v>8</v>
      </c>
      <c r="C186" t="s">
        <v>13</v>
      </c>
      <c r="D186">
        <v>10.93</v>
      </c>
      <c r="E186">
        <v>67.31</v>
      </c>
      <c r="F186">
        <v>4.4000000000000004</v>
      </c>
      <c r="G186">
        <v>25.88</v>
      </c>
      <c r="H186">
        <v>4.37</v>
      </c>
      <c r="I186">
        <v>20.190000000000001</v>
      </c>
      <c r="J186">
        <v>1.32</v>
      </c>
    </row>
    <row r="187" spans="1:10" x14ac:dyDescent="0.2">
      <c r="A187" t="s">
        <v>26</v>
      </c>
      <c r="B187" t="s">
        <v>8</v>
      </c>
      <c r="C187" t="s">
        <v>14</v>
      </c>
      <c r="D187">
        <v>15.35</v>
      </c>
      <c r="E187">
        <v>80.77</v>
      </c>
      <c r="F187">
        <v>15.49</v>
      </c>
      <c r="G187">
        <v>35.020000000000003</v>
      </c>
      <c r="H187">
        <v>6.14</v>
      </c>
      <c r="I187">
        <v>24.23</v>
      </c>
      <c r="J187">
        <v>4.6500000000000004</v>
      </c>
    </row>
    <row r="188" spans="1:10" x14ac:dyDescent="0.2">
      <c r="A188" t="s">
        <v>26</v>
      </c>
      <c r="B188" t="s">
        <v>15</v>
      </c>
      <c r="C188" t="s">
        <v>9</v>
      </c>
      <c r="D188">
        <v>27.15</v>
      </c>
      <c r="E188">
        <v>59.62</v>
      </c>
      <c r="F188">
        <v>4.82</v>
      </c>
      <c r="G188">
        <v>30.19</v>
      </c>
      <c r="H188">
        <v>10.86</v>
      </c>
      <c r="I188">
        <v>17.88</v>
      </c>
      <c r="J188">
        <v>1.44</v>
      </c>
    </row>
    <row r="189" spans="1:10" x14ac:dyDescent="0.2">
      <c r="A189" t="s">
        <v>26</v>
      </c>
      <c r="B189" t="s">
        <v>15</v>
      </c>
      <c r="C189" t="s">
        <v>10</v>
      </c>
      <c r="D189">
        <v>24.94</v>
      </c>
      <c r="E189">
        <v>75</v>
      </c>
      <c r="F189">
        <v>7.89</v>
      </c>
      <c r="G189">
        <v>34.840000000000003</v>
      </c>
      <c r="H189">
        <v>9.98</v>
      </c>
      <c r="I189">
        <v>22.5</v>
      </c>
      <c r="J189">
        <v>2.37</v>
      </c>
    </row>
    <row r="190" spans="1:10" x14ac:dyDescent="0.2">
      <c r="A190" t="s">
        <v>26</v>
      </c>
      <c r="B190" t="s">
        <v>15</v>
      </c>
      <c r="C190" t="s">
        <v>11</v>
      </c>
      <c r="D190">
        <v>5.16</v>
      </c>
      <c r="E190">
        <v>63.46</v>
      </c>
      <c r="F190">
        <v>2.61</v>
      </c>
      <c r="G190">
        <v>21.89</v>
      </c>
      <c r="H190">
        <v>2.06</v>
      </c>
      <c r="I190">
        <v>19.04</v>
      </c>
      <c r="J190">
        <v>0.78</v>
      </c>
    </row>
    <row r="191" spans="1:10" x14ac:dyDescent="0.2">
      <c r="A191" t="s">
        <v>26</v>
      </c>
      <c r="B191" t="s">
        <v>15</v>
      </c>
      <c r="C191" t="s">
        <v>12</v>
      </c>
      <c r="D191">
        <v>11.03</v>
      </c>
      <c r="E191">
        <v>44.23</v>
      </c>
      <c r="F191">
        <v>10.57</v>
      </c>
      <c r="G191">
        <v>20.85</v>
      </c>
      <c r="H191">
        <v>4.41</v>
      </c>
      <c r="I191">
        <v>13.27</v>
      </c>
      <c r="J191">
        <v>3.17</v>
      </c>
    </row>
    <row r="192" spans="1:10" x14ac:dyDescent="0.2">
      <c r="A192" t="s">
        <v>26</v>
      </c>
      <c r="B192" t="s">
        <v>15</v>
      </c>
      <c r="C192" t="s">
        <v>13</v>
      </c>
      <c r="D192">
        <v>18.57</v>
      </c>
      <c r="E192">
        <v>67.31</v>
      </c>
      <c r="F192">
        <v>9.19</v>
      </c>
      <c r="G192">
        <v>30.38</v>
      </c>
      <c r="H192">
        <v>7.43</v>
      </c>
      <c r="I192">
        <v>20.190000000000001</v>
      </c>
      <c r="J192">
        <v>2.76</v>
      </c>
    </row>
    <row r="193" spans="1:10" x14ac:dyDescent="0.2">
      <c r="A193" t="s">
        <v>26</v>
      </c>
      <c r="B193" t="s">
        <v>15</v>
      </c>
      <c r="C193" t="s">
        <v>14</v>
      </c>
      <c r="D193">
        <v>34.25</v>
      </c>
      <c r="E193">
        <v>80.77</v>
      </c>
      <c r="F193">
        <v>17.559999999999999</v>
      </c>
      <c r="G193">
        <v>43.2</v>
      </c>
      <c r="H193">
        <v>13.7</v>
      </c>
      <c r="I193">
        <v>24.23</v>
      </c>
      <c r="J193">
        <v>5.27</v>
      </c>
    </row>
    <row r="194" spans="1:10" x14ac:dyDescent="0.2">
      <c r="A194" t="s">
        <v>26</v>
      </c>
      <c r="B194" t="s">
        <v>16</v>
      </c>
      <c r="C194" t="s">
        <v>9</v>
      </c>
      <c r="D194">
        <v>18.88</v>
      </c>
      <c r="E194">
        <v>59.62</v>
      </c>
      <c r="F194">
        <v>5.15</v>
      </c>
      <c r="G194">
        <v>26.98</v>
      </c>
      <c r="H194">
        <v>7.55</v>
      </c>
      <c r="I194">
        <v>17.88</v>
      </c>
      <c r="J194">
        <v>1.55</v>
      </c>
    </row>
    <row r="195" spans="1:10" x14ac:dyDescent="0.2">
      <c r="A195" t="s">
        <v>26</v>
      </c>
      <c r="B195" t="s">
        <v>16</v>
      </c>
      <c r="C195" t="s">
        <v>10</v>
      </c>
      <c r="D195">
        <v>22.65</v>
      </c>
      <c r="E195">
        <v>75</v>
      </c>
      <c r="F195">
        <v>8.3000000000000007</v>
      </c>
      <c r="G195">
        <v>34.049999999999997</v>
      </c>
      <c r="H195">
        <v>9.06</v>
      </c>
      <c r="I195">
        <v>22.5</v>
      </c>
      <c r="J195">
        <v>2.4900000000000002</v>
      </c>
    </row>
    <row r="196" spans="1:10" x14ac:dyDescent="0.2">
      <c r="A196" t="s">
        <v>26</v>
      </c>
      <c r="B196" t="s">
        <v>16</v>
      </c>
      <c r="C196" t="s">
        <v>11</v>
      </c>
      <c r="D196">
        <v>3.19</v>
      </c>
      <c r="E196">
        <v>63.46</v>
      </c>
      <c r="F196">
        <v>9.15</v>
      </c>
      <c r="G196">
        <v>23.06</v>
      </c>
      <c r="H196">
        <v>1.28</v>
      </c>
      <c r="I196">
        <v>19.04</v>
      </c>
      <c r="J196">
        <v>2.75</v>
      </c>
    </row>
    <row r="197" spans="1:10" x14ac:dyDescent="0.2">
      <c r="A197" t="s">
        <v>26</v>
      </c>
      <c r="B197" t="s">
        <v>16</v>
      </c>
      <c r="C197" t="s">
        <v>12</v>
      </c>
      <c r="D197">
        <v>9.73</v>
      </c>
      <c r="E197">
        <v>44.23</v>
      </c>
      <c r="F197">
        <v>13.84</v>
      </c>
      <c r="G197">
        <v>21.31</v>
      </c>
      <c r="H197">
        <v>3.89</v>
      </c>
      <c r="I197">
        <v>13.27</v>
      </c>
      <c r="J197">
        <v>4.1500000000000004</v>
      </c>
    </row>
    <row r="198" spans="1:10" x14ac:dyDescent="0.2">
      <c r="A198" t="s">
        <v>26</v>
      </c>
      <c r="B198" t="s">
        <v>16</v>
      </c>
      <c r="C198" t="s">
        <v>13</v>
      </c>
      <c r="D198">
        <v>9.14</v>
      </c>
      <c r="E198">
        <v>67.31</v>
      </c>
      <c r="F198">
        <v>3.73</v>
      </c>
      <c r="G198">
        <v>24.97</v>
      </c>
      <c r="H198">
        <v>3.66</v>
      </c>
      <c r="I198">
        <v>20.190000000000001</v>
      </c>
      <c r="J198">
        <v>1.1200000000000001</v>
      </c>
    </row>
    <row r="199" spans="1:10" x14ac:dyDescent="0.2">
      <c r="A199" t="s">
        <v>26</v>
      </c>
      <c r="B199" t="s">
        <v>16</v>
      </c>
      <c r="C199" t="s">
        <v>14</v>
      </c>
      <c r="D199">
        <v>21.34</v>
      </c>
      <c r="E199">
        <v>80.77</v>
      </c>
      <c r="F199">
        <v>27.36</v>
      </c>
      <c r="G199">
        <v>40.97</v>
      </c>
      <c r="H199">
        <v>8.5399999999999991</v>
      </c>
      <c r="I199">
        <v>24.23</v>
      </c>
      <c r="J199">
        <v>8.2100000000000009</v>
      </c>
    </row>
    <row r="200" spans="1:10" x14ac:dyDescent="0.2">
      <c r="A200" t="s">
        <v>27</v>
      </c>
      <c r="B200" t="s">
        <v>8</v>
      </c>
      <c r="C200" t="s">
        <v>9</v>
      </c>
      <c r="D200">
        <v>17.61</v>
      </c>
      <c r="E200">
        <v>50</v>
      </c>
      <c r="F200">
        <v>3.77</v>
      </c>
      <c r="G200">
        <v>23.17</v>
      </c>
      <c r="H200">
        <v>7.04</v>
      </c>
      <c r="I200">
        <v>15</v>
      </c>
      <c r="J200">
        <v>1.1299999999999999</v>
      </c>
    </row>
    <row r="201" spans="1:10" x14ac:dyDescent="0.2">
      <c r="A201" t="s">
        <v>27</v>
      </c>
      <c r="B201" t="s">
        <v>8</v>
      </c>
      <c r="C201" t="s">
        <v>10</v>
      </c>
      <c r="D201">
        <v>15.16</v>
      </c>
      <c r="E201">
        <v>63.46</v>
      </c>
      <c r="F201">
        <v>13.1</v>
      </c>
      <c r="G201">
        <v>29.03</v>
      </c>
      <c r="H201">
        <v>6.06</v>
      </c>
      <c r="I201">
        <v>19.04</v>
      </c>
      <c r="J201">
        <v>3.93</v>
      </c>
    </row>
    <row r="202" spans="1:10" x14ac:dyDescent="0.2">
      <c r="A202" t="s">
        <v>27</v>
      </c>
      <c r="B202" t="s">
        <v>8</v>
      </c>
      <c r="C202" t="s">
        <v>11</v>
      </c>
      <c r="D202">
        <v>1.37</v>
      </c>
      <c r="E202">
        <v>55.77</v>
      </c>
      <c r="F202">
        <v>5.81</v>
      </c>
      <c r="G202">
        <v>19.02</v>
      </c>
      <c r="H202">
        <v>0.55000000000000004</v>
      </c>
      <c r="I202">
        <v>16.73</v>
      </c>
      <c r="J202">
        <v>1.74</v>
      </c>
    </row>
    <row r="203" spans="1:10" x14ac:dyDescent="0.2">
      <c r="A203" t="s">
        <v>27</v>
      </c>
      <c r="B203" t="s">
        <v>8</v>
      </c>
      <c r="C203" t="s">
        <v>12</v>
      </c>
      <c r="D203">
        <v>7.36</v>
      </c>
      <c r="E203">
        <v>57.69</v>
      </c>
      <c r="F203">
        <v>5.9</v>
      </c>
      <c r="G203">
        <v>22.02</v>
      </c>
      <c r="H203">
        <v>2.94</v>
      </c>
      <c r="I203">
        <v>17.309999999999999</v>
      </c>
      <c r="J203">
        <v>1.77</v>
      </c>
    </row>
    <row r="204" spans="1:10" x14ac:dyDescent="0.2">
      <c r="A204" t="s">
        <v>27</v>
      </c>
      <c r="B204" t="s">
        <v>8</v>
      </c>
      <c r="C204" t="s">
        <v>13</v>
      </c>
      <c r="D204">
        <v>10</v>
      </c>
      <c r="E204">
        <v>65.38</v>
      </c>
      <c r="F204">
        <v>6.88</v>
      </c>
      <c r="G204">
        <v>25.68</v>
      </c>
      <c r="H204">
        <v>4</v>
      </c>
      <c r="I204">
        <v>19.62</v>
      </c>
      <c r="J204">
        <v>2.0699999999999998</v>
      </c>
    </row>
    <row r="205" spans="1:10" x14ac:dyDescent="0.2">
      <c r="A205" t="s">
        <v>27</v>
      </c>
      <c r="B205" t="s">
        <v>8</v>
      </c>
      <c r="C205" t="s">
        <v>14</v>
      </c>
      <c r="D205">
        <v>14.79</v>
      </c>
      <c r="E205">
        <v>75</v>
      </c>
      <c r="F205">
        <v>11.94</v>
      </c>
      <c r="G205">
        <v>32</v>
      </c>
      <c r="H205">
        <v>5.91</v>
      </c>
      <c r="I205">
        <v>22.5</v>
      </c>
      <c r="J205">
        <v>3.58</v>
      </c>
    </row>
    <row r="206" spans="1:10" x14ac:dyDescent="0.2">
      <c r="A206" t="s">
        <v>27</v>
      </c>
      <c r="B206" t="s">
        <v>15</v>
      </c>
      <c r="C206" t="s">
        <v>9</v>
      </c>
      <c r="D206">
        <v>26.59</v>
      </c>
      <c r="E206">
        <v>50</v>
      </c>
      <c r="F206">
        <v>5.41</v>
      </c>
      <c r="G206">
        <v>27.26</v>
      </c>
      <c r="H206">
        <v>10.64</v>
      </c>
      <c r="I206">
        <v>15</v>
      </c>
      <c r="J206">
        <v>1.62</v>
      </c>
    </row>
    <row r="207" spans="1:10" x14ac:dyDescent="0.2">
      <c r="A207" t="s">
        <v>27</v>
      </c>
      <c r="B207" t="s">
        <v>15</v>
      </c>
      <c r="C207" t="s">
        <v>10</v>
      </c>
      <c r="D207">
        <v>19.95</v>
      </c>
      <c r="E207">
        <v>63.46</v>
      </c>
      <c r="F207">
        <v>7.32</v>
      </c>
      <c r="G207">
        <v>29.21</v>
      </c>
      <c r="H207">
        <v>7.98</v>
      </c>
      <c r="I207">
        <v>19.04</v>
      </c>
      <c r="J207">
        <v>2.2000000000000002</v>
      </c>
    </row>
    <row r="208" spans="1:10" x14ac:dyDescent="0.2">
      <c r="A208" t="s">
        <v>27</v>
      </c>
      <c r="B208" t="s">
        <v>15</v>
      </c>
      <c r="C208" t="s">
        <v>11</v>
      </c>
      <c r="D208">
        <v>2.95</v>
      </c>
      <c r="E208">
        <v>55.77</v>
      </c>
      <c r="F208">
        <v>7.82</v>
      </c>
      <c r="G208">
        <v>20.260000000000002</v>
      </c>
      <c r="H208">
        <v>1.18</v>
      </c>
      <c r="I208">
        <v>16.73</v>
      </c>
      <c r="J208">
        <v>2.34</v>
      </c>
    </row>
    <row r="209" spans="1:10" x14ac:dyDescent="0.2">
      <c r="A209" t="s">
        <v>27</v>
      </c>
      <c r="B209" t="s">
        <v>15</v>
      </c>
      <c r="C209" t="s">
        <v>12</v>
      </c>
      <c r="D209">
        <v>11.99</v>
      </c>
      <c r="E209">
        <v>57.69</v>
      </c>
      <c r="F209">
        <v>10.35</v>
      </c>
      <c r="G209">
        <v>25.21</v>
      </c>
      <c r="H209">
        <v>4.8</v>
      </c>
      <c r="I209">
        <v>17.309999999999999</v>
      </c>
      <c r="J209">
        <v>3.1</v>
      </c>
    </row>
    <row r="210" spans="1:10" x14ac:dyDescent="0.2">
      <c r="A210" t="s">
        <v>27</v>
      </c>
      <c r="B210" t="s">
        <v>15</v>
      </c>
      <c r="C210" t="s">
        <v>13</v>
      </c>
      <c r="D210">
        <v>19.989999999999998</v>
      </c>
      <c r="E210">
        <v>65.38</v>
      </c>
      <c r="F210">
        <v>9.2899999999999991</v>
      </c>
      <c r="G210">
        <v>30.4</v>
      </c>
      <c r="H210">
        <v>8</v>
      </c>
      <c r="I210">
        <v>19.62</v>
      </c>
      <c r="J210">
        <v>2.79</v>
      </c>
    </row>
    <row r="211" spans="1:10" x14ac:dyDescent="0.2">
      <c r="A211" t="s">
        <v>27</v>
      </c>
      <c r="B211" t="s">
        <v>15</v>
      </c>
      <c r="C211" t="s">
        <v>14</v>
      </c>
      <c r="D211">
        <v>31.57</v>
      </c>
      <c r="E211">
        <v>75</v>
      </c>
      <c r="F211">
        <v>22.21</v>
      </c>
      <c r="G211">
        <v>41.79</v>
      </c>
      <c r="H211">
        <v>12.63</v>
      </c>
      <c r="I211">
        <v>22.5</v>
      </c>
      <c r="J211">
        <v>6.66</v>
      </c>
    </row>
    <row r="212" spans="1:10" x14ac:dyDescent="0.2">
      <c r="A212" t="s">
        <v>27</v>
      </c>
      <c r="B212" t="s">
        <v>16</v>
      </c>
      <c r="C212" t="s">
        <v>9</v>
      </c>
      <c r="D212">
        <v>22.73</v>
      </c>
      <c r="E212">
        <v>50</v>
      </c>
      <c r="F212">
        <v>5.36</v>
      </c>
      <c r="G212">
        <v>25.7</v>
      </c>
      <c r="H212">
        <v>9.09</v>
      </c>
      <c r="I212">
        <v>15</v>
      </c>
      <c r="J212">
        <v>1.61</v>
      </c>
    </row>
    <row r="213" spans="1:10" x14ac:dyDescent="0.2">
      <c r="A213" t="s">
        <v>27</v>
      </c>
      <c r="B213" t="s">
        <v>16</v>
      </c>
      <c r="C213" t="s">
        <v>10</v>
      </c>
      <c r="D213">
        <v>19.920000000000002</v>
      </c>
      <c r="E213">
        <v>63.46</v>
      </c>
      <c r="F213">
        <v>6.51</v>
      </c>
      <c r="G213">
        <v>28.96</v>
      </c>
      <c r="H213">
        <v>7.97</v>
      </c>
      <c r="I213">
        <v>19.04</v>
      </c>
      <c r="J213">
        <v>1.95</v>
      </c>
    </row>
    <row r="214" spans="1:10" x14ac:dyDescent="0.2">
      <c r="A214" t="s">
        <v>27</v>
      </c>
      <c r="B214" t="s">
        <v>16</v>
      </c>
      <c r="C214" t="s">
        <v>11</v>
      </c>
      <c r="D214">
        <v>1.89</v>
      </c>
      <c r="E214">
        <v>55.77</v>
      </c>
      <c r="F214">
        <v>3.33</v>
      </c>
      <c r="G214">
        <v>18.489999999999998</v>
      </c>
      <c r="H214">
        <v>0.76</v>
      </c>
      <c r="I214">
        <v>16.73</v>
      </c>
      <c r="J214">
        <v>1</v>
      </c>
    </row>
    <row r="215" spans="1:10" x14ac:dyDescent="0.2">
      <c r="A215" t="s">
        <v>27</v>
      </c>
      <c r="B215" t="s">
        <v>16</v>
      </c>
      <c r="C215" t="s">
        <v>12</v>
      </c>
      <c r="D215">
        <v>9.6199999999999992</v>
      </c>
      <c r="E215">
        <v>57.69</v>
      </c>
      <c r="F215">
        <v>11.46</v>
      </c>
      <c r="G215">
        <v>24.59</v>
      </c>
      <c r="H215">
        <v>3.85</v>
      </c>
      <c r="I215">
        <v>17.309999999999999</v>
      </c>
      <c r="J215">
        <v>3.44</v>
      </c>
    </row>
    <row r="216" spans="1:10" x14ac:dyDescent="0.2">
      <c r="A216" t="s">
        <v>27</v>
      </c>
      <c r="B216" t="s">
        <v>16</v>
      </c>
      <c r="C216" t="s">
        <v>13</v>
      </c>
      <c r="D216">
        <v>9.4600000000000009</v>
      </c>
      <c r="E216">
        <v>65.38</v>
      </c>
      <c r="F216">
        <v>5.04</v>
      </c>
      <c r="G216">
        <v>24.91</v>
      </c>
      <c r="H216">
        <v>3.78</v>
      </c>
      <c r="I216">
        <v>19.62</v>
      </c>
      <c r="J216">
        <v>1.51</v>
      </c>
    </row>
    <row r="217" spans="1:10" x14ac:dyDescent="0.2">
      <c r="A217" t="s">
        <v>27</v>
      </c>
      <c r="B217" t="s">
        <v>16</v>
      </c>
      <c r="C217" t="s">
        <v>14</v>
      </c>
      <c r="D217">
        <v>19.3</v>
      </c>
      <c r="E217">
        <v>75</v>
      </c>
      <c r="F217">
        <v>17.48</v>
      </c>
      <c r="G217">
        <v>35.47</v>
      </c>
      <c r="H217">
        <v>7.72</v>
      </c>
      <c r="I217">
        <v>22.5</v>
      </c>
      <c r="J217">
        <v>5.25</v>
      </c>
    </row>
    <row r="218" spans="1:10" x14ac:dyDescent="0.2">
      <c r="A218" t="s">
        <v>28</v>
      </c>
      <c r="B218" t="s">
        <v>8</v>
      </c>
      <c r="C218" t="s">
        <v>9</v>
      </c>
      <c r="D218">
        <v>11.16</v>
      </c>
      <c r="E218">
        <v>36.54</v>
      </c>
      <c r="F218">
        <v>5.63</v>
      </c>
      <c r="G218">
        <v>17.12</v>
      </c>
      <c r="H218">
        <v>4.46</v>
      </c>
      <c r="I218">
        <v>10.96</v>
      </c>
      <c r="J218">
        <v>1.69</v>
      </c>
    </row>
    <row r="219" spans="1:10" x14ac:dyDescent="0.2">
      <c r="A219" t="s">
        <v>28</v>
      </c>
      <c r="B219" t="s">
        <v>8</v>
      </c>
      <c r="C219" t="s">
        <v>10</v>
      </c>
      <c r="D219">
        <v>15.08</v>
      </c>
      <c r="E219">
        <v>61.54</v>
      </c>
      <c r="F219">
        <v>6.62</v>
      </c>
      <c r="G219">
        <v>26.48</v>
      </c>
      <c r="H219">
        <v>6.03</v>
      </c>
      <c r="I219">
        <v>18.46</v>
      </c>
      <c r="J219">
        <v>1.99</v>
      </c>
    </row>
    <row r="220" spans="1:10" x14ac:dyDescent="0.2">
      <c r="A220" t="s">
        <v>28</v>
      </c>
      <c r="B220" t="s">
        <v>8</v>
      </c>
      <c r="C220" t="s">
        <v>11</v>
      </c>
      <c r="D220">
        <v>1.36</v>
      </c>
      <c r="E220">
        <v>51.92</v>
      </c>
      <c r="F220">
        <v>2.09</v>
      </c>
      <c r="G220">
        <v>16.75</v>
      </c>
      <c r="H220">
        <v>0.54</v>
      </c>
      <c r="I220">
        <v>15.58</v>
      </c>
      <c r="J220">
        <v>0.63</v>
      </c>
    </row>
    <row r="221" spans="1:10" x14ac:dyDescent="0.2">
      <c r="A221" t="s">
        <v>28</v>
      </c>
      <c r="B221" t="s">
        <v>8</v>
      </c>
      <c r="C221" t="s">
        <v>12</v>
      </c>
      <c r="D221">
        <v>7.2</v>
      </c>
      <c r="E221">
        <v>61.54</v>
      </c>
      <c r="F221">
        <v>8.3699999999999992</v>
      </c>
      <c r="G221">
        <v>23.85</v>
      </c>
      <c r="H221">
        <v>2.88</v>
      </c>
      <c r="I221">
        <v>18.46</v>
      </c>
      <c r="J221">
        <v>2.5099999999999998</v>
      </c>
    </row>
    <row r="222" spans="1:10" x14ac:dyDescent="0.2">
      <c r="A222" t="s">
        <v>28</v>
      </c>
      <c r="B222" t="s">
        <v>8</v>
      </c>
      <c r="C222" t="s">
        <v>13</v>
      </c>
      <c r="D222">
        <v>6.08</v>
      </c>
      <c r="E222">
        <v>55.77</v>
      </c>
      <c r="F222">
        <v>4.68</v>
      </c>
      <c r="G222">
        <v>20.57</v>
      </c>
      <c r="H222">
        <v>2.4300000000000002</v>
      </c>
      <c r="I222">
        <v>16.73</v>
      </c>
      <c r="J222">
        <v>1.4</v>
      </c>
    </row>
    <row r="223" spans="1:10" x14ac:dyDescent="0.2">
      <c r="A223" t="s">
        <v>28</v>
      </c>
      <c r="B223" t="s">
        <v>8</v>
      </c>
      <c r="C223" t="s">
        <v>14</v>
      </c>
      <c r="D223">
        <v>17.03</v>
      </c>
      <c r="E223">
        <v>65.38</v>
      </c>
      <c r="F223">
        <v>23.67</v>
      </c>
      <c r="G223">
        <v>33.53</v>
      </c>
      <c r="H223">
        <v>6.81</v>
      </c>
      <c r="I223">
        <v>19.62</v>
      </c>
      <c r="J223">
        <v>7.1</v>
      </c>
    </row>
    <row r="224" spans="1:10" x14ac:dyDescent="0.2">
      <c r="A224" t="s">
        <v>28</v>
      </c>
      <c r="B224" t="s">
        <v>15</v>
      </c>
      <c r="C224" t="s">
        <v>9</v>
      </c>
      <c r="D224">
        <v>19.190000000000001</v>
      </c>
      <c r="E224">
        <v>36.54</v>
      </c>
      <c r="F224">
        <v>5.92</v>
      </c>
      <c r="G224">
        <v>20.41</v>
      </c>
      <c r="H224">
        <v>7.68</v>
      </c>
      <c r="I224">
        <v>10.96</v>
      </c>
      <c r="J224">
        <v>1.78</v>
      </c>
    </row>
    <row r="225" spans="1:10" x14ac:dyDescent="0.2">
      <c r="A225" t="s">
        <v>28</v>
      </c>
      <c r="B225" t="s">
        <v>15</v>
      </c>
      <c r="C225" t="s">
        <v>10</v>
      </c>
      <c r="D225">
        <v>18.57</v>
      </c>
      <c r="E225">
        <v>61.54</v>
      </c>
      <c r="F225">
        <v>6.61</v>
      </c>
      <c r="G225">
        <v>27.87</v>
      </c>
      <c r="H225">
        <v>7.43</v>
      </c>
      <c r="I225">
        <v>18.46</v>
      </c>
      <c r="J225">
        <v>1.98</v>
      </c>
    </row>
    <row r="226" spans="1:10" x14ac:dyDescent="0.2">
      <c r="A226" t="s">
        <v>28</v>
      </c>
      <c r="B226" t="s">
        <v>15</v>
      </c>
      <c r="C226" t="s">
        <v>11</v>
      </c>
      <c r="D226">
        <v>2.9</v>
      </c>
      <c r="E226">
        <v>51.92</v>
      </c>
      <c r="F226">
        <v>5.85</v>
      </c>
      <c r="G226">
        <v>18.489999999999998</v>
      </c>
      <c r="H226">
        <v>1.1599999999999999</v>
      </c>
      <c r="I226">
        <v>15.58</v>
      </c>
      <c r="J226">
        <v>1.75</v>
      </c>
    </row>
    <row r="227" spans="1:10" x14ac:dyDescent="0.2">
      <c r="A227" t="s">
        <v>28</v>
      </c>
      <c r="B227" t="s">
        <v>15</v>
      </c>
      <c r="C227" t="s">
        <v>12</v>
      </c>
      <c r="D227">
        <v>12.53</v>
      </c>
      <c r="E227">
        <v>61.54</v>
      </c>
      <c r="F227">
        <v>10.81</v>
      </c>
      <c r="G227">
        <v>26.72</v>
      </c>
      <c r="H227">
        <v>5.01</v>
      </c>
      <c r="I227">
        <v>18.46</v>
      </c>
      <c r="J227">
        <v>3.24</v>
      </c>
    </row>
    <row r="228" spans="1:10" x14ac:dyDescent="0.2">
      <c r="A228" t="s">
        <v>28</v>
      </c>
      <c r="B228" t="s">
        <v>15</v>
      </c>
      <c r="C228" t="s">
        <v>13</v>
      </c>
      <c r="D228">
        <v>12.96</v>
      </c>
      <c r="E228">
        <v>55.77</v>
      </c>
      <c r="F228">
        <v>3.98</v>
      </c>
      <c r="G228">
        <v>23.11</v>
      </c>
      <c r="H228">
        <v>5.19</v>
      </c>
      <c r="I228">
        <v>16.73</v>
      </c>
      <c r="J228">
        <v>1.19</v>
      </c>
    </row>
    <row r="229" spans="1:10" x14ac:dyDescent="0.2">
      <c r="A229" t="s">
        <v>28</v>
      </c>
      <c r="B229" t="s">
        <v>15</v>
      </c>
      <c r="C229" t="s">
        <v>14</v>
      </c>
      <c r="D229">
        <v>34.950000000000003</v>
      </c>
      <c r="E229">
        <v>65.38</v>
      </c>
      <c r="F229">
        <v>21.82</v>
      </c>
      <c r="G229">
        <v>40.14</v>
      </c>
      <c r="H229">
        <v>13.98</v>
      </c>
      <c r="I229">
        <v>19.62</v>
      </c>
      <c r="J229">
        <v>6.54</v>
      </c>
    </row>
    <row r="230" spans="1:10" x14ac:dyDescent="0.2">
      <c r="A230" t="s">
        <v>28</v>
      </c>
      <c r="B230" t="s">
        <v>16</v>
      </c>
      <c r="C230" t="s">
        <v>9</v>
      </c>
      <c r="D230">
        <v>16.73</v>
      </c>
      <c r="E230">
        <v>36.54</v>
      </c>
      <c r="F230">
        <v>5.49</v>
      </c>
      <c r="G230">
        <v>19.3</v>
      </c>
      <c r="H230">
        <v>6.69</v>
      </c>
      <c r="I230">
        <v>10.96</v>
      </c>
      <c r="J230">
        <v>1.65</v>
      </c>
    </row>
    <row r="231" spans="1:10" x14ac:dyDescent="0.2">
      <c r="A231" t="s">
        <v>28</v>
      </c>
      <c r="B231" t="s">
        <v>16</v>
      </c>
      <c r="C231" t="s">
        <v>10</v>
      </c>
      <c r="D231">
        <v>16.940000000000001</v>
      </c>
      <c r="E231">
        <v>61.54</v>
      </c>
      <c r="F231">
        <v>11.64</v>
      </c>
      <c r="G231">
        <v>28.73</v>
      </c>
      <c r="H231">
        <v>6.78</v>
      </c>
      <c r="I231">
        <v>18.46</v>
      </c>
      <c r="J231">
        <v>3.49</v>
      </c>
    </row>
    <row r="232" spans="1:10" x14ac:dyDescent="0.2">
      <c r="A232" t="s">
        <v>28</v>
      </c>
      <c r="B232" t="s">
        <v>16</v>
      </c>
      <c r="C232" t="s">
        <v>11</v>
      </c>
      <c r="D232">
        <v>1.83</v>
      </c>
      <c r="E232">
        <v>51.92</v>
      </c>
      <c r="F232">
        <v>7.46</v>
      </c>
      <c r="G232">
        <v>18.55</v>
      </c>
      <c r="H232">
        <v>0.73</v>
      </c>
      <c r="I232">
        <v>15.58</v>
      </c>
      <c r="J232">
        <v>2.2400000000000002</v>
      </c>
    </row>
    <row r="233" spans="1:10" x14ac:dyDescent="0.2">
      <c r="A233" t="s">
        <v>28</v>
      </c>
      <c r="B233" t="s">
        <v>16</v>
      </c>
      <c r="C233" t="s">
        <v>12</v>
      </c>
      <c r="D233">
        <v>9.5299999999999994</v>
      </c>
      <c r="E233">
        <v>61.54</v>
      </c>
      <c r="F233">
        <v>11.83</v>
      </c>
      <c r="G233">
        <v>25.82</v>
      </c>
      <c r="H233">
        <v>3.81</v>
      </c>
      <c r="I233">
        <v>18.46</v>
      </c>
      <c r="J233">
        <v>3.55</v>
      </c>
    </row>
    <row r="234" spans="1:10" x14ac:dyDescent="0.2">
      <c r="A234" t="s">
        <v>28</v>
      </c>
      <c r="B234" t="s">
        <v>16</v>
      </c>
      <c r="C234" t="s">
        <v>13</v>
      </c>
      <c r="D234">
        <v>6.99</v>
      </c>
      <c r="E234">
        <v>55.77</v>
      </c>
      <c r="F234">
        <v>3.26</v>
      </c>
      <c r="G234">
        <v>20.5</v>
      </c>
      <c r="H234">
        <v>2.8</v>
      </c>
      <c r="I234">
        <v>16.73</v>
      </c>
      <c r="J234">
        <v>0.98</v>
      </c>
    </row>
    <row r="235" spans="1:10" x14ac:dyDescent="0.2">
      <c r="A235" t="s">
        <v>28</v>
      </c>
      <c r="B235" t="s">
        <v>16</v>
      </c>
      <c r="C235" t="s">
        <v>14</v>
      </c>
      <c r="D235">
        <v>21.42</v>
      </c>
      <c r="E235">
        <v>65.38</v>
      </c>
      <c r="F235">
        <v>28.89</v>
      </c>
      <c r="G235">
        <v>36.85</v>
      </c>
      <c r="H235">
        <v>8.57</v>
      </c>
      <c r="I235">
        <v>19.62</v>
      </c>
      <c r="J235">
        <v>8.67</v>
      </c>
    </row>
    <row r="236" spans="1:10" x14ac:dyDescent="0.2">
      <c r="A236" t="s">
        <v>29</v>
      </c>
      <c r="B236" t="s">
        <v>8</v>
      </c>
      <c r="C236" t="s">
        <v>9</v>
      </c>
      <c r="D236">
        <v>12.86</v>
      </c>
      <c r="E236">
        <v>40.380000000000003</v>
      </c>
      <c r="F236">
        <v>4.37</v>
      </c>
      <c r="G236">
        <v>18.57</v>
      </c>
      <c r="H236">
        <v>5.14</v>
      </c>
      <c r="I236">
        <v>12.12</v>
      </c>
      <c r="J236">
        <v>1.31</v>
      </c>
    </row>
    <row r="237" spans="1:10" x14ac:dyDescent="0.2">
      <c r="A237" t="s">
        <v>29</v>
      </c>
      <c r="B237" t="s">
        <v>8</v>
      </c>
      <c r="C237" t="s">
        <v>10</v>
      </c>
      <c r="D237">
        <v>11.02</v>
      </c>
      <c r="E237">
        <v>50</v>
      </c>
      <c r="F237">
        <v>4.05</v>
      </c>
      <c r="G237">
        <v>20.62</v>
      </c>
      <c r="H237">
        <v>4.41</v>
      </c>
      <c r="I237">
        <v>15</v>
      </c>
      <c r="J237">
        <v>1.22</v>
      </c>
    </row>
    <row r="238" spans="1:10" x14ac:dyDescent="0.2">
      <c r="A238" t="s">
        <v>29</v>
      </c>
      <c r="B238" t="s">
        <v>8</v>
      </c>
      <c r="C238" t="s">
        <v>11</v>
      </c>
      <c r="D238">
        <v>2.33</v>
      </c>
      <c r="E238">
        <v>46.15</v>
      </c>
      <c r="F238">
        <v>1.55</v>
      </c>
      <c r="G238">
        <v>15.24</v>
      </c>
      <c r="H238">
        <v>0.93</v>
      </c>
      <c r="I238">
        <v>13.85</v>
      </c>
      <c r="J238">
        <v>0.46</v>
      </c>
    </row>
    <row r="239" spans="1:10" x14ac:dyDescent="0.2">
      <c r="A239" t="s">
        <v>29</v>
      </c>
      <c r="B239" t="s">
        <v>8</v>
      </c>
      <c r="C239" t="s">
        <v>12</v>
      </c>
      <c r="D239">
        <v>6.97</v>
      </c>
      <c r="E239">
        <v>57.69</v>
      </c>
      <c r="F239">
        <v>7.4</v>
      </c>
      <c r="G239">
        <v>22.32</v>
      </c>
      <c r="H239">
        <v>2.79</v>
      </c>
      <c r="I239">
        <v>17.309999999999999</v>
      </c>
      <c r="J239">
        <v>2.2200000000000002</v>
      </c>
    </row>
    <row r="240" spans="1:10" x14ac:dyDescent="0.2">
      <c r="A240" t="s">
        <v>29</v>
      </c>
      <c r="B240" t="s">
        <v>8</v>
      </c>
      <c r="C240" t="s">
        <v>13</v>
      </c>
      <c r="D240">
        <v>8</v>
      </c>
      <c r="E240">
        <v>51.92</v>
      </c>
      <c r="F240">
        <v>3.8</v>
      </c>
      <c r="G240">
        <v>19.920000000000002</v>
      </c>
      <c r="H240">
        <v>3.2</v>
      </c>
      <c r="I240">
        <v>15.58</v>
      </c>
      <c r="J240">
        <v>1.1399999999999999</v>
      </c>
    </row>
    <row r="241" spans="1:10" x14ac:dyDescent="0.2">
      <c r="A241" t="s">
        <v>29</v>
      </c>
      <c r="B241" t="s">
        <v>8</v>
      </c>
      <c r="C241" t="s">
        <v>14</v>
      </c>
      <c r="D241">
        <v>13.88</v>
      </c>
      <c r="E241">
        <v>53.85</v>
      </c>
      <c r="F241">
        <v>7.12</v>
      </c>
      <c r="G241">
        <v>23.84</v>
      </c>
      <c r="H241">
        <v>5.55</v>
      </c>
      <c r="I241">
        <v>16.149999999999999</v>
      </c>
      <c r="J241">
        <v>2.13</v>
      </c>
    </row>
    <row r="242" spans="1:10" x14ac:dyDescent="0.2">
      <c r="A242" t="s">
        <v>29</v>
      </c>
      <c r="B242" t="s">
        <v>15</v>
      </c>
      <c r="C242" t="s">
        <v>9</v>
      </c>
      <c r="D242">
        <v>24.13</v>
      </c>
      <c r="E242">
        <v>40.380000000000003</v>
      </c>
      <c r="F242">
        <v>3.96</v>
      </c>
      <c r="G242">
        <v>22.96</v>
      </c>
      <c r="H242">
        <v>9.65</v>
      </c>
      <c r="I242">
        <v>12.12</v>
      </c>
      <c r="J242">
        <v>1.19</v>
      </c>
    </row>
    <row r="243" spans="1:10" x14ac:dyDescent="0.2">
      <c r="A243" t="s">
        <v>29</v>
      </c>
      <c r="B243" t="s">
        <v>15</v>
      </c>
      <c r="C243" t="s">
        <v>10</v>
      </c>
      <c r="D243">
        <v>12.71</v>
      </c>
      <c r="E243">
        <v>50</v>
      </c>
      <c r="F243">
        <v>4.5599999999999996</v>
      </c>
      <c r="G243">
        <v>21.45</v>
      </c>
      <c r="H243">
        <v>5.08</v>
      </c>
      <c r="I243">
        <v>15</v>
      </c>
      <c r="J243">
        <v>1.37</v>
      </c>
    </row>
    <row r="244" spans="1:10" x14ac:dyDescent="0.2">
      <c r="A244" t="s">
        <v>29</v>
      </c>
      <c r="B244" t="s">
        <v>15</v>
      </c>
      <c r="C244" t="s">
        <v>11</v>
      </c>
      <c r="D244">
        <v>4.8600000000000003</v>
      </c>
      <c r="E244">
        <v>46.15</v>
      </c>
      <c r="F244">
        <v>2.17</v>
      </c>
      <c r="G244">
        <v>16.440000000000001</v>
      </c>
      <c r="H244">
        <v>1.94</v>
      </c>
      <c r="I244">
        <v>13.85</v>
      </c>
      <c r="J244">
        <v>0.65</v>
      </c>
    </row>
    <row r="245" spans="1:10" x14ac:dyDescent="0.2">
      <c r="A245" t="s">
        <v>29</v>
      </c>
      <c r="B245" t="s">
        <v>15</v>
      </c>
      <c r="C245" t="s">
        <v>12</v>
      </c>
      <c r="D245">
        <v>12</v>
      </c>
      <c r="E245">
        <v>57.69</v>
      </c>
      <c r="F245">
        <v>10.34</v>
      </c>
      <c r="G245">
        <v>25.21</v>
      </c>
      <c r="H245">
        <v>4.8</v>
      </c>
      <c r="I245">
        <v>17.309999999999999</v>
      </c>
      <c r="J245">
        <v>3.1</v>
      </c>
    </row>
    <row r="246" spans="1:10" x14ac:dyDescent="0.2">
      <c r="A246" t="s">
        <v>29</v>
      </c>
      <c r="B246" t="s">
        <v>15</v>
      </c>
      <c r="C246" t="s">
        <v>13</v>
      </c>
      <c r="D246">
        <v>17.27</v>
      </c>
      <c r="E246">
        <v>51.92</v>
      </c>
      <c r="F246">
        <v>5.84</v>
      </c>
      <c r="G246">
        <v>24.24</v>
      </c>
      <c r="H246">
        <v>6.91</v>
      </c>
      <c r="I246">
        <v>15.58</v>
      </c>
      <c r="J246">
        <v>1.75</v>
      </c>
    </row>
    <row r="247" spans="1:10" x14ac:dyDescent="0.2">
      <c r="A247" t="s">
        <v>29</v>
      </c>
      <c r="B247" t="s">
        <v>15</v>
      </c>
      <c r="C247" t="s">
        <v>14</v>
      </c>
      <c r="D247">
        <v>28.64</v>
      </c>
      <c r="E247">
        <v>53.85</v>
      </c>
      <c r="F247">
        <v>16.88</v>
      </c>
      <c r="G247">
        <v>32.68</v>
      </c>
      <c r="H247">
        <v>11.46</v>
      </c>
      <c r="I247">
        <v>16.149999999999999</v>
      </c>
      <c r="J247">
        <v>5.0599999999999996</v>
      </c>
    </row>
    <row r="248" spans="1:10" x14ac:dyDescent="0.2">
      <c r="A248" t="s">
        <v>29</v>
      </c>
      <c r="B248" t="s">
        <v>16</v>
      </c>
      <c r="C248" t="s">
        <v>9</v>
      </c>
      <c r="D248">
        <v>17.97</v>
      </c>
      <c r="E248">
        <v>40.380000000000003</v>
      </c>
      <c r="F248">
        <v>4.9400000000000004</v>
      </c>
      <c r="G248">
        <v>20.79</v>
      </c>
      <c r="H248">
        <v>7.19</v>
      </c>
      <c r="I248">
        <v>12.12</v>
      </c>
      <c r="J248">
        <v>1.48</v>
      </c>
    </row>
    <row r="249" spans="1:10" x14ac:dyDescent="0.2">
      <c r="A249" t="s">
        <v>29</v>
      </c>
      <c r="B249" t="s">
        <v>16</v>
      </c>
      <c r="C249" t="s">
        <v>10</v>
      </c>
      <c r="D249">
        <v>12.27</v>
      </c>
      <c r="E249">
        <v>50</v>
      </c>
      <c r="F249">
        <v>4.46</v>
      </c>
      <c r="G249">
        <v>21.25</v>
      </c>
      <c r="H249">
        <v>4.91</v>
      </c>
      <c r="I249">
        <v>15</v>
      </c>
      <c r="J249">
        <v>1.34</v>
      </c>
    </row>
    <row r="250" spans="1:10" x14ac:dyDescent="0.2">
      <c r="A250" t="s">
        <v>29</v>
      </c>
      <c r="B250" t="s">
        <v>16</v>
      </c>
      <c r="C250" t="s">
        <v>11</v>
      </c>
      <c r="D250">
        <v>3.16</v>
      </c>
      <c r="E250">
        <v>46.15</v>
      </c>
      <c r="F250">
        <v>1.98</v>
      </c>
      <c r="G250">
        <v>15.7</v>
      </c>
      <c r="H250">
        <v>1.26</v>
      </c>
      <c r="I250">
        <v>13.85</v>
      </c>
      <c r="J250">
        <v>0.59</v>
      </c>
    </row>
    <row r="251" spans="1:10" x14ac:dyDescent="0.2">
      <c r="A251" t="s">
        <v>29</v>
      </c>
      <c r="B251" t="s">
        <v>16</v>
      </c>
      <c r="C251" t="s">
        <v>12</v>
      </c>
      <c r="D251">
        <v>9.58</v>
      </c>
      <c r="E251">
        <v>57.69</v>
      </c>
      <c r="F251">
        <v>8.4700000000000006</v>
      </c>
      <c r="G251">
        <v>23.68</v>
      </c>
      <c r="H251">
        <v>3.83</v>
      </c>
      <c r="I251">
        <v>17.309999999999999</v>
      </c>
      <c r="J251">
        <v>2.54</v>
      </c>
    </row>
    <row r="252" spans="1:10" x14ac:dyDescent="0.2">
      <c r="A252" t="s">
        <v>29</v>
      </c>
      <c r="B252" t="s">
        <v>16</v>
      </c>
      <c r="C252" t="s">
        <v>13</v>
      </c>
      <c r="D252">
        <v>8.26</v>
      </c>
      <c r="E252">
        <v>51.92</v>
      </c>
      <c r="F252">
        <v>4.83</v>
      </c>
      <c r="G252">
        <v>20.329999999999998</v>
      </c>
      <c r="H252">
        <v>3.3</v>
      </c>
      <c r="I252">
        <v>15.58</v>
      </c>
      <c r="J252">
        <v>1.45</v>
      </c>
    </row>
    <row r="253" spans="1:10" x14ac:dyDescent="0.2">
      <c r="A253" t="s">
        <v>29</v>
      </c>
      <c r="B253" t="s">
        <v>16</v>
      </c>
      <c r="C253" t="s">
        <v>14</v>
      </c>
      <c r="D253">
        <v>16.79</v>
      </c>
      <c r="E253">
        <v>53.85</v>
      </c>
      <c r="F253">
        <v>10.94</v>
      </c>
      <c r="G253">
        <v>26.15</v>
      </c>
      <c r="H253">
        <v>6.72</v>
      </c>
      <c r="I253">
        <v>16.149999999999999</v>
      </c>
      <c r="J253">
        <v>3.28</v>
      </c>
    </row>
    <row r="254" spans="1:10" x14ac:dyDescent="0.2">
      <c r="A254" t="s">
        <v>30</v>
      </c>
      <c r="B254" t="s">
        <v>8</v>
      </c>
      <c r="C254" t="s">
        <v>9</v>
      </c>
      <c r="D254">
        <v>10.130000000000001</v>
      </c>
      <c r="E254">
        <v>44.23</v>
      </c>
      <c r="F254">
        <v>2.65</v>
      </c>
      <c r="G254">
        <v>18.12</v>
      </c>
      <c r="H254">
        <v>4.05</v>
      </c>
      <c r="I254">
        <v>13.27</v>
      </c>
      <c r="J254">
        <v>0.79</v>
      </c>
    </row>
    <row r="255" spans="1:10" x14ac:dyDescent="0.2">
      <c r="A255" t="s">
        <v>30</v>
      </c>
      <c r="B255" t="s">
        <v>8</v>
      </c>
      <c r="C255" t="s">
        <v>10</v>
      </c>
      <c r="D255">
        <v>14.93</v>
      </c>
      <c r="E255">
        <v>53.85</v>
      </c>
      <c r="F255">
        <v>7.11</v>
      </c>
      <c r="G255">
        <v>24.26</v>
      </c>
      <c r="H255">
        <v>5.97</v>
      </c>
      <c r="I255">
        <v>16.149999999999999</v>
      </c>
      <c r="J255">
        <v>2.13</v>
      </c>
    </row>
    <row r="256" spans="1:10" x14ac:dyDescent="0.2">
      <c r="A256" t="s">
        <v>30</v>
      </c>
      <c r="B256" t="s">
        <v>8</v>
      </c>
      <c r="C256" t="s">
        <v>11</v>
      </c>
      <c r="D256">
        <v>2.4</v>
      </c>
      <c r="E256">
        <v>42.31</v>
      </c>
      <c r="F256">
        <v>2.38</v>
      </c>
      <c r="G256">
        <v>14.37</v>
      </c>
      <c r="H256">
        <v>0.96</v>
      </c>
      <c r="I256">
        <v>12.69</v>
      </c>
      <c r="J256">
        <v>0.71</v>
      </c>
    </row>
    <row r="257" spans="1:10" x14ac:dyDescent="0.2">
      <c r="A257" t="s">
        <v>30</v>
      </c>
      <c r="B257" t="s">
        <v>8</v>
      </c>
      <c r="C257" t="s">
        <v>12</v>
      </c>
      <c r="D257">
        <v>6.47</v>
      </c>
      <c r="E257">
        <v>59.62</v>
      </c>
      <c r="F257">
        <v>6.54</v>
      </c>
      <c r="G257">
        <v>22.43</v>
      </c>
      <c r="H257">
        <v>2.59</v>
      </c>
      <c r="I257">
        <v>17.88</v>
      </c>
      <c r="J257">
        <v>1.96</v>
      </c>
    </row>
    <row r="258" spans="1:10" x14ac:dyDescent="0.2">
      <c r="A258" t="s">
        <v>30</v>
      </c>
      <c r="B258" t="s">
        <v>8</v>
      </c>
      <c r="C258" t="s">
        <v>13</v>
      </c>
      <c r="D258">
        <v>7.14</v>
      </c>
      <c r="E258">
        <v>50</v>
      </c>
      <c r="F258">
        <v>2.4500000000000002</v>
      </c>
      <c r="G258">
        <v>18.59</v>
      </c>
      <c r="H258">
        <v>2.86</v>
      </c>
      <c r="I258">
        <v>15</v>
      </c>
      <c r="J258">
        <v>0.74</v>
      </c>
    </row>
    <row r="259" spans="1:10" x14ac:dyDescent="0.2">
      <c r="A259" t="s">
        <v>30</v>
      </c>
      <c r="B259" t="s">
        <v>8</v>
      </c>
      <c r="C259" t="s">
        <v>14</v>
      </c>
      <c r="D259">
        <v>11.97</v>
      </c>
      <c r="E259">
        <v>48.08</v>
      </c>
      <c r="F259">
        <v>7.12</v>
      </c>
      <c r="G259">
        <v>21.35</v>
      </c>
      <c r="H259">
        <v>4.79</v>
      </c>
      <c r="I259">
        <v>14.42</v>
      </c>
      <c r="J259">
        <v>2.14</v>
      </c>
    </row>
    <row r="260" spans="1:10" x14ac:dyDescent="0.2">
      <c r="A260" t="s">
        <v>30</v>
      </c>
      <c r="B260" t="s">
        <v>15</v>
      </c>
      <c r="C260" t="s">
        <v>9</v>
      </c>
      <c r="D260">
        <v>16.43</v>
      </c>
      <c r="E260">
        <v>44.23</v>
      </c>
      <c r="F260">
        <v>2.81</v>
      </c>
      <c r="G260">
        <v>20.69</v>
      </c>
      <c r="H260">
        <v>6.57</v>
      </c>
      <c r="I260">
        <v>13.27</v>
      </c>
      <c r="J260">
        <v>0.84</v>
      </c>
    </row>
    <row r="261" spans="1:10" x14ac:dyDescent="0.2">
      <c r="A261" t="s">
        <v>30</v>
      </c>
      <c r="B261" t="s">
        <v>15</v>
      </c>
      <c r="C261" t="s">
        <v>10</v>
      </c>
      <c r="D261">
        <v>19.04</v>
      </c>
      <c r="E261">
        <v>53.85</v>
      </c>
      <c r="F261">
        <v>8.9700000000000006</v>
      </c>
      <c r="G261">
        <v>26.46</v>
      </c>
      <c r="H261">
        <v>7.62</v>
      </c>
      <c r="I261">
        <v>16.149999999999999</v>
      </c>
      <c r="J261">
        <v>2.69</v>
      </c>
    </row>
    <row r="262" spans="1:10" x14ac:dyDescent="0.2">
      <c r="A262" t="s">
        <v>30</v>
      </c>
      <c r="B262" t="s">
        <v>15</v>
      </c>
      <c r="C262" t="s">
        <v>11</v>
      </c>
      <c r="D262">
        <v>5.59</v>
      </c>
      <c r="E262">
        <v>42.31</v>
      </c>
      <c r="F262">
        <v>14.18</v>
      </c>
      <c r="G262">
        <v>19.18</v>
      </c>
      <c r="H262">
        <v>2.2400000000000002</v>
      </c>
      <c r="I262">
        <v>12.69</v>
      </c>
      <c r="J262">
        <v>4.25</v>
      </c>
    </row>
    <row r="263" spans="1:10" x14ac:dyDescent="0.2">
      <c r="A263" t="s">
        <v>30</v>
      </c>
      <c r="B263" t="s">
        <v>15</v>
      </c>
      <c r="C263" t="s">
        <v>12</v>
      </c>
      <c r="D263">
        <v>11.67</v>
      </c>
      <c r="E263">
        <v>59.62</v>
      </c>
      <c r="F263">
        <v>9.44</v>
      </c>
      <c r="G263">
        <v>25.38</v>
      </c>
      <c r="H263">
        <v>4.67</v>
      </c>
      <c r="I263">
        <v>17.88</v>
      </c>
      <c r="J263">
        <v>2.83</v>
      </c>
    </row>
    <row r="264" spans="1:10" x14ac:dyDescent="0.2">
      <c r="A264" t="s">
        <v>30</v>
      </c>
      <c r="B264" t="s">
        <v>15</v>
      </c>
      <c r="C264" t="s">
        <v>13</v>
      </c>
      <c r="D264">
        <v>14.93</v>
      </c>
      <c r="E264">
        <v>50</v>
      </c>
      <c r="F264">
        <v>6.33</v>
      </c>
      <c r="G264">
        <v>22.87</v>
      </c>
      <c r="H264">
        <v>5.97</v>
      </c>
      <c r="I264">
        <v>15</v>
      </c>
      <c r="J264">
        <v>1.9</v>
      </c>
    </row>
    <row r="265" spans="1:10" x14ac:dyDescent="0.2">
      <c r="A265" t="s">
        <v>30</v>
      </c>
      <c r="B265" t="s">
        <v>15</v>
      </c>
      <c r="C265" t="s">
        <v>14</v>
      </c>
      <c r="D265">
        <v>22.22</v>
      </c>
      <c r="E265">
        <v>48.08</v>
      </c>
      <c r="F265">
        <v>11.94</v>
      </c>
      <c r="G265">
        <v>26.89</v>
      </c>
      <c r="H265">
        <v>8.89</v>
      </c>
      <c r="I265">
        <v>14.42</v>
      </c>
      <c r="J265">
        <v>3.58</v>
      </c>
    </row>
    <row r="266" spans="1:10" x14ac:dyDescent="0.2">
      <c r="A266" t="s">
        <v>30</v>
      </c>
      <c r="B266" t="s">
        <v>16</v>
      </c>
      <c r="C266" t="s">
        <v>9</v>
      </c>
      <c r="D266">
        <v>14.61</v>
      </c>
      <c r="E266">
        <v>44.23</v>
      </c>
      <c r="F266">
        <v>5.59</v>
      </c>
      <c r="G266">
        <v>20.79</v>
      </c>
      <c r="H266">
        <v>5.84</v>
      </c>
      <c r="I266">
        <v>13.27</v>
      </c>
      <c r="J266">
        <v>1.68</v>
      </c>
    </row>
    <row r="267" spans="1:10" x14ac:dyDescent="0.2">
      <c r="A267" t="s">
        <v>30</v>
      </c>
      <c r="B267" t="s">
        <v>16</v>
      </c>
      <c r="C267" t="s">
        <v>10</v>
      </c>
      <c r="D267">
        <v>17.73</v>
      </c>
      <c r="E267">
        <v>53.85</v>
      </c>
      <c r="F267">
        <v>4.91</v>
      </c>
      <c r="G267">
        <v>24.72</v>
      </c>
      <c r="H267">
        <v>7.09</v>
      </c>
      <c r="I267">
        <v>16.149999999999999</v>
      </c>
      <c r="J267">
        <v>1.47</v>
      </c>
    </row>
    <row r="268" spans="1:10" x14ac:dyDescent="0.2">
      <c r="A268" t="s">
        <v>30</v>
      </c>
      <c r="B268" t="s">
        <v>16</v>
      </c>
      <c r="C268" t="s">
        <v>11</v>
      </c>
      <c r="D268">
        <v>3.49</v>
      </c>
      <c r="E268">
        <v>42.31</v>
      </c>
      <c r="F268">
        <v>3.87</v>
      </c>
      <c r="G268">
        <v>15.25</v>
      </c>
      <c r="H268">
        <v>1.4</v>
      </c>
      <c r="I268">
        <v>12.69</v>
      </c>
      <c r="J268">
        <v>1.1599999999999999</v>
      </c>
    </row>
    <row r="269" spans="1:10" x14ac:dyDescent="0.2">
      <c r="A269" t="s">
        <v>30</v>
      </c>
      <c r="B269" t="s">
        <v>16</v>
      </c>
      <c r="C269" t="s">
        <v>12</v>
      </c>
      <c r="D269">
        <v>8.36</v>
      </c>
      <c r="E269">
        <v>59.62</v>
      </c>
      <c r="F269">
        <v>7.77</v>
      </c>
      <c r="G269">
        <v>23.56</v>
      </c>
      <c r="H269">
        <v>3.34</v>
      </c>
      <c r="I269">
        <v>17.88</v>
      </c>
      <c r="J269">
        <v>2.33</v>
      </c>
    </row>
    <row r="270" spans="1:10" x14ac:dyDescent="0.2">
      <c r="A270" t="s">
        <v>30</v>
      </c>
      <c r="B270" t="s">
        <v>16</v>
      </c>
      <c r="C270" t="s">
        <v>13</v>
      </c>
      <c r="D270">
        <v>7.06</v>
      </c>
      <c r="E270">
        <v>50</v>
      </c>
      <c r="F270">
        <v>2.38</v>
      </c>
      <c r="G270">
        <v>18.54</v>
      </c>
      <c r="H270">
        <v>2.82</v>
      </c>
      <c r="I270">
        <v>15</v>
      </c>
      <c r="J270">
        <v>0.71</v>
      </c>
    </row>
    <row r="271" spans="1:10" x14ac:dyDescent="0.2">
      <c r="A271" t="s">
        <v>30</v>
      </c>
      <c r="B271" t="s">
        <v>16</v>
      </c>
      <c r="C271" t="s">
        <v>14</v>
      </c>
      <c r="D271">
        <v>15.38</v>
      </c>
      <c r="E271">
        <v>48.08</v>
      </c>
      <c r="F271">
        <v>9.26</v>
      </c>
      <c r="G271">
        <v>23.35</v>
      </c>
      <c r="H271">
        <v>6.15</v>
      </c>
      <c r="I271">
        <v>14.42</v>
      </c>
      <c r="J271">
        <v>2.78</v>
      </c>
    </row>
    <row r="272" spans="1:10" x14ac:dyDescent="0.2">
      <c r="A272" t="s">
        <v>31</v>
      </c>
      <c r="B272" t="s">
        <v>8</v>
      </c>
      <c r="C272" t="s">
        <v>9</v>
      </c>
      <c r="D272">
        <v>13.45</v>
      </c>
      <c r="E272">
        <v>38.46</v>
      </c>
      <c r="F272">
        <v>3.24</v>
      </c>
      <c r="G272">
        <v>17.89</v>
      </c>
      <c r="H272">
        <v>5.38</v>
      </c>
      <c r="I272">
        <v>11.54</v>
      </c>
      <c r="J272">
        <v>0.97</v>
      </c>
    </row>
    <row r="273" spans="1:10" x14ac:dyDescent="0.2">
      <c r="A273" t="s">
        <v>31</v>
      </c>
      <c r="B273" t="s">
        <v>8</v>
      </c>
      <c r="C273" t="s">
        <v>10</v>
      </c>
      <c r="D273">
        <v>10.54</v>
      </c>
      <c r="E273">
        <v>55.77</v>
      </c>
      <c r="F273">
        <v>9.59</v>
      </c>
      <c r="G273">
        <v>23.82</v>
      </c>
      <c r="H273">
        <v>4.22</v>
      </c>
      <c r="I273">
        <v>16.73</v>
      </c>
      <c r="J273">
        <v>2.88</v>
      </c>
    </row>
    <row r="274" spans="1:10" x14ac:dyDescent="0.2">
      <c r="A274" t="s">
        <v>31</v>
      </c>
      <c r="B274" t="s">
        <v>8</v>
      </c>
      <c r="C274" t="s">
        <v>11</v>
      </c>
      <c r="D274">
        <v>2.79</v>
      </c>
      <c r="E274">
        <v>40.380000000000003</v>
      </c>
      <c r="F274">
        <v>3.72</v>
      </c>
      <c r="G274">
        <v>14.35</v>
      </c>
      <c r="H274">
        <v>1.1200000000000001</v>
      </c>
      <c r="I274">
        <v>12.12</v>
      </c>
      <c r="J274">
        <v>1.1200000000000001</v>
      </c>
    </row>
    <row r="275" spans="1:10" x14ac:dyDescent="0.2">
      <c r="A275" t="s">
        <v>31</v>
      </c>
      <c r="B275" t="s">
        <v>8</v>
      </c>
      <c r="C275" t="s">
        <v>12</v>
      </c>
      <c r="D275">
        <v>6.09</v>
      </c>
      <c r="E275">
        <v>48.08</v>
      </c>
      <c r="F275">
        <v>7.11</v>
      </c>
      <c r="G275">
        <v>18.989999999999998</v>
      </c>
      <c r="H275">
        <v>2.44</v>
      </c>
      <c r="I275">
        <v>14.42</v>
      </c>
      <c r="J275">
        <v>2.13</v>
      </c>
    </row>
    <row r="276" spans="1:10" x14ac:dyDescent="0.2">
      <c r="A276" t="s">
        <v>31</v>
      </c>
      <c r="B276" t="s">
        <v>8</v>
      </c>
      <c r="C276" t="s">
        <v>13</v>
      </c>
      <c r="D276">
        <v>7.57</v>
      </c>
      <c r="E276">
        <v>51.92</v>
      </c>
      <c r="F276">
        <v>4.13</v>
      </c>
      <c r="G276">
        <v>19.84</v>
      </c>
      <c r="H276">
        <v>3.03</v>
      </c>
      <c r="I276">
        <v>15.58</v>
      </c>
      <c r="J276">
        <v>1.24</v>
      </c>
    </row>
    <row r="277" spans="1:10" x14ac:dyDescent="0.2">
      <c r="A277" t="s">
        <v>31</v>
      </c>
      <c r="B277" t="s">
        <v>8</v>
      </c>
      <c r="C277" t="s">
        <v>14</v>
      </c>
      <c r="D277">
        <v>15.03</v>
      </c>
      <c r="E277">
        <v>30.77</v>
      </c>
      <c r="F277">
        <v>8.52</v>
      </c>
      <c r="G277">
        <v>17.8</v>
      </c>
      <c r="H277">
        <v>6.01</v>
      </c>
      <c r="I277">
        <v>9.23</v>
      </c>
      <c r="J277">
        <v>2.56</v>
      </c>
    </row>
    <row r="278" spans="1:10" x14ac:dyDescent="0.2">
      <c r="A278" t="s">
        <v>31</v>
      </c>
      <c r="B278" t="s">
        <v>15</v>
      </c>
      <c r="C278" t="s">
        <v>9</v>
      </c>
      <c r="D278">
        <v>22.81</v>
      </c>
      <c r="E278">
        <v>38.46</v>
      </c>
      <c r="F278">
        <v>4.78</v>
      </c>
      <c r="G278">
        <v>22.1</v>
      </c>
      <c r="H278">
        <v>9.1199999999999992</v>
      </c>
      <c r="I278">
        <v>11.54</v>
      </c>
      <c r="J278">
        <v>1.43</v>
      </c>
    </row>
    <row r="279" spans="1:10" x14ac:dyDescent="0.2">
      <c r="A279" t="s">
        <v>31</v>
      </c>
      <c r="B279" t="s">
        <v>15</v>
      </c>
      <c r="C279" t="s">
        <v>10</v>
      </c>
      <c r="D279">
        <v>13.5</v>
      </c>
      <c r="E279">
        <v>55.77</v>
      </c>
      <c r="F279">
        <v>5.84</v>
      </c>
      <c r="G279">
        <v>23.88</v>
      </c>
      <c r="H279">
        <v>5.4</v>
      </c>
      <c r="I279">
        <v>16.73</v>
      </c>
      <c r="J279">
        <v>1.75</v>
      </c>
    </row>
    <row r="280" spans="1:10" x14ac:dyDescent="0.2">
      <c r="A280" t="s">
        <v>31</v>
      </c>
      <c r="B280" t="s">
        <v>15</v>
      </c>
      <c r="C280" t="s">
        <v>11</v>
      </c>
      <c r="D280">
        <v>6.2</v>
      </c>
      <c r="E280">
        <v>40.380000000000003</v>
      </c>
      <c r="F280">
        <v>6.15</v>
      </c>
      <c r="G280">
        <v>16.440000000000001</v>
      </c>
      <c r="H280">
        <v>2.48</v>
      </c>
      <c r="I280">
        <v>12.12</v>
      </c>
      <c r="J280">
        <v>1.85</v>
      </c>
    </row>
    <row r="281" spans="1:10" x14ac:dyDescent="0.2">
      <c r="A281" t="s">
        <v>31</v>
      </c>
      <c r="B281" t="s">
        <v>15</v>
      </c>
      <c r="C281" t="s">
        <v>12</v>
      </c>
      <c r="D281">
        <v>12.16</v>
      </c>
      <c r="E281">
        <v>48.08</v>
      </c>
      <c r="F281">
        <v>14.8</v>
      </c>
      <c r="G281">
        <v>23.73</v>
      </c>
      <c r="H281">
        <v>4.8600000000000003</v>
      </c>
      <c r="I281">
        <v>14.42</v>
      </c>
      <c r="J281">
        <v>4.4400000000000004</v>
      </c>
    </row>
    <row r="282" spans="1:10" x14ac:dyDescent="0.2">
      <c r="A282" t="s">
        <v>31</v>
      </c>
      <c r="B282" t="s">
        <v>15</v>
      </c>
      <c r="C282" t="s">
        <v>13</v>
      </c>
      <c r="D282">
        <v>12.62</v>
      </c>
      <c r="E282">
        <v>51.92</v>
      </c>
      <c r="F282">
        <v>7.2</v>
      </c>
      <c r="G282">
        <v>22.78</v>
      </c>
      <c r="H282">
        <v>5.05</v>
      </c>
      <c r="I282">
        <v>15.58</v>
      </c>
      <c r="J282">
        <v>2.16</v>
      </c>
    </row>
    <row r="283" spans="1:10" x14ac:dyDescent="0.2">
      <c r="A283" t="s">
        <v>31</v>
      </c>
      <c r="B283" t="s">
        <v>15</v>
      </c>
      <c r="C283" t="s">
        <v>14</v>
      </c>
      <c r="D283">
        <v>28.37</v>
      </c>
      <c r="E283">
        <v>30.77</v>
      </c>
      <c r="F283">
        <v>29.35</v>
      </c>
      <c r="G283">
        <v>29.38</v>
      </c>
      <c r="H283">
        <v>11.35</v>
      </c>
      <c r="I283">
        <v>9.23</v>
      </c>
      <c r="J283">
        <v>8.8000000000000007</v>
      </c>
    </row>
    <row r="284" spans="1:10" x14ac:dyDescent="0.2">
      <c r="A284" t="s">
        <v>31</v>
      </c>
      <c r="B284" t="s">
        <v>16</v>
      </c>
      <c r="C284" t="s">
        <v>9</v>
      </c>
      <c r="D284">
        <v>16.82</v>
      </c>
      <c r="E284">
        <v>38.46</v>
      </c>
      <c r="F284">
        <v>6.99</v>
      </c>
      <c r="G284">
        <v>20.37</v>
      </c>
      <c r="H284">
        <v>6.73</v>
      </c>
      <c r="I284">
        <v>11.54</v>
      </c>
      <c r="J284">
        <v>2.1</v>
      </c>
    </row>
    <row r="285" spans="1:10" x14ac:dyDescent="0.2">
      <c r="A285" t="s">
        <v>31</v>
      </c>
      <c r="B285" t="s">
        <v>16</v>
      </c>
      <c r="C285" t="s">
        <v>10</v>
      </c>
      <c r="D285">
        <v>12.54</v>
      </c>
      <c r="E285">
        <v>55.77</v>
      </c>
      <c r="F285">
        <v>3.95</v>
      </c>
      <c r="G285">
        <v>22.93</v>
      </c>
      <c r="H285">
        <v>5.0199999999999996</v>
      </c>
      <c r="I285">
        <v>16.73</v>
      </c>
      <c r="J285">
        <v>1.19</v>
      </c>
    </row>
    <row r="286" spans="1:10" x14ac:dyDescent="0.2">
      <c r="A286" t="s">
        <v>31</v>
      </c>
      <c r="B286" t="s">
        <v>16</v>
      </c>
      <c r="C286" t="s">
        <v>11</v>
      </c>
      <c r="D286">
        <v>4.09</v>
      </c>
      <c r="E286">
        <v>40.380000000000003</v>
      </c>
      <c r="F286">
        <v>6.82</v>
      </c>
      <c r="G286">
        <v>15.8</v>
      </c>
      <c r="H286">
        <v>1.64</v>
      </c>
      <c r="I286">
        <v>12.12</v>
      </c>
      <c r="J286">
        <v>2.0499999999999998</v>
      </c>
    </row>
    <row r="287" spans="1:10" x14ac:dyDescent="0.2">
      <c r="A287" t="s">
        <v>31</v>
      </c>
      <c r="B287" t="s">
        <v>16</v>
      </c>
      <c r="C287" t="s">
        <v>12</v>
      </c>
      <c r="D287">
        <v>8.5500000000000007</v>
      </c>
      <c r="E287">
        <v>48.08</v>
      </c>
      <c r="F287">
        <v>8.8800000000000008</v>
      </c>
      <c r="G287">
        <v>20.51</v>
      </c>
      <c r="H287">
        <v>3.42</v>
      </c>
      <c r="I287">
        <v>14.42</v>
      </c>
      <c r="J287">
        <v>2.66</v>
      </c>
    </row>
    <row r="288" spans="1:10" x14ac:dyDescent="0.2">
      <c r="A288" t="s">
        <v>31</v>
      </c>
      <c r="B288" t="s">
        <v>16</v>
      </c>
      <c r="C288" t="s">
        <v>13</v>
      </c>
      <c r="D288">
        <v>6.87</v>
      </c>
      <c r="E288">
        <v>51.92</v>
      </c>
      <c r="F288">
        <v>2.4700000000000002</v>
      </c>
      <c r="G288">
        <v>19.07</v>
      </c>
      <c r="H288">
        <v>2.75</v>
      </c>
      <c r="I288">
        <v>15.58</v>
      </c>
      <c r="J288">
        <v>0.74</v>
      </c>
    </row>
    <row r="289" spans="1:10" x14ac:dyDescent="0.2">
      <c r="A289" t="s">
        <v>31</v>
      </c>
      <c r="B289" t="s">
        <v>16</v>
      </c>
      <c r="C289" t="s">
        <v>14</v>
      </c>
      <c r="D289">
        <v>16.329999999999998</v>
      </c>
      <c r="E289">
        <v>30.77</v>
      </c>
      <c r="F289">
        <v>13.54</v>
      </c>
      <c r="G289">
        <v>19.829999999999998</v>
      </c>
      <c r="H289">
        <v>6.53</v>
      </c>
      <c r="I289">
        <v>9.23</v>
      </c>
      <c r="J289">
        <v>4.0599999999999996</v>
      </c>
    </row>
    <row r="290" spans="1:10" x14ac:dyDescent="0.2">
      <c r="A290" t="s">
        <v>32</v>
      </c>
      <c r="B290" t="s">
        <v>8</v>
      </c>
      <c r="C290" t="s">
        <v>9</v>
      </c>
      <c r="D290">
        <v>23.48</v>
      </c>
      <c r="E290">
        <v>36.54</v>
      </c>
      <c r="F290">
        <v>5.76</v>
      </c>
      <c r="G290">
        <v>22.08</v>
      </c>
      <c r="H290">
        <v>9.39</v>
      </c>
      <c r="I290">
        <v>10.96</v>
      </c>
      <c r="J290">
        <v>1.73</v>
      </c>
    </row>
    <row r="291" spans="1:10" x14ac:dyDescent="0.2">
      <c r="A291" t="s">
        <v>32</v>
      </c>
      <c r="B291" t="s">
        <v>8</v>
      </c>
      <c r="C291" t="s">
        <v>10</v>
      </c>
      <c r="D291">
        <v>8.14</v>
      </c>
      <c r="E291">
        <v>48.08</v>
      </c>
      <c r="F291">
        <v>4.28</v>
      </c>
      <c r="G291">
        <v>18.96</v>
      </c>
      <c r="H291">
        <v>3.25</v>
      </c>
      <c r="I291">
        <v>14.42</v>
      </c>
      <c r="J291">
        <v>1.28</v>
      </c>
    </row>
    <row r="292" spans="1:10" x14ac:dyDescent="0.2">
      <c r="A292" t="s">
        <v>32</v>
      </c>
      <c r="B292" t="s">
        <v>8</v>
      </c>
      <c r="C292" t="s">
        <v>11</v>
      </c>
      <c r="D292">
        <v>0.88</v>
      </c>
      <c r="E292">
        <v>50</v>
      </c>
      <c r="F292">
        <v>2.36</v>
      </c>
      <c r="G292">
        <v>16.059999999999999</v>
      </c>
      <c r="H292">
        <v>0.35</v>
      </c>
      <c r="I292">
        <v>15</v>
      </c>
      <c r="J292">
        <v>0.71</v>
      </c>
    </row>
    <row r="293" spans="1:10" x14ac:dyDescent="0.2">
      <c r="A293" t="s">
        <v>32</v>
      </c>
      <c r="B293" t="s">
        <v>8</v>
      </c>
      <c r="C293" t="s">
        <v>12</v>
      </c>
      <c r="D293">
        <v>6.24</v>
      </c>
      <c r="E293">
        <v>46.15</v>
      </c>
      <c r="F293">
        <v>11.05</v>
      </c>
      <c r="G293">
        <v>19.66</v>
      </c>
      <c r="H293">
        <v>2.5</v>
      </c>
      <c r="I293">
        <v>13.85</v>
      </c>
      <c r="J293">
        <v>3.32</v>
      </c>
    </row>
    <row r="294" spans="1:10" x14ac:dyDescent="0.2">
      <c r="A294" t="s">
        <v>32</v>
      </c>
      <c r="B294" t="s">
        <v>8</v>
      </c>
      <c r="C294" t="s">
        <v>13</v>
      </c>
      <c r="D294">
        <v>4.25</v>
      </c>
      <c r="E294">
        <v>48.08</v>
      </c>
      <c r="F294">
        <v>1.74</v>
      </c>
      <c r="G294">
        <v>16.649999999999999</v>
      </c>
      <c r="H294">
        <v>1.7</v>
      </c>
      <c r="I294">
        <v>14.42</v>
      </c>
      <c r="J294">
        <v>0.52</v>
      </c>
    </row>
    <row r="295" spans="1:10" x14ac:dyDescent="0.2">
      <c r="A295" t="s">
        <v>32</v>
      </c>
      <c r="B295" t="s">
        <v>8</v>
      </c>
      <c r="C295" t="s">
        <v>14</v>
      </c>
      <c r="D295">
        <v>13.07</v>
      </c>
      <c r="E295">
        <v>25</v>
      </c>
      <c r="F295">
        <v>8.7899999999999991</v>
      </c>
      <c r="G295">
        <v>15.37</v>
      </c>
      <c r="H295">
        <v>5.23</v>
      </c>
      <c r="I295">
        <v>7.5</v>
      </c>
      <c r="J295">
        <v>2.64</v>
      </c>
    </row>
    <row r="296" spans="1:10" x14ac:dyDescent="0.2">
      <c r="A296" t="s">
        <v>32</v>
      </c>
      <c r="B296" t="s">
        <v>15</v>
      </c>
      <c r="C296" t="s">
        <v>9</v>
      </c>
      <c r="D296">
        <v>39.270000000000003</v>
      </c>
      <c r="E296">
        <v>36.54</v>
      </c>
      <c r="F296">
        <v>8.61</v>
      </c>
      <c r="G296">
        <v>29.25</v>
      </c>
      <c r="H296">
        <v>15.71</v>
      </c>
      <c r="I296">
        <v>10.96</v>
      </c>
      <c r="J296">
        <v>2.58</v>
      </c>
    </row>
    <row r="297" spans="1:10" x14ac:dyDescent="0.2">
      <c r="A297" t="s">
        <v>32</v>
      </c>
      <c r="B297" t="s">
        <v>15</v>
      </c>
      <c r="C297" t="s">
        <v>10</v>
      </c>
      <c r="D297">
        <v>10.08</v>
      </c>
      <c r="E297">
        <v>48.08</v>
      </c>
      <c r="F297">
        <v>4.6500000000000004</v>
      </c>
      <c r="G297">
        <v>19.850000000000001</v>
      </c>
      <c r="H297">
        <v>4.03</v>
      </c>
      <c r="I297">
        <v>14.42</v>
      </c>
      <c r="J297">
        <v>1.4</v>
      </c>
    </row>
    <row r="298" spans="1:10" x14ac:dyDescent="0.2">
      <c r="A298" t="s">
        <v>32</v>
      </c>
      <c r="B298" t="s">
        <v>15</v>
      </c>
      <c r="C298" t="s">
        <v>11</v>
      </c>
      <c r="D298">
        <v>2.96</v>
      </c>
      <c r="E298">
        <v>50</v>
      </c>
      <c r="F298">
        <v>6.57</v>
      </c>
      <c r="G298">
        <v>18.16</v>
      </c>
      <c r="H298">
        <v>1.19</v>
      </c>
      <c r="I298">
        <v>15</v>
      </c>
      <c r="J298">
        <v>1.97</v>
      </c>
    </row>
    <row r="299" spans="1:10" x14ac:dyDescent="0.2">
      <c r="A299" t="s">
        <v>32</v>
      </c>
      <c r="B299" t="s">
        <v>15</v>
      </c>
      <c r="C299" t="s">
        <v>12</v>
      </c>
      <c r="D299">
        <v>11.11</v>
      </c>
      <c r="E299">
        <v>46.15</v>
      </c>
      <c r="F299">
        <v>9.2899999999999991</v>
      </c>
      <c r="G299">
        <v>21.08</v>
      </c>
      <c r="H299">
        <v>4.4400000000000004</v>
      </c>
      <c r="I299">
        <v>13.85</v>
      </c>
      <c r="J299">
        <v>2.79</v>
      </c>
    </row>
    <row r="300" spans="1:10" x14ac:dyDescent="0.2">
      <c r="A300" t="s">
        <v>32</v>
      </c>
      <c r="B300" t="s">
        <v>15</v>
      </c>
      <c r="C300" t="s">
        <v>13</v>
      </c>
      <c r="D300">
        <v>6.74</v>
      </c>
      <c r="E300">
        <v>48.08</v>
      </c>
      <c r="F300">
        <v>4</v>
      </c>
      <c r="G300">
        <v>18.32</v>
      </c>
      <c r="H300">
        <v>2.7</v>
      </c>
      <c r="I300">
        <v>14.42</v>
      </c>
      <c r="J300">
        <v>1.2</v>
      </c>
    </row>
    <row r="301" spans="1:10" x14ac:dyDescent="0.2">
      <c r="A301" t="s">
        <v>32</v>
      </c>
      <c r="B301" t="s">
        <v>15</v>
      </c>
      <c r="C301" t="s">
        <v>14</v>
      </c>
      <c r="D301">
        <v>28.89</v>
      </c>
      <c r="E301">
        <v>25</v>
      </c>
      <c r="F301">
        <v>34.21</v>
      </c>
      <c r="G301">
        <v>29.32</v>
      </c>
      <c r="H301">
        <v>11.56</v>
      </c>
      <c r="I301">
        <v>7.5</v>
      </c>
      <c r="J301">
        <v>10.26</v>
      </c>
    </row>
    <row r="302" spans="1:10" x14ac:dyDescent="0.2">
      <c r="A302" t="s">
        <v>32</v>
      </c>
      <c r="B302" t="s">
        <v>16</v>
      </c>
      <c r="C302" t="s">
        <v>9</v>
      </c>
      <c r="D302">
        <v>30.09</v>
      </c>
      <c r="E302">
        <v>36.54</v>
      </c>
      <c r="F302">
        <v>7.13</v>
      </c>
      <c r="G302">
        <v>25.14</v>
      </c>
      <c r="H302">
        <v>12.04</v>
      </c>
      <c r="I302">
        <v>10.96</v>
      </c>
      <c r="J302">
        <v>2.14</v>
      </c>
    </row>
    <row r="303" spans="1:10" x14ac:dyDescent="0.2">
      <c r="A303" t="s">
        <v>32</v>
      </c>
      <c r="B303" t="s">
        <v>16</v>
      </c>
      <c r="C303" t="s">
        <v>10</v>
      </c>
      <c r="D303">
        <v>9.41</v>
      </c>
      <c r="E303">
        <v>48.08</v>
      </c>
      <c r="F303">
        <v>4.25</v>
      </c>
      <c r="G303">
        <v>19.46</v>
      </c>
      <c r="H303">
        <v>3.76</v>
      </c>
      <c r="I303">
        <v>14.42</v>
      </c>
      <c r="J303">
        <v>1.28</v>
      </c>
    </row>
    <row r="304" spans="1:10" x14ac:dyDescent="0.2">
      <c r="A304" t="s">
        <v>32</v>
      </c>
      <c r="B304" t="s">
        <v>16</v>
      </c>
      <c r="C304" t="s">
        <v>11</v>
      </c>
      <c r="D304">
        <v>1.5</v>
      </c>
      <c r="E304">
        <v>50</v>
      </c>
      <c r="F304">
        <v>2.52</v>
      </c>
      <c r="G304">
        <v>16.350000000000001</v>
      </c>
      <c r="H304">
        <v>0.6</v>
      </c>
      <c r="I304">
        <v>15</v>
      </c>
      <c r="J304">
        <v>0.76</v>
      </c>
    </row>
    <row r="305" spans="1:10" x14ac:dyDescent="0.2">
      <c r="A305" t="s">
        <v>32</v>
      </c>
      <c r="B305" t="s">
        <v>16</v>
      </c>
      <c r="C305" t="s">
        <v>12</v>
      </c>
      <c r="D305">
        <v>8.1999999999999993</v>
      </c>
      <c r="E305">
        <v>46.15</v>
      </c>
      <c r="F305">
        <v>8.5299999999999994</v>
      </c>
      <c r="G305">
        <v>19.68</v>
      </c>
      <c r="H305">
        <v>3.28</v>
      </c>
      <c r="I305">
        <v>13.85</v>
      </c>
      <c r="J305">
        <v>2.56</v>
      </c>
    </row>
    <row r="306" spans="1:10" x14ac:dyDescent="0.2">
      <c r="A306" t="s">
        <v>32</v>
      </c>
      <c r="B306" t="s">
        <v>16</v>
      </c>
      <c r="C306" t="s">
        <v>13</v>
      </c>
      <c r="D306">
        <v>4.21</v>
      </c>
      <c r="E306">
        <v>48.08</v>
      </c>
      <c r="F306">
        <v>2.12</v>
      </c>
      <c r="G306">
        <v>16.739999999999998</v>
      </c>
      <c r="H306">
        <v>1.68</v>
      </c>
      <c r="I306">
        <v>14.42</v>
      </c>
      <c r="J306">
        <v>0.64</v>
      </c>
    </row>
    <row r="307" spans="1:10" x14ac:dyDescent="0.2">
      <c r="A307" t="s">
        <v>32</v>
      </c>
      <c r="B307" t="s">
        <v>16</v>
      </c>
      <c r="C307" t="s">
        <v>14</v>
      </c>
      <c r="D307">
        <v>16.39</v>
      </c>
      <c r="E307">
        <v>25</v>
      </c>
      <c r="F307">
        <v>7.26</v>
      </c>
      <c r="G307">
        <v>16.23</v>
      </c>
      <c r="H307">
        <v>6.56</v>
      </c>
      <c r="I307">
        <v>7.5</v>
      </c>
      <c r="J307">
        <v>2.1800000000000002</v>
      </c>
    </row>
    <row r="308" spans="1:10" x14ac:dyDescent="0.2">
      <c r="A308" t="s">
        <v>33</v>
      </c>
      <c r="B308" t="s">
        <v>8</v>
      </c>
      <c r="C308" t="s">
        <v>9</v>
      </c>
      <c r="D308">
        <v>18.43</v>
      </c>
      <c r="E308">
        <v>38.46</v>
      </c>
      <c r="F308">
        <v>2.79</v>
      </c>
      <c r="G308">
        <v>19.75</v>
      </c>
      <c r="H308">
        <v>7.37</v>
      </c>
      <c r="I308">
        <v>11.54</v>
      </c>
      <c r="J308">
        <v>0.84</v>
      </c>
    </row>
    <row r="309" spans="1:10" x14ac:dyDescent="0.2">
      <c r="A309" t="s">
        <v>33</v>
      </c>
      <c r="B309" t="s">
        <v>8</v>
      </c>
      <c r="C309" t="s">
        <v>10</v>
      </c>
      <c r="D309">
        <v>10.9</v>
      </c>
      <c r="E309">
        <v>55.77</v>
      </c>
      <c r="F309">
        <v>5.62</v>
      </c>
      <c r="G309">
        <v>22.78</v>
      </c>
      <c r="H309">
        <v>4.3600000000000003</v>
      </c>
      <c r="I309">
        <v>16.73</v>
      </c>
      <c r="J309">
        <v>1.69</v>
      </c>
    </row>
    <row r="310" spans="1:10" x14ac:dyDescent="0.2">
      <c r="A310" t="s">
        <v>33</v>
      </c>
      <c r="B310" t="s">
        <v>8</v>
      </c>
      <c r="C310" t="s">
        <v>11</v>
      </c>
      <c r="D310">
        <v>0.36</v>
      </c>
      <c r="E310">
        <v>55.77</v>
      </c>
      <c r="F310">
        <v>1.03</v>
      </c>
      <c r="G310">
        <v>17.18</v>
      </c>
      <c r="H310">
        <v>0.14000000000000001</v>
      </c>
      <c r="I310">
        <v>16.73</v>
      </c>
      <c r="J310">
        <v>0.31</v>
      </c>
    </row>
    <row r="311" spans="1:10" x14ac:dyDescent="0.2">
      <c r="A311" t="s">
        <v>33</v>
      </c>
      <c r="B311" t="s">
        <v>8</v>
      </c>
      <c r="C311" t="s">
        <v>12</v>
      </c>
      <c r="D311">
        <v>6.31</v>
      </c>
      <c r="E311">
        <v>50</v>
      </c>
      <c r="F311">
        <v>7.78</v>
      </c>
      <c r="G311">
        <v>19.86</v>
      </c>
      <c r="H311">
        <v>2.52</v>
      </c>
      <c r="I311">
        <v>15</v>
      </c>
      <c r="J311">
        <v>2.33</v>
      </c>
    </row>
    <row r="312" spans="1:10" x14ac:dyDescent="0.2">
      <c r="A312" t="s">
        <v>33</v>
      </c>
      <c r="B312" t="s">
        <v>8</v>
      </c>
      <c r="C312" t="s">
        <v>13</v>
      </c>
      <c r="D312">
        <v>5.75</v>
      </c>
      <c r="E312">
        <v>53.85</v>
      </c>
      <c r="F312">
        <v>1.78</v>
      </c>
      <c r="G312">
        <v>18.989999999999998</v>
      </c>
      <c r="H312">
        <v>2.2999999999999998</v>
      </c>
      <c r="I312">
        <v>16.149999999999999</v>
      </c>
      <c r="J312">
        <v>0.53</v>
      </c>
    </row>
    <row r="313" spans="1:10" x14ac:dyDescent="0.2">
      <c r="A313" t="s">
        <v>33</v>
      </c>
      <c r="B313" t="s">
        <v>8</v>
      </c>
      <c r="C313" t="s">
        <v>14</v>
      </c>
      <c r="D313">
        <v>12.63</v>
      </c>
      <c r="E313">
        <v>30.77</v>
      </c>
      <c r="F313">
        <v>8.57</v>
      </c>
      <c r="G313">
        <v>16.850000000000001</v>
      </c>
      <c r="H313">
        <v>5.05</v>
      </c>
      <c r="I313">
        <v>9.23</v>
      </c>
      <c r="J313">
        <v>2.57</v>
      </c>
    </row>
    <row r="314" spans="1:10" x14ac:dyDescent="0.2">
      <c r="A314" t="s">
        <v>33</v>
      </c>
      <c r="B314" t="s">
        <v>15</v>
      </c>
      <c r="C314" t="s">
        <v>9</v>
      </c>
      <c r="D314">
        <v>31.6</v>
      </c>
      <c r="E314">
        <v>38.46</v>
      </c>
      <c r="F314">
        <v>5.4</v>
      </c>
      <c r="G314">
        <v>25.8</v>
      </c>
      <c r="H314">
        <v>12.64</v>
      </c>
      <c r="I314">
        <v>11.54</v>
      </c>
      <c r="J314">
        <v>1.62</v>
      </c>
    </row>
    <row r="315" spans="1:10" x14ac:dyDescent="0.2">
      <c r="A315" t="s">
        <v>33</v>
      </c>
      <c r="B315" t="s">
        <v>15</v>
      </c>
      <c r="C315" t="s">
        <v>10</v>
      </c>
      <c r="D315">
        <v>15.02</v>
      </c>
      <c r="E315">
        <v>55.77</v>
      </c>
      <c r="F315">
        <v>4.92</v>
      </c>
      <c r="G315">
        <v>24.22</v>
      </c>
      <c r="H315">
        <v>6.01</v>
      </c>
      <c r="I315">
        <v>16.73</v>
      </c>
      <c r="J315">
        <v>1.48</v>
      </c>
    </row>
    <row r="316" spans="1:10" x14ac:dyDescent="0.2">
      <c r="A316" t="s">
        <v>33</v>
      </c>
      <c r="B316" t="s">
        <v>15</v>
      </c>
      <c r="C316" t="s">
        <v>11</v>
      </c>
      <c r="D316">
        <v>2.04</v>
      </c>
      <c r="E316">
        <v>55.77</v>
      </c>
      <c r="F316">
        <v>1.1399999999999999</v>
      </c>
      <c r="G316">
        <v>17.89</v>
      </c>
      <c r="H316">
        <v>0.82</v>
      </c>
      <c r="I316">
        <v>16.73</v>
      </c>
      <c r="J316">
        <v>0.34</v>
      </c>
    </row>
    <row r="317" spans="1:10" x14ac:dyDescent="0.2">
      <c r="A317" t="s">
        <v>33</v>
      </c>
      <c r="B317" t="s">
        <v>15</v>
      </c>
      <c r="C317" t="s">
        <v>12</v>
      </c>
      <c r="D317">
        <v>11.03</v>
      </c>
      <c r="E317">
        <v>50</v>
      </c>
      <c r="F317">
        <v>9.68</v>
      </c>
      <c r="G317">
        <v>22.31</v>
      </c>
      <c r="H317">
        <v>4.41</v>
      </c>
      <c r="I317">
        <v>15</v>
      </c>
      <c r="J317">
        <v>2.9</v>
      </c>
    </row>
    <row r="318" spans="1:10" x14ac:dyDescent="0.2">
      <c r="A318" t="s">
        <v>33</v>
      </c>
      <c r="B318" t="s">
        <v>15</v>
      </c>
      <c r="C318" t="s">
        <v>13</v>
      </c>
      <c r="D318">
        <v>10.73</v>
      </c>
      <c r="E318">
        <v>53.85</v>
      </c>
      <c r="F318">
        <v>3.89</v>
      </c>
      <c r="G318">
        <v>21.61</v>
      </c>
      <c r="H318">
        <v>4.29</v>
      </c>
      <c r="I318">
        <v>16.149999999999999</v>
      </c>
      <c r="J318">
        <v>1.17</v>
      </c>
    </row>
    <row r="319" spans="1:10" x14ac:dyDescent="0.2">
      <c r="A319" t="s">
        <v>33</v>
      </c>
      <c r="B319" t="s">
        <v>15</v>
      </c>
      <c r="C319" t="s">
        <v>14</v>
      </c>
      <c r="D319">
        <v>24.74</v>
      </c>
      <c r="E319">
        <v>30.77</v>
      </c>
      <c r="F319">
        <v>14.46</v>
      </c>
      <c r="G319">
        <v>23.46</v>
      </c>
      <c r="H319">
        <v>9.9</v>
      </c>
      <c r="I319">
        <v>9.23</v>
      </c>
      <c r="J319">
        <v>4.34</v>
      </c>
    </row>
    <row r="320" spans="1:10" x14ac:dyDescent="0.2">
      <c r="A320" t="s">
        <v>33</v>
      </c>
      <c r="B320" t="s">
        <v>16</v>
      </c>
      <c r="C320" t="s">
        <v>9</v>
      </c>
      <c r="D320">
        <v>26.43</v>
      </c>
      <c r="E320">
        <v>38.46</v>
      </c>
      <c r="F320">
        <v>3.79</v>
      </c>
      <c r="G320">
        <v>23.25</v>
      </c>
      <c r="H320">
        <v>10.57</v>
      </c>
      <c r="I320">
        <v>11.54</v>
      </c>
      <c r="J320">
        <v>1.1399999999999999</v>
      </c>
    </row>
    <row r="321" spans="1:10" x14ac:dyDescent="0.2">
      <c r="A321" t="s">
        <v>33</v>
      </c>
      <c r="B321" t="s">
        <v>16</v>
      </c>
      <c r="C321" t="s">
        <v>10</v>
      </c>
      <c r="D321">
        <v>13.63</v>
      </c>
      <c r="E321">
        <v>55.77</v>
      </c>
      <c r="F321">
        <v>5.35</v>
      </c>
      <c r="G321">
        <v>23.79</v>
      </c>
      <c r="H321">
        <v>5.45</v>
      </c>
      <c r="I321">
        <v>16.73</v>
      </c>
      <c r="J321">
        <v>1.61</v>
      </c>
    </row>
    <row r="322" spans="1:10" x14ac:dyDescent="0.2">
      <c r="A322" t="s">
        <v>33</v>
      </c>
      <c r="B322" t="s">
        <v>16</v>
      </c>
      <c r="C322" t="s">
        <v>11</v>
      </c>
      <c r="D322">
        <v>1.1000000000000001</v>
      </c>
      <c r="E322">
        <v>55.77</v>
      </c>
      <c r="F322">
        <v>0.54</v>
      </c>
      <c r="G322">
        <v>17.329999999999998</v>
      </c>
      <c r="H322">
        <v>0.44</v>
      </c>
      <c r="I322">
        <v>16.73</v>
      </c>
      <c r="J322">
        <v>0.16</v>
      </c>
    </row>
    <row r="323" spans="1:10" x14ac:dyDescent="0.2">
      <c r="A323" t="s">
        <v>33</v>
      </c>
      <c r="B323" t="s">
        <v>16</v>
      </c>
      <c r="C323" t="s">
        <v>12</v>
      </c>
      <c r="D323">
        <v>8.7899999999999991</v>
      </c>
      <c r="E323">
        <v>50</v>
      </c>
      <c r="F323">
        <v>5.6</v>
      </c>
      <c r="G323">
        <v>20.2</v>
      </c>
      <c r="H323">
        <v>3.52</v>
      </c>
      <c r="I323">
        <v>15</v>
      </c>
      <c r="J323">
        <v>1.68</v>
      </c>
    </row>
    <row r="324" spans="1:10" x14ac:dyDescent="0.2">
      <c r="A324" t="s">
        <v>33</v>
      </c>
      <c r="B324" t="s">
        <v>16</v>
      </c>
      <c r="C324" t="s">
        <v>13</v>
      </c>
      <c r="D324">
        <v>5.93</v>
      </c>
      <c r="E324">
        <v>53.85</v>
      </c>
      <c r="F324">
        <v>2.41</v>
      </c>
      <c r="G324">
        <v>19.25</v>
      </c>
      <c r="H324">
        <v>2.37</v>
      </c>
      <c r="I324">
        <v>16.149999999999999</v>
      </c>
      <c r="J324">
        <v>0.72</v>
      </c>
    </row>
    <row r="325" spans="1:10" x14ac:dyDescent="0.2">
      <c r="A325" t="s">
        <v>33</v>
      </c>
      <c r="B325" t="s">
        <v>16</v>
      </c>
      <c r="C325" t="s">
        <v>14</v>
      </c>
      <c r="D325">
        <v>15.82</v>
      </c>
      <c r="E325">
        <v>30.77</v>
      </c>
      <c r="F325">
        <v>5.68</v>
      </c>
      <c r="G325">
        <v>17.260000000000002</v>
      </c>
      <c r="H325">
        <v>6.33</v>
      </c>
      <c r="I325">
        <v>9.23</v>
      </c>
      <c r="J325">
        <v>1.7</v>
      </c>
    </row>
    <row r="326" spans="1:10" x14ac:dyDescent="0.2">
      <c r="A326" t="s">
        <v>34</v>
      </c>
      <c r="B326" t="s">
        <v>8</v>
      </c>
      <c r="C326" t="s">
        <v>9</v>
      </c>
      <c r="D326">
        <v>12.03</v>
      </c>
      <c r="E326">
        <v>34.619999999999997</v>
      </c>
      <c r="F326">
        <v>3.04</v>
      </c>
      <c r="G326">
        <v>16.11</v>
      </c>
      <c r="H326">
        <v>4.8099999999999996</v>
      </c>
      <c r="I326">
        <v>10.38</v>
      </c>
      <c r="J326">
        <v>0.91</v>
      </c>
    </row>
    <row r="327" spans="1:10" x14ac:dyDescent="0.2">
      <c r="A327" t="s">
        <v>34</v>
      </c>
      <c r="B327" t="s">
        <v>8</v>
      </c>
      <c r="C327" t="s">
        <v>10</v>
      </c>
      <c r="D327">
        <v>9.66</v>
      </c>
      <c r="E327">
        <v>50</v>
      </c>
      <c r="F327">
        <v>6.09</v>
      </c>
      <c r="G327">
        <v>20.69</v>
      </c>
      <c r="H327">
        <v>3.87</v>
      </c>
      <c r="I327">
        <v>15</v>
      </c>
      <c r="J327">
        <v>1.83</v>
      </c>
    </row>
    <row r="328" spans="1:10" x14ac:dyDescent="0.2">
      <c r="A328" t="s">
        <v>34</v>
      </c>
      <c r="B328" t="s">
        <v>8</v>
      </c>
      <c r="C328" t="s">
        <v>11</v>
      </c>
      <c r="D328">
        <v>0</v>
      </c>
      <c r="E328">
        <v>55.77</v>
      </c>
      <c r="F328">
        <v>1.33</v>
      </c>
      <c r="G328">
        <v>17.13</v>
      </c>
      <c r="H328">
        <v>0</v>
      </c>
      <c r="I328">
        <v>16.73</v>
      </c>
      <c r="J328">
        <v>0.4</v>
      </c>
    </row>
    <row r="329" spans="1:10" x14ac:dyDescent="0.2">
      <c r="A329" t="s">
        <v>34</v>
      </c>
      <c r="B329" t="s">
        <v>8</v>
      </c>
      <c r="C329" t="s">
        <v>12</v>
      </c>
      <c r="D329">
        <v>7.08</v>
      </c>
      <c r="E329">
        <v>50</v>
      </c>
      <c r="F329">
        <v>6.79</v>
      </c>
      <c r="G329">
        <v>19.87</v>
      </c>
      <c r="H329">
        <v>2.83</v>
      </c>
      <c r="I329">
        <v>15</v>
      </c>
      <c r="J329">
        <v>2.04</v>
      </c>
    </row>
    <row r="330" spans="1:10" x14ac:dyDescent="0.2">
      <c r="A330" t="s">
        <v>34</v>
      </c>
      <c r="B330" t="s">
        <v>8</v>
      </c>
      <c r="C330" t="s">
        <v>13</v>
      </c>
      <c r="D330">
        <v>8.99</v>
      </c>
      <c r="E330">
        <v>46.15</v>
      </c>
      <c r="F330">
        <v>2.9</v>
      </c>
      <c r="G330">
        <v>18.309999999999999</v>
      </c>
      <c r="H330">
        <v>3.59</v>
      </c>
      <c r="I330">
        <v>13.85</v>
      </c>
      <c r="J330">
        <v>0.87</v>
      </c>
    </row>
    <row r="331" spans="1:10" x14ac:dyDescent="0.2">
      <c r="A331" t="s">
        <v>34</v>
      </c>
      <c r="B331" t="s">
        <v>8</v>
      </c>
      <c r="C331" t="s">
        <v>14</v>
      </c>
      <c r="D331">
        <v>15.36</v>
      </c>
      <c r="E331">
        <v>32.69</v>
      </c>
      <c r="F331">
        <v>13.13</v>
      </c>
      <c r="G331">
        <v>19.89</v>
      </c>
      <c r="H331">
        <v>6.14</v>
      </c>
      <c r="I331">
        <v>9.81</v>
      </c>
      <c r="J331">
        <v>3.94</v>
      </c>
    </row>
    <row r="332" spans="1:10" x14ac:dyDescent="0.2">
      <c r="A332" t="s">
        <v>34</v>
      </c>
      <c r="B332" t="s">
        <v>15</v>
      </c>
      <c r="C332" t="s">
        <v>9</v>
      </c>
      <c r="D332">
        <v>18.47</v>
      </c>
      <c r="E332">
        <v>34.619999999999997</v>
      </c>
      <c r="F332">
        <v>3.65</v>
      </c>
      <c r="G332">
        <v>18.87</v>
      </c>
      <c r="H332">
        <v>7.39</v>
      </c>
      <c r="I332">
        <v>10.38</v>
      </c>
      <c r="J332">
        <v>1.0900000000000001</v>
      </c>
    </row>
    <row r="333" spans="1:10" x14ac:dyDescent="0.2">
      <c r="A333" t="s">
        <v>34</v>
      </c>
      <c r="B333" t="s">
        <v>15</v>
      </c>
      <c r="C333" t="s">
        <v>10</v>
      </c>
      <c r="D333">
        <v>15.18</v>
      </c>
      <c r="E333">
        <v>50</v>
      </c>
      <c r="F333">
        <v>6.57</v>
      </c>
      <c r="G333">
        <v>23.04</v>
      </c>
      <c r="H333">
        <v>6.07</v>
      </c>
      <c r="I333">
        <v>15</v>
      </c>
      <c r="J333">
        <v>1.97</v>
      </c>
    </row>
    <row r="334" spans="1:10" x14ac:dyDescent="0.2">
      <c r="A334" t="s">
        <v>34</v>
      </c>
      <c r="B334" t="s">
        <v>15</v>
      </c>
      <c r="C334" t="s">
        <v>11</v>
      </c>
      <c r="D334">
        <v>1.02</v>
      </c>
      <c r="E334">
        <v>55.77</v>
      </c>
      <c r="F334">
        <v>2.2599999999999998</v>
      </c>
      <c r="G334">
        <v>17.82</v>
      </c>
      <c r="H334">
        <v>0.41</v>
      </c>
      <c r="I334">
        <v>16.73</v>
      </c>
      <c r="J334">
        <v>0.68</v>
      </c>
    </row>
    <row r="335" spans="1:10" x14ac:dyDescent="0.2">
      <c r="A335" t="s">
        <v>34</v>
      </c>
      <c r="B335" t="s">
        <v>15</v>
      </c>
      <c r="C335" t="s">
        <v>12</v>
      </c>
      <c r="D335">
        <v>11.28</v>
      </c>
      <c r="E335">
        <v>50</v>
      </c>
      <c r="F335">
        <v>8.5299999999999994</v>
      </c>
      <c r="G335">
        <v>22.07</v>
      </c>
      <c r="H335">
        <v>4.51</v>
      </c>
      <c r="I335">
        <v>15</v>
      </c>
      <c r="J335">
        <v>2.56</v>
      </c>
    </row>
    <row r="336" spans="1:10" x14ac:dyDescent="0.2">
      <c r="A336" t="s">
        <v>34</v>
      </c>
      <c r="B336" t="s">
        <v>15</v>
      </c>
      <c r="C336" t="s">
        <v>13</v>
      </c>
      <c r="D336">
        <v>17.04</v>
      </c>
      <c r="E336">
        <v>46.15</v>
      </c>
      <c r="F336">
        <v>4.76</v>
      </c>
      <c r="G336">
        <v>22.09</v>
      </c>
      <c r="H336">
        <v>6.82</v>
      </c>
      <c r="I336">
        <v>13.85</v>
      </c>
      <c r="J336">
        <v>1.43</v>
      </c>
    </row>
    <row r="337" spans="1:10" x14ac:dyDescent="0.2">
      <c r="A337" t="s">
        <v>34</v>
      </c>
      <c r="B337" t="s">
        <v>15</v>
      </c>
      <c r="C337" t="s">
        <v>14</v>
      </c>
      <c r="D337">
        <v>29.08</v>
      </c>
      <c r="E337">
        <v>32.69</v>
      </c>
      <c r="F337">
        <v>14.07</v>
      </c>
      <c r="G337">
        <v>25.66</v>
      </c>
      <c r="H337">
        <v>11.63</v>
      </c>
      <c r="I337">
        <v>9.81</v>
      </c>
      <c r="J337">
        <v>4.22</v>
      </c>
    </row>
    <row r="338" spans="1:10" x14ac:dyDescent="0.2">
      <c r="A338" t="s">
        <v>34</v>
      </c>
      <c r="B338" t="s">
        <v>16</v>
      </c>
      <c r="C338" t="s">
        <v>9</v>
      </c>
      <c r="D338">
        <v>15.77</v>
      </c>
      <c r="E338">
        <v>34.619999999999997</v>
      </c>
      <c r="F338">
        <v>2.85</v>
      </c>
      <c r="G338">
        <v>17.55</v>
      </c>
      <c r="H338">
        <v>6.31</v>
      </c>
      <c r="I338">
        <v>10.38</v>
      </c>
      <c r="J338">
        <v>0.85</v>
      </c>
    </row>
    <row r="339" spans="1:10" x14ac:dyDescent="0.2">
      <c r="A339" t="s">
        <v>34</v>
      </c>
      <c r="B339" t="s">
        <v>16</v>
      </c>
      <c r="C339" t="s">
        <v>10</v>
      </c>
      <c r="D339">
        <v>13.83</v>
      </c>
      <c r="E339">
        <v>50</v>
      </c>
      <c r="F339">
        <v>6.96</v>
      </c>
      <c r="G339">
        <v>22.62</v>
      </c>
      <c r="H339">
        <v>5.53</v>
      </c>
      <c r="I339">
        <v>15</v>
      </c>
      <c r="J339">
        <v>2.09</v>
      </c>
    </row>
    <row r="340" spans="1:10" x14ac:dyDescent="0.2">
      <c r="A340" t="s">
        <v>34</v>
      </c>
      <c r="B340" t="s">
        <v>16</v>
      </c>
      <c r="C340" t="s">
        <v>11</v>
      </c>
      <c r="D340">
        <v>0.36</v>
      </c>
      <c r="E340">
        <v>55.77</v>
      </c>
      <c r="F340">
        <v>1.65</v>
      </c>
      <c r="G340">
        <v>17.37</v>
      </c>
      <c r="H340">
        <v>0.14000000000000001</v>
      </c>
      <c r="I340">
        <v>16.73</v>
      </c>
      <c r="J340">
        <v>0.5</v>
      </c>
    </row>
    <row r="341" spans="1:10" x14ac:dyDescent="0.2">
      <c r="A341" t="s">
        <v>34</v>
      </c>
      <c r="B341" t="s">
        <v>16</v>
      </c>
      <c r="C341" t="s">
        <v>12</v>
      </c>
      <c r="D341">
        <v>8.65</v>
      </c>
      <c r="E341">
        <v>50</v>
      </c>
      <c r="F341">
        <v>7.62</v>
      </c>
      <c r="G341">
        <v>20.75</v>
      </c>
      <c r="H341">
        <v>3.46</v>
      </c>
      <c r="I341">
        <v>15</v>
      </c>
      <c r="J341">
        <v>2.29</v>
      </c>
    </row>
    <row r="342" spans="1:10" x14ac:dyDescent="0.2">
      <c r="A342" t="s">
        <v>34</v>
      </c>
      <c r="B342" t="s">
        <v>16</v>
      </c>
      <c r="C342" t="s">
        <v>13</v>
      </c>
      <c r="D342">
        <v>9.2200000000000006</v>
      </c>
      <c r="E342">
        <v>46.15</v>
      </c>
      <c r="F342">
        <v>3.94</v>
      </c>
      <c r="G342">
        <v>18.72</v>
      </c>
      <c r="H342">
        <v>3.69</v>
      </c>
      <c r="I342">
        <v>13.85</v>
      </c>
      <c r="J342">
        <v>1.18</v>
      </c>
    </row>
    <row r="343" spans="1:10" x14ac:dyDescent="0.2">
      <c r="A343" t="s">
        <v>34</v>
      </c>
      <c r="B343" t="s">
        <v>16</v>
      </c>
      <c r="C343" t="s">
        <v>14</v>
      </c>
      <c r="D343">
        <v>19.7</v>
      </c>
      <c r="E343">
        <v>32.69</v>
      </c>
      <c r="F343">
        <v>12.15</v>
      </c>
      <c r="G343">
        <v>21.33</v>
      </c>
      <c r="H343">
        <v>7.88</v>
      </c>
      <c r="I343">
        <v>9.81</v>
      </c>
      <c r="J343">
        <v>3.64</v>
      </c>
    </row>
    <row r="344" spans="1:10" x14ac:dyDescent="0.2">
      <c r="A344" t="s">
        <v>35</v>
      </c>
      <c r="B344" t="s">
        <v>8</v>
      </c>
      <c r="C344" t="s">
        <v>9</v>
      </c>
      <c r="D344">
        <v>13.26</v>
      </c>
      <c r="E344">
        <v>44.23</v>
      </c>
      <c r="F344">
        <v>3.1</v>
      </c>
      <c r="G344">
        <v>19.5</v>
      </c>
      <c r="H344">
        <v>5.3</v>
      </c>
      <c r="I344">
        <v>13.27</v>
      </c>
      <c r="J344">
        <v>0.93</v>
      </c>
    </row>
    <row r="345" spans="1:10" x14ac:dyDescent="0.2">
      <c r="A345" t="s">
        <v>35</v>
      </c>
      <c r="B345" t="s">
        <v>8</v>
      </c>
      <c r="C345" t="s">
        <v>10</v>
      </c>
      <c r="D345">
        <v>8.9</v>
      </c>
      <c r="E345">
        <v>42.31</v>
      </c>
      <c r="F345">
        <v>6.49</v>
      </c>
      <c r="G345">
        <v>18.2</v>
      </c>
      <c r="H345">
        <v>3.56</v>
      </c>
      <c r="I345">
        <v>12.69</v>
      </c>
      <c r="J345">
        <v>1.95</v>
      </c>
    </row>
    <row r="346" spans="1:10" x14ac:dyDescent="0.2">
      <c r="A346" t="s">
        <v>35</v>
      </c>
      <c r="B346" t="s">
        <v>8</v>
      </c>
      <c r="C346" t="s">
        <v>11</v>
      </c>
      <c r="D346">
        <v>0.46</v>
      </c>
      <c r="E346">
        <v>55.77</v>
      </c>
      <c r="F346">
        <v>1.2</v>
      </c>
      <c r="G346">
        <v>17.27</v>
      </c>
      <c r="H346">
        <v>0.18</v>
      </c>
      <c r="I346">
        <v>16.73</v>
      </c>
      <c r="J346">
        <v>0.36</v>
      </c>
    </row>
    <row r="347" spans="1:10" x14ac:dyDescent="0.2">
      <c r="A347" t="s">
        <v>35</v>
      </c>
      <c r="B347" t="s">
        <v>8</v>
      </c>
      <c r="C347" t="s">
        <v>12</v>
      </c>
      <c r="D347">
        <v>6.04</v>
      </c>
      <c r="E347">
        <v>51.92</v>
      </c>
      <c r="F347">
        <v>6.48</v>
      </c>
      <c r="G347">
        <v>19.940000000000001</v>
      </c>
      <c r="H347">
        <v>2.42</v>
      </c>
      <c r="I347">
        <v>15.58</v>
      </c>
      <c r="J347">
        <v>1.94</v>
      </c>
    </row>
    <row r="348" spans="1:10" x14ac:dyDescent="0.2">
      <c r="A348" t="s">
        <v>35</v>
      </c>
      <c r="B348" t="s">
        <v>8</v>
      </c>
      <c r="C348" t="s">
        <v>13</v>
      </c>
      <c r="D348">
        <v>9.0500000000000007</v>
      </c>
      <c r="E348">
        <v>46.15</v>
      </c>
      <c r="F348">
        <v>2.4900000000000002</v>
      </c>
      <c r="G348">
        <v>18.22</v>
      </c>
      <c r="H348">
        <v>3.62</v>
      </c>
      <c r="I348">
        <v>13.85</v>
      </c>
      <c r="J348">
        <v>0.75</v>
      </c>
    </row>
    <row r="349" spans="1:10" x14ac:dyDescent="0.2">
      <c r="A349" t="s">
        <v>35</v>
      </c>
      <c r="B349" t="s">
        <v>8</v>
      </c>
      <c r="C349" t="s">
        <v>14</v>
      </c>
      <c r="D349">
        <v>16.489999999999998</v>
      </c>
      <c r="E349">
        <v>32.69</v>
      </c>
      <c r="F349">
        <v>10.4</v>
      </c>
      <c r="G349">
        <v>19.52</v>
      </c>
      <c r="H349">
        <v>6.59</v>
      </c>
      <c r="I349">
        <v>9.81</v>
      </c>
      <c r="J349">
        <v>3.12</v>
      </c>
    </row>
    <row r="350" spans="1:10" x14ac:dyDescent="0.2">
      <c r="A350" t="s">
        <v>35</v>
      </c>
      <c r="B350" t="s">
        <v>15</v>
      </c>
      <c r="C350" t="s">
        <v>9</v>
      </c>
      <c r="D350">
        <v>20.260000000000002</v>
      </c>
      <c r="E350">
        <v>44.23</v>
      </c>
      <c r="F350">
        <v>2.61</v>
      </c>
      <c r="G350">
        <v>22.16</v>
      </c>
      <c r="H350">
        <v>8.1</v>
      </c>
      <c r="I350">
        <v>13.27</v>
      </c>
      <c r="J350">
        <v>0.78</v>
      </c>
    </row>
    <row r="351" spans="1:10" x14ac:dyDescent="0.2">
      <c r="A351" t="s">
        <v>35</v>
      </c>
      <c r="B351" t="s">
        <v>15</v>
      </c>
      <c r="C351" t="s">
        <v>10</v>
      </c>
      <c r="D351">
        <v>13.5</v>
      </c>
      <c r="E351">
        <v>42.31</v>
      </c>
      <c r="F351">
        <v>4.26</v>
      </c>
      <c r="G351">
        <v>19.37</v>
      </c>
      <c r="H351">
        <v>5.4</v>
      </c>
      <c r="I351">
        <v>12.69</v>
      </c>
      <c r="J351">
        <v>1.28</v>
      </c>
    </row>
    <row r="352" spans="1:10" x14ac:dyDescent="0.2">
      <c r="A352" t="s">
        <v>35</v>
      </c>
      <c r="B352" t="s">
        <v>15</v>
      </c>
      <c r="C352" t="s">
        <v>11</v>
      </c>
      <c r="D352">
        <v>2.36</v>
      </c>
      <c r="E352">
        <v>55.77</v>
      </c>
      <c r="F352">
        <v>6.75</v>
      </c>
      <c r="G352">
        <v>19.7</v>
      </c>
      <c r="H352">
        <v>0.95</v>
      </c>
      <c r="I352">
        <v>16.73</v>
      </c>
      <c r="J352">
        <v>2.02</v>
      </c>
    </row>
    <row r="353" spans="1:10" x14ac:dyDescent="0.2">
      <c r="A353" t="s">
        <v>35</v>
      </c>
      <c r="B353" t="s">
        <v>15</v>
      </c>
      <c r="C353" t="s">
        <v>12</v>
      </c>
      <c r="D353">
        <v>9.3800000000000008</v>
      </c>
      <c r="E353">
        <v>51.92</v>
      </c>
      <c r="F353">
        <v>7.54</v>
      </c>
      <c r="G353">
        <v>21.59</v>
      </c>
      <c r="H353">
        <v>3.75</v>
      </c>
      <c r="I353">
        <v>15.58</v>
      </c>
      <c r="J353">
        <v>2.2599999999999998</v>
      </c>
    </row>
    <row r="354" spans="1:10" x14ac:dyDescent="0.2">
      <c r="A354" t="s">
        <v>35</v>
      </c>
      <c r="B354" t="s">
        <v>15</v>
      </c>
      <c r="C354" t="s">
        <v>13</v>
      </c>
      <c r="D354">
        <v>15.74</v>
      </c>
      <c r="E354">
        <v>46.15</v>
      </c>
      <c r="F354">
        <v>4.46</v>
      </c>
      <c r="G354">
        <v>21.48</v>
      </c>
      <c r="H354">
        <v>6.3</v>
      </c>
      <c r="I354">
        <v>13.85</v>
      </c>
      <c r="J354">
        <v>1.34</v>
      </c>
    </row>
    <row r="355" spans="1:10" x14ac:dyDescent="0.2">
      <c r="A355" t="s">
        <v>35</v>
      </c>
      <c r="B355" t="s">
        <v>15</v>
      </c>
      <c r="C355" t="s">
        <v>14</v>
      </c>
      <c r="D355">
        <v>29.11</v>
      </c>
      <c r="E355">
        <v>32.69</v>
      </c>
      <c r="F355">
        <v>22.77</v>
      </c>
      <c r="G355">
        <v>28.28</v>
      </c>
      <c r="H355">
        <v>11.64</v>
      </c>
      <c r="I355">
        <v>9.81</v>
      </c>
      <c r="J355">
        <v>6.83</v>
      </c>
    </row>
    <row r="356" spans="1:10" x14ac:dyDescent="0.2">
      <c r="A356" t="s">
        <v>35</v>
      </c>
      <c r="B356" t="s">
        <v>16</v>
      </c>
      <c r="C356" t="s">
        <v>9</v>
      </c>
      <c r="D356">
        <v>17.04</v>
      </c>
      <c r="E356">
        <v>44.23</v>
      </c>
      <c r="F356">
        <v>2.14</v>
      </c>
      <c r="G356">
        <v>20.73</v>
      </c>
      <c r="H356">
        <v>6.82</v>
      </c>
      <c r="I356">
        <v>13.27</v>
      </c>
      <c r="J356">
        <v>0.64</v>
      </c>
    </row>
    <row r="357" spans="1:10" x14ac:dyDescent="0.2">
      <c r="A357" t="s">
        <v>35</v>
      </c>
      <c r="B357" t="s">
        <v>16</v>
      </c>
      <c r="C357" t="s">
        <v>10</v>
      </c>
      <c r="D357">
        <v>12.99</v>
      </c>
      <c r="E357">
        <v>42.31</v>
      </c>
      <c r="F357">
        <v>4.5</v>
      </c>
      <c r="G357">
        <v>19.239999999999998</v>
      </c>
      <c r="H357">
        <v>5.2</v>
      </c>
      <c r="I357">
        <v>12.69</v>
      </c>
      <c r="J357">
        <v>1.35</v>
      </c>
    </row>
    <row r="358" spans="1:10" x14ac:dyDescent="0.2">
      <c r="A358" t="s">
        <v>35</v>
      </c>
      <c r="B358" t="s">
        <v>16</v>
      </c>
      <c r="C358" t="s">
        <v>11</v>
      </c>
      <c r="D358">
        <v>1.19</v>
      </c>
      <c r="E358">
        <v>55.77</v>
      </c>
      <c r="F358">
        <v>1.89</v>
      </c>
      <c r="G358">
        <v>17.77</v>
      </c>
      <c r="H358">
        <v>0.48</v>
      </c>
      <c r="I358">
        <v>16.73</v>
      </c>
      <c r="J358">
        <v>0.56999999999999995</v>
      </c>
    </row>
    <row r="359" spans="1:10" x14ac:dyDescent="0.2">
      <c r="A359" t="s">
        <v>35</v>
      </c>
      <c r="B359" t="s">
        <v>16</v>
      </c>
      <c r="C359" t="s">
        <v>12</v>
      </c>
      <c r="D359">
        <v>7.99</v>
      </c>
      <c r="E359">
        <v>51.92</v>
      </c>
      <c r="F359">
        <v>4.5999999999999996</v>
      </c>
      <c r="G359">
        <v>20.149999999999999</v>
      </c>
      <c r="H359">
        <v>3.2</v>
      </c>
      <c r="I359">
        <v>15.58</v>
      </c>
      <c r="J359">
        <v>1.38</v>
      </c>
    </row>
    <row r="360" spans="1:10" x14ac:dyDescent="0.2">
      <c r="A360" t="s">
        <v>35</v>
      </c>
      <c r="B360" t="s">
        <v>16</v>
      </c>
      <c r="C360" t="s">
        <v>13</v>
      </c>
      <c r="D360">
        <v>8.2799999999999994</v>
      </c>
      <c r="E360">
        <v>46.15</v>
      </c>
      <c r="F360">
        <v>2.69</v>
      </c>
      <c r="G360">
        <v>17.97</v>
      </c>
      <c r="H360">
        <v>3.31</v>
      </c>
      <c r="I360">
        <v>13.85</v>
      </c>
      <c r="J360">
        <v>0.81</v>
      </c>
    </row>
    <row r="361" spans="1:10" x14ac:dyDescent="0.2">
      <c r="A361" t="s">
        <v>35</v>
      </c>
      <c r="B361" t="s">
        <v>16</v>
      </c>
      <c r="C361" t="s">
        <v>14</v>
      </c>
      <c r="D361">
        <v>20.27</v>
      </c>
      <c r="E361">
        <v>32.69</v>
      </c>
      <c r="F361">
        <v>11.01</v>
      </c>
      <c r="G361">
        <v>21.22</v>
      </c>
      <c r="H361">
        <v>8.11</v>
      </c>
      <c r="I361">
        <v>9.81</v>
      </c>
      <c r="J361">
        <v>3.3</v>
      </c>
    </row>
    <row r="362" spans="1:10" x14ac:dyDescent="0.2">
      <c r="A362" t="s">
        <v>36</v>
      </c>
      <c r="B362" t="s">
        <v>8</v>
      </c>
      <c r="C362" t="s">
        <v>9</v>
      </c>
      <c r="D362">
        <v>18.100000000000001</v>
      </c>
      <c r="E362">
        <v>44.23</v>
      </c>
      <c r="F362">
        <v>3</v>
      </c>
      <c r="G362">
        <v>21.41</v>
      </c>
      <c r="H362">
        <v>7.24</v>
      </c>
      <c r="I362">
        <v>13.27</v>
      </c>
      <c r="J362">
        <v>0.9</v>
      </c>
    </row>
    <row r="363" spans="1:10" x14ac:dyDescent="0.2">
      <c r="A363" t="s">
        <v>36</v>
      </c>
      <c r="B363" t="s">
        <v>8</v>
      </c>
      <c r="C363" t="s">
        <v>10</v>
      </c>
      <c r="D363">
        <v>7.3</v>
      </c>
      <c r="E363">
        <v>42.31</v>
      </c>
      <c r="F363">
        <v>4.8899999999999997</v>
      </c>
      <c r="G363">
        <v>17.079999999999998</v>
      </c>
      <c r="H363">
        <v>2.92</v>
      </c>
      <c r="I363">
        <v>12.69</v>
      </c>
      <c r="J363">
        <v>1.47</v>
      </c>
    </row>
    <row r="364" spans="1:10" x14ac:dyDescent="0.2">
      <c r="A364" t="s">
        <v>36</v>
      </c>
      <c r="B364" t="s">
        <v>8</v>
      </c>
      <c r="C364" t="s">
        <v>11</v>
      </c>
      <c r="D364">
        <v>1.58</v>
      </c>
      <c r="E364">
        <v>59.62</v>
      </c>
      <c r="F364">
        <v>2.23</v>
      </c>
      <c r="G364">
        <v>19.18</v>
      </c>
      <c r="H364">
        <v>0.63</v>
      </c>
      <c r="I364">
        <v>17.88</v>
      </c>
      <c r="J364">
        <v>0.67</v>
      </c>
    </row>
    <row r="365" spans="1:10" x14ac:dyDescent="0.2">
      <c r="A365" t="s">
        <v>36</v>
      </c>
      <c r="B365" t="s">
        <v>8</v>
      </c>
      <c r="C365" t="s">
        <v>12</v>
      </c>
      <c r="D365">
        <v>7.24</v>
      </c>
      <c r="E365">
        <v>48.08</v>
      </c>
      <c r="F365">
        <v>7.91</v>
      </c>
      <c r="G365">
        <v>19.690000000000001</v>
      </c>
      <c r="H365">
        <v>2.9</v>
      </c>
      <c r="I365">
        <v>14.42</v>
      </c>
      <c r="J365">
        <v>2.37</v>
      </c>
    </row>
    <row r="366" spans="1:10" x14ac:dyDescent="0.2">
      <c r="A366" t="s">
        <v>36</v>
      </c>
      <c r="B366" t="s">
        <v>8</v>
      </c>
      <c r="C366" t="s">
        <v>13</v>
      </c>
      <c r="D366">
        <v>7.34</v>
      </c>
      <c r="E366">
        <v>48.08</v>
      </c>
      <c r="F366">
        <v>3.86</v>
      </c>
      <c r="G366">
        <v>18.52</v>
      </c>
      <c r="H366">
        <v>2.94</v>
      </c>
      <c r="I366">
        <v>14.42</v>
      </c>
      <c r="J366">
        <v>1.1599999999999999</v>
      </c>
    </row>
    <row r="367" spans="1:10" x14ac:dyDescent="0.2">
      <c r="A367" t="s">
        <v>36</v>
      </c>
      <c r="B367" t="s">
        <v>8</v>
      </c>
      <c r="C367" t="s">
        <v>14</v>
      </c>
      <c r="D367">
        <v>16.18</v>
      </c>
      <c r="E367">
        <v>30.77</v>
      </c>
      <c r="F367">
        <v>15.15</v>
      </c>
      <c r="G367">
        <v>20.25</v>
      </c>
      <c r="H367">
        <v>6.47</v>
      </c>
      <c r="I367">
        <v>9.23</v>
      </c>
      <c r="J367">
        <v>4.54</v>
      </c>
    </row>
    <row r="368" spans="1:10" x14ac:dyDescent="0.2">
      <c r="A368" t="s">
        <v>36</v>
      </c>
      <c r="B368" t="s">
        <v>15</v>
      </c>
      <c r="C368" t="s">
        <v>9</v>
      </c>
      <c r="D368">
        <v>25.9</v>
      </c>
      <c r="E368">
        <v>44.23</v>
      </c>
      <c r="F368">
        <v>5.0999999999999996</v>
      </c>
      <c r="G368">
        <v>25.16</v>
      </c>
      <c r="H368">
        <v>10.36</v>
      </c>
      <c r="I368">
        <v>13.27</v>
      </c>
      <c r="J368">
        <v>1.53</v>
      </c>
    </row>
    <row r="369" spans="1:10" x14ac:dyDescent="0.2">
      <c r="A369" t="s">
        <v>36</v>
      </c>
      <c r="B369" t="s">
        <v>15</v>
      </c>
      <c r="C369" t="s">
        <v>10</v>
      </c>
      <c r="D369">
        <v>12.67</v>
      </c>
      <c r="E369">
        <v>42.31</v>
      </c>
      <c r="F369">
        <v>3.93</v>
      </c>
      <c r="G369">
        <v>18.940000000000001</v>
      </c>
      <c r="H369">
        <v>5.07</v>
      </c>
      <c r="I369">
        <v>12.69</v>
      </c>
      <c r="J369">
        <v>1.18</v>
      </c>
    </row>
    <row r="370" spans="1:10" x14ac:dyDescent="0.2">
      <c r="A370" t="s">
        <v>36</v>
      </c>
      <c r="B370" t="s">
        <v>15</v>
      </c>
      <c r="C370" t="s">
        <v>11</v>
      </c>
      <c r="D370">
        <v>4.1900000000000004</v>
      </c>
      <c r="E370">
        <v>59.62</v>
      </c>
      <c r="F370">
        <v>4.7300000000000004</v>
      </c>
      <c r="G370">
        <v>20.98</v>
      </c>
      <c r="H370">
        <v>1.67</v>
      </c>
      <c r="I370">
        <v>17.88</v>
      </c>
      <c r="J370">
        <v>1.42</v>
      </c>
    </row>
    <row r="371" spans="1:10" x14ac:dyDescent="0.2">
      <c r="A371" t="s">
        <v>36</v>
      </c>
      <c r="B371" t="s">
        <v>15</v>
      </c>
      <c r="C371" t="s">
        <v>12</v>
      </c>
      <c r="D371">
        <v>12.23</v>
      </c>
      <c r="E371">
        <v>48.08</v>
      </c>
      <c r="F371">
        <v>7.82</v>
      </c>
      <c r="G371">
        <v>21.66</v>
      </c>
      <c r="H371">
        <v>4.8899999999999997</v>
      </c>
      <c r="I371">
        <v>14.42</v>
      </c>
      <c r="J371">
        <v>2.35</v>
      </c>
    </row>
    <row r="372" spans="1:10" x14ac:dyDescent="0.2">
      <c r="A372" t="s">
        <v>36</v>
      </c>
      <c r="B372" t="s">
        <v>15</v>
      </c>
      <c r="C372" t="s">
        <v>13</v>
      </c>
      <c r="D372">
        <v>15.39</v>
      </c>
      <c r="E372">
        <v>48.08</v>
      </c>
      <c r="F372">
        <v>6.08</v>
      </c>
      <c r="G372">
        <v>22.41</v>
      </c>
      <c r="H372">
        <v>6.16</v>
      </c>
      <c r="I372">
        <v>14.42</v>
      </c>
      <c r="J372">
        <v>1.83</v>
      </c>
    </row>
    <row r="373" spans="1:10" x14ac:dyDescent="0.2">
      <c r="A373" t="s">
        <v>36</v>
      </c>
      <c r="B373" t="s">
        <v>15</v>
      </c>
      <c r="C373" t="s">
        <v>14</v>
      </c>
      <c r="D373">
        <v>29.33</v>
      </c>
      <c r="E373">
        <v>30.77</v>
      </c>
      <c r="F373">
        <v>27.58</v>
      </c>
      <c r="G373">
        <v>29.24</v>
      </c>
      <c r="H373">
        <v>11.73</v>
      </c>
      <c r="I373">
        <v>9.23</v>
      </c>
      <c r="J373">
        <v>8.27</v>
      </c>
    </row>
    <row r="374" spans="1:10" x14ac:dyDescent="0.2">
      <c r="A374" t="s">
        <v>36</v>
      </c>
      <c r="B374" t="s">
        <v>16</v>
      </c>
      <c r="C374" t="s">
        <v>9</v>
      </c>
      <c r="D374">
        <v>23.64</v>
      </c>
      <c r="E374">
        <v>44.23</v>
      </c>
      <c r="F374">
        <v>3.58</v>
      </c>
      <c r="G374">
        <v>23.8</v>
      </c>
      <c r="H374">
        <v>9.4600000000000009</v>
      </c>
      <c r="I374">
        <v>13.27</v>
      </c>
      <c r="J374">
        <v>1.07</v>
      </c>
    </row>
    <row r="375" spans="1:10" x14ac:dyDescent="0.2">
      <c r="A375" t="s">
        <v>36</v>
      </c>
      <c r="B375" t="s">
        <v>16</v>
      </c>
      <c r="C375" t="s">
        <v>10</v>
      </c>
      <c r="D375">
        <v>11.47</v>
      </c>
      <c r="E375">
        <v>42.31</v>
      </c>
      <c r="F375">
        <v>4.4000000000000004</v>
      </c>
      <c r="G375">
        <v>18.600000000000001</v>
      </c>
      <c r="H375">
        <v>4.59</v>
      </c>
      <c r="I375">
        <v>12.69</v>
      </c>
      <c r="J375">
        <v>1.32</v>
      </c>
    </row>
    <row r="376" spans="1:10" x14ac:dyDescent="0.2">
      <c r="A376" t="s">
        <v>36</v>
      </c>
      <c r="B376" t="s">
        <v>16</v>
      </c>
      <c r="C376" t="s">
        <v>11</v>
      </c>
      <c r="D376">
        <v>2.33</v>
      </c>
      <c r="E376">
        <v>59.62</v>
      </c>
      <c r="F376">
        <v>3.24</v>
      </c>
      <c r="G376">
        <v>19.79</v>
      </c>
      <c r="H376">
        <v>0.93</v>
      </c>
      <c r="I376">
        <v>17.88</v>
      </c>
      <c r="J376">
        <v>0.97</v>
      </c>
    </row>
    <row r="377" spans="1:10" x14ac:dyDescent="0.2">
      <c r="A377" t="s">
        <v>36</v>
      </c>
      <c r="B377" t="s">
        <v>16</v>
      </c>
      <c r="C377" t="s">
        <v>12</v>
      </c>
      <c r="D377">
        <v>9.4499999999999993</v>
      </c>
      <c r="E377">
        <v>48.08</v>
      </c>
      <c r="F377">
        <v>6.4</v>
      </c>
      <c r="G377">
        <v>20.12</v>
      </c>
      <c r="H377">
        <v>3.78</v>
      </c>
      <c r="I377">
        <v>14.42</v>
      </c>
      <c r="J377">
        <v>1.92</v>
      </c>
    </row>
    <row r="378" spans="1:10" x14ac:dyDescent="0.2">
      <c r="A378" t="s">
        <v>36</v>
      </c>
      <c r="B378" t="s">
        <v>16</v>
      </c>
      <c r="C378" t="s">
        <v>13</v>
      </c>
      <c r="D378">
        <v>7.32</v>
      </c>
      <c r="E378">
        <v>48.08</v>
      </c>
      <c r="F378">
        <v>2.95</v>
      </c>
      <c r="G378">
        <v>18.239999999999998</v>
      </c>
      <c r="H378">
        <v>2.93</v>
      </c>
      <c r="I378">
        <v>14.42</v>
      </c>
      <c r="J378">
        <v>0.89</v>
      </c>
    </row>
    <row r="379" spans="1:10" x14ac:dyDescent="0.2">
      <c r="A379" t="s">
        <v>36</v>
      </c>
      <c r="B379" t="s">
        <v>16</v>
      </c>
      <c r="C379" t="s">
        <v>14</v>
      </c>
      <c r="D379">
        <v>22.08</v>
      </c>
      <c r="E379">
        <v>30.77</v>
      </c>
      <c r="F379">
        <v>8.9499999999999993</v>
      </c>
      <c r="G379">
        <v>20.75</v>
      </c>
      <c r="H379">
        <v>8.83</v>
      </c>
      <c r="I379">
        <v>9.23</v>
      </c>
      <c r="J379">
        <v>2.69</v>
      </c>
    </row>
    <row r="380" spans="1:10" x14ac:dyDescent="0.2">
      <c r="A380" t="s">
        <v>37</v>
      </c>
      <c r="B380" t="s">
        <v>8</v>
      </c>
      <c r="C380" t="s">
        <v>9</v>
      </c>
      <c r="D380">
        <v>15.79</v>
      </c>
      <c r="E380">
        <v>40.380000000000003</v>
      </c>
      <c r="F380">
        <v>2.38</v>
      </c>
      <c r="G380">
        <v>19.149999999999999</v>
      </c>
      <c r="H380">
        <v>6.32</v>
      </c>
      <c r="I380">
        <v>12.12</v>
      </c>
      <c r="J380">
        <v>0.71</v>
      </c>
    </row>
    <row r="381" spans="1:10" x14ac:dyDescent="0.2">
      <c r="A381" t="s">
        <v>37</v>
      </c>
      <c r="B381" t="s">
        <v>8</v>
      </c>
      <c r="C381" t="s">
        <v>10</v>
      </c>
      <c r="D381">
        <v>10.119999999999999</v>
      </c>
      <c r="E381">
        <v>28.85</v>
      </c>
      <c r="F381">
        <v>3.54</v>
      </c>
      <c r="G381">
        <v>13.76</v>
      </c>
      <c r="H381">
        <v>4.05</v>
      </c>
      <c r="I381">
        <v>8.65</v>
      </c>
      <c r="J381">
        <v>1.06</v>
      </c>
    </row>
    <row r="382" spans="1:10" x14ac:dyDescent="0.2">
      <c r="A382" t="s">
        <v>37</v>
      </c>
      <c r="B382" t="s">
        <v>8</v>
      </c>
      <c r="C382" t="s">
        <v>11</v>
      </c>
      <c r="D382">
        <v>1.28</v>
      </c>
      <c r="E382">
        <v>48.08</v>
      </c>
      <c r="F382">
        <v>0.82</v>
      </c>
      <c r="G382">
        <v>15.18</v>
      </c>
      <c r="H382">
        <v>0.51</v>
      </c>
      <c r="I382">
        <v>14.42</v>
      </c>
      <c r="J382">
        <v>0.25</v>
      </c>
    </row>
    <row r="383" spans="1:10" x14ac:dyDescent="0.2">
      <c r="A383" t="s">
        <v>37</v>
      </c>
      <c r="B383" t="s">
        <v>8</v>
      </c>
      <c r="C383" t="s">
        <v>12</v>
      </c>
      <c r="D383">
        <v>7.58</v>
      </c>
      <c r="E383">
        <v>44.23</v>
      </c>
      <c r="F383">
        <v>6.6</v>
      </c>
      <c r="G383">
        <v>18.28</v>
      </c>
      <c r="H383">
        <v>3.03</v>
      </c>
      <c r="I383">
        <v>13.27</v>
      </c>
      <c r="J383">
        <v>1.98</v>
      </c>
    </row>
    <row r="384" spans="1:10" x14ac:dyDescent="0.2">
      <c r="A384" t="s">
        <v>37</v>
      </c>
      <c r="B384" t="s">
        <v>8</v>
      </c>
      <c r="C384" t="s">
        <v>13</v>
      </c>
      <c r="D384">
        <v>8.01</v>
      </c>
      <c r="E384">
        <v>44.23</v>
      </c>
      <c r="F384">
        <v>3.22</v>
      </c>
      <c r="G384">
        <v>17.440000000000001</v>
      </c>
      <c r="H384">
        <v>3.21</v>
      </c>
      <c r="I384">
        <v>13.27</v>
      </c>
      <c r="J384">
        <v>0.97</v>
      </c>
    </row>
    <row r="385" spans="1:10" x14ac:dyDescent="0.2">
      <c r="A385" t="s">
        <v>37</v>
      </c>
      <c r="B385" t="s">
        <v>8</v>
      </c>
      <c r="C385" t="s">
        <v>14</v>
      </c>
      <c r="D385">
        <v>14.57</v>
      </c>
      <c r="E385">
        <v>25</v>
      </c>
      <c r="F385">
        <v>8.5399999999999991</v>
      </c>
      <c r="G385">
        <v>15.89</v>
      </c>
      <c r="H385">
        <v>5.83</v>
      </c>
      <c r="I385">
        <v>7.5</v>
      </c>
      <c r="J385">
        <v>2.56</v>
      </c>
    </row>
    <row r="386" spans="1:10" x14ac:dyDescent="0.2">
      <c r="A386" t="s">
        <v>37</v>
      </c>
      <c r="B386" t="s">
        <v>15</v>
      </c>
      <c r="C386" t="s">
        <v>9</v>
      </c>
      <c r="D386">
        <v>22.62</v>
      </c>
      <c r="E386">
        <v>40.380000000000003</v>
      </c>
      <c r="F386">
        <v>6.32</v>
      </c>
      <c r="G386">
        <v>23.06</v>
      </c>
      <c r="H386">
        <v>9.0500000000000007</v>
      </c>
      <c r="I386">
        <v>12.12</v>
      </c>
      <c r="J386">
        <v>1.9</v>
      </c>
    </row>
    <row r="387" spans="1:10" x14ac:dyDescent="0.2">
      <c r="A387" t="s">
        <v>37</v>
      </c>
      <c r="B387" t="s">
        <v>15</v>
      </c>
      <c r="C387" t="s">
        <v>10</v>
      </c>
      <c r="D387">
        <v>15.19</v>
      </c>
      <c r="E387">
        <v>28.85</v>
      </c>
      <c r="F387">
        <v>3.11</v>
      </c>
      <c r="G387">
        <v>15.66</v>
      </c>
      <c r="H387">
        <v>6.08</v>
      </c>
      <c r="I387">
        <v>8.65</v>
      </c>
      <c r="J387">
        <v>0.93</v>
      </c>
    </row>
    <row r="388" spans="1:10" x14ac:dyDescent="0.2">
      <c r="A388" t="s">
        <v>37</v>
      </c>
      <c r="B388" t="s">
        <v>15</v>
      </c>
      <c r="C388" t="s">
        <v>11</v>
      </c>
      <c r="D388">
        <v>3.09</v>
      </c>
      <c r="E388">
        <v>48.08</v>
      </c>
      <c r="F388">
        <v>1.89</v>
      </c>
      <c r="G388">
        <v>16.23</v>
      </c>
      <c r="H388">
        <v>1.24</v>
      </c>
      <c r="I388">
        <v>14.42</v>
      </c>
      <c r="J388">
        <v>0.56999999999999995</v>
      </c>
    </row>
    <row r="389" spans="1:10" x14ac:dyDescent="0.2">
      <c r="A389" t="s">
        <v>37</v>
      </c>
      <c r="B389" t="s">
        <v>15</v>
      </c>
      <c r="C389" t="s">
        <v>12</v>
      </c>
      <c r="D389">
        <v>13.47</v>
      </c>
      <c r="E389">
        <v>44.23</v>
      </c>
      <c r="F389">
        <v>8.4</v>
      </c>
      <c r="G389">
        <v>21.18</v>
      </c>
      <c r="H389">
        <v>5.39</v>
      </c>
      <c r="I389">
        <v>13.27</v>
      </c>
      <c r="J389">
        <v>2.52</v>
      </c>
    </row>
    <row r="390" spans="1:10" x14ac:dyDescent="0.2">
      <c r="A390" t="s">
        <v>37</v>
      </c>
      <c r="B390" t="s">
        <v>15</v>
      </c>
      <c r="C390" t="s">
        <v>13</v>
      </c>
      <c r="D390">
        <v>14.82</v>
      </c>
      <c r="E390">
        <v>44.23</v>
      </c>
      <c r="F390">
        <v>3.8</v>
      </c>
      <c r="G390">
        <v>20.34</v>
      </c>
      <c r="H390">
        <v>5.93</v>
      </c>
      <c r="I390">
        <v>13.27</v>
      </c>
      <c r="J390">
        <v>1.1399999999999999</v>
      </c>
    </row>
    <row r="391" spans="1:10" x14ac:dyDescent="0.2">
      <c r="A391" t="s">
        <v>37</v>
      </c>
      <c r="B391" t="s">
        <v>15</v>
      </c>
      <c r="C391" t="s">
        <v>14</v>
      </c>
      <c r="D391">
        <v>29.11</v>
      </c>
      <c r="E391">
        <v>25</v>
      </c>
      <c r="F391">
        <v>19.670000000000002</v>
      </c>
      <c r="G391">
        <v>25.04</v>
      </c>
      <c r="H391">
        <v>11.65</v>
      </c>
      <c r="I391">
        <v>7.5</v>
      </c>
      <c r="J391">
        <v>5.9</v>
      </c>
    </row>
    <row r="392" spans="1:10" x14ac:dyDescent="0.2">
      <c r="A392" t="s">
        <v>37</v>
      </c>
      <c r="B392" t="s">
        <v>16</v>
      </c>
      <c r="C392" t="s">
        <v>9</v>
      </c>
      <c r="D392">
        <v>19.510000000000002</v>
      </c>
      <c r="E392">
        <v>40.380000000000003</v>
      </c>
      <c r="F392">
        <v>4.01</v>
      </c>
      <c r="G392">
        <v>21.12</v>
      </c>
      <c r="H392">
        <v>7.8</v>
      </c>
      <c r="I392">
        <v>12.12</v>
      </c>
      <c r="J392">
        <v>1.2</v>
      </c>
    </row>
    <row r="393" spans="1:10" x14ac:dyDescent="0.2">
      <c r="A393" t="s">
        <v>37</v>
      </c>
      <c r="B393" t="s">
        <v>16</v>
      </c>
      <c r="C393" t="s">
        <v>10</v>
      </c>
      <c r="D393">
        <v>13.01</v>
      </c>
      <c r="E393">
        <v>28.85</v>
      </c>
      <c r="F393">
        <v>5.79</v>
      </c>
      <c r="G393">
        <v>15.59</v>
      </c>
      <c r="H393">
        <v>5.2</v>
      </c>
      <c r="I393">
        <v>8.65</v>
      </c>
      <c r="J393">
        <v>1.74</v>
      </c>
    </row>
    <row r="394" spans="1:10" x14ac:dyDescent="0.2">
      <c r="A394" t="s">
        <v>37</v>
      </c>
      <c r="B394" t="s">
        <v>16</v>
      </c>
      <c r="C394" t="s">
        <v>11</v>
      </c>
      <c r="D394">
        <v>1.85</v>
      </c>
      <c r="E394">
        <v>48.08</v>
      </c>
      <c r="F394">
        <v>1.19</v>
      </c>
      <c r="G394">
        <v>15.52</v>
      </c>
      <c r="H394">
        <v>0.74</v>
      </c>
      <c r="I394">
        <v>14.42</v>
      </c>
      <c r="J394">
        <v>0.36</v>
      </c>
    </row>
    <row r="395" spans="1:10" x14ac:dyDescent="0.2">
      <c r="A395" t="s">
        <v>37</v>
      </c>
      <c r="B395" t="s">
        <v>16</v>
      </c>
      <c r="C395" t="s">
        <v>12</v>
      </c>
      <c r="D395">
        <v>10.24</v>
      </c>
      <c r="E395">
        <v>44.23</v>
      </c>
      <c r="F395">
        <v>9.56</v>
      </c>
      <c r="G395">
        <v>20.23</v>
      </c>
      <c r="H395">
        <v>4.09</v>
      </c>
      <c r="I395">
        <v>13.27</v>
      </c>
      <c r="J395">
        <v>2.87</v>
      </c>
    </row>
    <row r="396" spans="1:10" x14ac:dyDescent="0.2">
      <c r="A396" t="s">
        <v>37</v>
      </c>
      <c r="B396" t="s">
        <v>16</v>
      </c>
      <c r="C396" t="s">
        <v>13</v>
      </c>
      <c r="D396">
        <v>7.88</v>
      </c>
      <c r="E396">
        <v>44.23</v>
      </c>
      <c r="F396">
        <v>3.51</v>
      </c>
      <c r="G396">
        <v>17.47</v>
      </c>
      <c r="H396">
        <v>3.15</v>
      </c>
      <c r="I396">
        <v>13.27</v>
      </c>
      <c r="J396">
        <v>1.05</v>
      </c>
    </row>
    <row r="397" spans="1:10" x14ac:dyDescent="0.2">
      <c r="A397" t="s">
        <v>37</v>
      </c>
      <c r="B397" t="s">
        <v>16</v>
      </c>
      <c r="C397" t="s">
        <v>14</v>
      </c>
      <c r="D397">
        <v>17.68</v>
      </c>
      <c r="E397">
        <v>25</v>
      </c>
      <c r="F397">
        <v>10.84</v>
      </c>
      <c r="G397">
        <v>17.82</v>
      </c>
      <c r="H397">
        <v>7.07</v>
      </c>
      <c r="I397">
        <v>7.5</v>
      </c>
      <c r="J397">
        <v>3.25</v>
      </c>
    </row>
    <row r="398" spans="1:10" x14ac:dyDescent="0.2">
      <c r="A398" t="s">
        <v>38</v>
      </c>
      <c r="B398" t="s">
        <v>8</v>
      </c>
      <c r="C398" t="s">
        <v>9</v>
      </c>
      <c r="D398">
        <v>15.72</v>
      </c>
      <c r="E398">
        <v>42.31</v>
      </c>
      <c r="F398">
        <v>3.23</v>
      </c>
      <c r="G398">
        <v>19.95</v>
      </c>
      <c r="H398">
        <v>6.29</v>
      </c>
      <c r="I398">
        <v>12.69</v>
      </c>
      <c r="J398">
        <v>0.97</v>
      </c>
    </row>
    <row r="399" spans="1:10" x14ac:dyDescent="0.2">
      <c r="A399" t="s">
        <v>38</v>
      </c>
      <c r="B399" t="s">
        <v>8</v>
      </c>
      <c r="C399" t="s">
        <v>10</v>
      </c>
      <c r="D399">
        <v>9.19</v>
      </c>
      <c r="E399">
        <v>26.92</v>
      </c>
      <c r="F399">
        <v>5.97</v>
      </c>
      <c r="G399">
        <v>13.54</v>
      </c>
      <c r="H399">
        <v>3.68</v>
      </c>
      <c r="I399">
        <v>8.08</v>
      </c>
      <c r="J399">
        <v>1.79</v>
      </c>
    </row>
    <row r="400" spans="1:10" x14ac:dyDescent="0.2">
      <c r="A400" t="s">
        <v>38</v>
      </c>
      <c r="B400" t="s">
        <v>8</v>
      </c>
      <c r="C400" t="s">
        <v>11</v>
      </c>
      <c r="D400">
        <v>1.35</v>
      </c>
      <c r="E400">
        <v>46.15</v>
      </c>
      <c r="F400">
        <v>3.16</v>
      </c>
      <c r="G400">
        <v>15.33</v>
      </c>
      <c r="H400">
        <v>0.54</v>
      </c>
      <c r="I400">
        <v>13.85</v>
      </c>
      <c r="J400">
        <v>0.95</v>
      </c>
    </row>
    <row r="401" spans="1:10" x14ac:dyDescent="0.2">
      <c r="A401" t="s">
        <v>38</v>
      </c>
      <c r="B401" t="s">
        <v>8</v>
      </c>
      <c r="C401" t="s">
        <v>12</v>
      </c>
      <c r="D401">
        <v>5.39</v>
      </c>
      <c r="E401">
        <v>46.15</v>
      </c>
      <c r="F401">
        <v>6.5</v>
      </c>
      <c r="G401">
        <v>17.95</v>
      </c>
      <c r="H401">
        <v>2.16</v>
      </c>
      <c r="I401">
        <v>13.85</v>
      </c>
      <c r="J401">
        <v>1.95</v>
      </c>
    </row>
    <row r="402" spans="1:10" x14ac:dyDescent="0.2">
      <c r="A402" t="s">
        <v>38</v>
      </c>
      <c r="B402" t="s">
        <v>8</v>
      </c>
      <c r="C402" t="s">
        <v>13</v>
      </c>
      <c r="D402">
        <v>8.65</v>
      </c>
      <c r="E402">
        <v>46.15</v>
      </c>
      <c r="F402">
        <v>4.3899999999999997</v>
      </c>
      <c r="G402">
        <v>18.62</v>
      </c>
      <c r="H402">
        <v>3.46</v>
      </c>
      <c r="I402">
        <v>13.85</v>
      </c>
      <c r="J402">
        <v>1.32</v>
      </c>
    </row>
    <row r="403" spans="1:10" x14ac:dyDescent="0.2">
      <c r="A403" t="s">
        <v>38</v>
      </c>
      <c r="B403" t="s">
        <v>8</v>
      </c>
      <c r="C403" t="s">
        <v>14</v>
      </c>
      <c r="D403">
        <v>12.68</v>
      </c>
      <c r="E403">
        <v>26.92</v>
      </c>
      <c r="F403">
        <v>9.73</v>
      </c>
      <c r="G403">
        <v>16.07</v>
      </c>
      <c r="H403">
        <v>5.07</v>
      </c>
      <c r="I403">
        <v>8.08</v>
      </c>
      <c r="J403">
        <v>2.92</v>
      </c>
    </row>
    <row r="404" spans="1:10" x14ac:dyDescent="0.2">
      <c r="A404" t="s">
        <v>38</v>
      </c>
      <c r="B404" t="s">
        <v>15</v>
      </c>
      <c r="C404" t="s">
        <v>9</v>
      </c>
      <c r="D404">
        <v>22.17</v>
      </c>
      <c r="E404">
        <v>42.31</v>
      </c>
      <c r="F404">
        <v>4.1100000000000003</v>
      </c>
      <c r="G404">
        <v>22.79</v>
      </c>
      <c r="H404">
        <v>8.8699999999999992</v>
      </c>
      <c r="I404">
        <v>12.69</v>
      </c>
      <c r="J404">
        <v>1.23</v>
      </c>
    </row>
    <row r="405" spans="1:10" x14ac:dyDescent="0.2">
      <c r="A405" t="s">
        <v>38</v>
      </c>
      <c r="B405" t="s">
        <v>15</v>
      </c>
      <c r="C405" t="s">
        <v>10</v>
      </c>
      <c r="D405">
        <v>15.49</v>
      </c>
      <c r="E405">
        <v>26.92</v>
      </c>
      <c r="F405">
        <v>5.51</v>
      </c>
      <c r="G405">
        <v>15.93</v>
      </c>
      <c r="H405">
        <v>6.19</v>
      </c>
      <c r="I405">
        <v>8.08</v>
      </c>
      <c r="J405">
        <v>1.65</v>
      </c>
    </row>
    <row r="406" spans="1:10" x14ac:dyDescent="0.2">
      <c r="A406" t="s">
        <v>38</v>
      </c>
      <c r="B406" t="s">
        <v>15</v>
      </c>
      <c r="C406" t="s">
        <v>11</v>
      </c>
      <c r="D406">
        <v>3.08</v>
      </c>
      <c r="E406">
        <v>46.15</v>
      </c>
      <c r="F406">
        <v>4.55</v>
      </c>
      <c r="G406">
        <v>16.440000000000001</v>
      </c>
      <c r="H406">
        <v>1.23</v>
      </c>
      <c r="I406">
        <v>13.85</v>
      </c>
      <c r="J406">
        <v>1.37</v>
      </c>
    </row>
    <row r="407" spans="1:10" x14ac:dyDescent="0.2">
      <c r="A407" t="s">
        <v>38</v>
      </c>
      <c r="B407" t="s">
        <v>15</v>
      </c>
      <c r="C407" t="s">
        <v>12</v>
      </c>
      <c r="D407">
        <v>10.57</v>
      </c>
      <c r="E407">
        <v>46.15</v>
      </c>
      <c r="F407">
        <v>17.940000000000001</v>
      </c>
      <c r="G407">
        <v>23.46</v>
      </c>
      <c r="H407">
        <v>4.2300000000000004</v>
      </c>
      <c r="I407">
        <v>13.85</v>
      </c>
      <c r="J407">
        <v>5.38</v>
      </c>
    </row>
    <row r="408" spans="1:10" x14ac:dyDescent="0.2">
      <c r="A408" t="s">
        <v>38</v>
      </c>
      <c r="B408" t="s">
        <v>15</v>
      </c>
      <c r="C408" t="s">
        <v>13</v>
      </c>
      <c r="D408">
        <v>14.5</v>
      </c>
      <c r="E408">
        <v>46.15</v>
      </c>
      <c r="F408">
        <v>3.91</v>
      </c>
      <c r="G408">
        <v>20.82</v>
      </c>
      <c r="H408">
        <v>5.8</v>
      </c>
      <c r="I408">
        <v>13.85</v>
      </c>
      <c r="J408">
        <v>1.17</v>
      </c>
    </row>
    <row r="409" spans="1:10" x14ac:dyDescent="0.2">
      <c r="A409" t="s">
        <v>38</v>
      </c>
      <c r="B409" t="s">
        <v>15</v>
      </c>
      <c r="C409" t="s">
        <v>14</v>
      </c>
      <c r="D409">
        <v>25.59</v>
      </c>
      <c r="E409">
        <v>26.92</v>
      </c>
      <c r="F409">
        <v>15.32</v>
      </c>
      <c r="G409">
        <v>22.91</v>
      </c>
      <c r="H409">
        <v>10.24</v>
      </c>
      <c r="I409">
        <v>8.08</v>
      </c>
      <c r="J409">
        <v>4.59</v>
      </c>
    </row>
    <row r="410" spans="1:10" x14ac:dyDescent="0.2">
      <c r="A410" t="s">
        <v>38</v>
      </c>
      <c r="B410" t="s">
        <v>16</v>
      </c>
      <c r="C410" t="s">
        <v>9</v>
      </c>
      <c r="D410">
        <v>19.09</v>
      </c>
      <c r="E410">
        <v>42.31</v>
      </c>
      <c r="F410">
        <v>3.17</v>
      </c>
      <c r="G410">
        <v>21.28</v>
      </c>
      <c r="H410">
        <v>7.64</v>
      </c>
      <c r="I410">
        <v>12.69</v>
      </c>
      <c r="J410">
        <v>0.95</v>
      </c>
    </row>
    <row r="411" spans="1:10" x14ac:dyDescent="0.2">
      <c r="A411" t="s">
        <v>38</v>
      </c>
      <c r="B411" t="s">
        <v>16</v>
      </c>
      <c r="C411" t="s">
        <v>10</v>
      </c>
      <c r="D411">
        <v>12.24</v>
      </c>
      <c r="E411">
        <v>26.92</v>
      </c>
      <c r="F411">
        <v>7.03</v>
      </c>
      <c r="G411">
        <v>15.08</v>
      </c>
      <c r="H411">
        <v>4.9000000000000004</v>
      </c>
      <c r="I411">
        <v>8.08</v>
      </c>
      <c r="J411">
        <v>2.11</v>
      </c>
    </row>
    <row r="412" spans="1:10" x14ac:dyDescent="0.2">
      <c r="A412" t="s">
        <v>38</v>
      </c>
      <c r="B412" t="s">
        <v>16</v>
      </c>
      <c r="C412" t="s">
        <v>11</v>
      </c>
      <c r="D412">
        <v>1.96</v>
      </c>
      <c r="E412">
        <v>46.15</v>
      </c>
      <c r="F412">
        <v>1.1200000000000001</v>
      </c>
      <c r="G412">
        <v>14.97</v>
      </c>
      <c r="H412">
        <v>0.79</v>
      </c>
      <c r="I412">
        <v>13.85</v>
      </c>
      <c r="J412">
        <v>0.34</v>
      </c>
    </row>
    <row r="413" spans="1:10" x14ac:dyDescent="0.2">
      <c r="A413" t="s">
        <v>38</v>
      </c>
      <c r="B413" t="s">
        <v>16</v>
      </c>
      <c r="C413" t="s">
        <v>12</v>
      </c>
      <c r="D413">
        <v>8.24</v>
      </c>
      <c r="E413">
        <v>46.15</v>
      </c>
      <c r="F413">
        <v>8.01</v>
      </c>
      <c r="G413">
        <v>19.54</v>
      </c>
      <c r="H413">
        <v>3.29</v>
      </c>
      <c r="I413">
        <v>13.85</v>
      </c>
      <c r="J413">
        <v>2.4</v>
      </c>
    </row>
    <row r="414" spans="1:10" x14ac:dyDescent="0.2">
      <c r="A414" t="s">
        <v>38</v>
      </c>
      <c r="B414" t="s">
        <v>16</v>
      </c>
      <c r="C414" t="s">
        <v>13</v>
      </c>
      <c r="D414">
        <v>7.75</v>
      </c>
      <c r="E414">
        <v>46.15</v>
      </c>
      <c r="F414">
        <v>4.1500000000000004</v>
      </c>
      <c r="G414">
        <v>18.190000000000001</v>
      </c>
      <c r="H414">
        <v>3.1</v>
      </c>
      <c r="I414">
        <v>13.85</v>
      </c>
      <c r="J414">
        <v>1.24</v>
      </c>
    </row>
    <row r="415" spans="1:10" x14ac:dyDescent="0.2">
      <c r="A415" t="s">
        <v>38</v>
      </c>
      <c r="B415" t="s">
        <v>16</v>
      </c>
      <c r="C415" t="s">
        <v>14</v>
      </c>
      <c r="D415">
        <v>16.68</v>
      </c>
      <c r="E415">
        <v>26.92</v>
      </c>
      <c r="F415">
        <v>9.43</v>
      </c>
      <c r="G415">
        <v>17.579999999999998</v>
      </c>
      <c r="H415">
        <v>6.67</v>
      </c>
      <c r="I415">
        <v>8.08</v>
      </c>
      <c r="J415">
        <v>2.83</v>
      </c>
    </row>
    <row r="416" spans="1:10" x14ac:dyDescent="0.2">
      <c r="A416" t="s">
        <v>39</v>
      </c>
      <c r="B416" t="s">
        <v>8</v>
      </c>
      <c r="C416" t="s">
        <v>9</v>
      </c>
      <c r="D416">
        <v>20.04</v>
      </c>
      <c r="E416">
        <v>36.54</v>
      </c>
      <c r="F416">
        <v>5.77</v>
      </c>
      <c r="G416">
        <v>20.71</v>
      </c>
      <c r="H416">
        <v>8.01</v>
      </c>
      <c r="I416">
        <v>10.96</v>
      </c>
      <c r="J416">
        <v>1.73</v>
      </c>
    </row>
    <row r="417" spans="1:10" x14ac:dyDescent="0.2">
      <c r="A417" t="s">
        <v>39</v>
      </c>
      <c r="B417" t="s">
        <v>8</v>
      </c>
      <c r="C417" t="s">
        <v>10</v>
      </c>
      <c r="D417">
        <v>6.99</v>
      </c>
      <c r="E417">
        <v>26.92</v>
      </c>
      <c r="F417">
        <v>3.08</v>
      </c>
      <c r="G417">
        <v>11.8</v>
      </c>
      <c r="H417">
        <v>2.8</v>
      </c>
      <c r="I417">
        <v>8.08</v>
      </c>
      <c r="J417">
        <v>0.92</v>
      </c>
    </row>
    <row r="418" spans="1:10" x14ac:dyDescent="0.2">
      <c r="A418" t="s">
        <v>39</v>
      </c>
      <c r="B418" t="s">
        <v>8</v>
      </c>
      <c r="C418" t="s">
        <v>11</v>
      </c>
      <c r="D418">
        <v>1.83</v>
      </c>
      <c r="E418">
        <v>51.92</v>
      </c>
      <c r="F418">
        <v>3.62</v>
      </c>
      <c r="G418">
        <v>17.399999999999999</v>
      </c>
      <c r="H418">
        <v>0.73</v>
      </c>
      <c r="I418">
        <v>15.58</v>
      </c>
      <c r="J418">
        <v>1.0900000000000001</v>
      </c>
    </row>
    <row r="419" spans="1:10" x14ac:dyDescent="0.2">
      <c r="A419" t="s">
        <v>39</v>
      </c>
      <c r="B419" t="s">
        <v>8</v>
      </c>
      <c r="C419" t="s">
        <v>12</v>
      </c>
      <c r="D419">
        <v>7.49</v>
      </c>
      <c r="E419">
        <v>44.23</v>
      </c>
      <c r="F419">
        <v>5.32</v>
      </c>
      <c r="G419">
        <v>17.86</v>
      </c>
      <c r="H419">
        <v>3</v>
      </c>
      <c r="I419">
        <v>13.27</v>
      </c>
      <c r="J419">
        <v>1.59</v>
      </c>
    </row>
    <row r="420" spans="1:10" x14ac:dyDescent="0.2">
      <c r="A420" t="s">
        <v>39</v>
      </c>
      <c r="B420" t="s">
        <v>8</v>
      </c>
      <c r="C420" t="s">
        <v>13</v>
      </c>
      <c r="D420">
        <v>5.65</v>
      </c>
      <c r="E420">
        <v>44.23</v>
      </c>
      <c r="F420">
        <v>3.18</v>
      </c>
      <c r="G420">
        <v>16.48</v>
      </c>
      <c r="H420">
        <v>2.2599999999999998</v>
      </c>
      <c r="I420">
        <v>13.27</v>
      </c>
      <c r="J420">
        <v>0.95</v>
      </c>
    </row>
    <row r="421" spans="1:10" x14ac:dyDescent="0.2">
      <c r="A421" t="s">
        <v>39</v>
      </c>
      <c r="B421" t="s">
        <v>8</v>
      </c>
      <c r="C421" t="s">
        <v>14</v>
      </c>
      <c r="D421">
        <v>14.73</v>
      </c>
      <c r="E421">
        <v>23.08</v>
      </c>
      <c r="F421">
        <v>17.47</v>
      </c>
      <c r="G421">
        <v>18.059999999999999</v>
      </c>
      <c r="H421">
        <v>5.89</v>
      </c>
      <c r="I421">
        <v>6.92</v>
      </c>
      <c r="J421">
        <v>5.24</v>
      </c>
    </row>
    <row r="422" spans="1:10" x14ac:dyDescent="0.2">
      <c r="A422" t="s">
        <v>39</v>
      </c>
      <c r="B422" t="s">
        <v>15</v>
      </c>
      <c r="C422" t="s">
        <v>9</v>
      </c>
      <c r="D422">
        <v>32.520000000000003</v>
      </c>
      <c r="E422">
        <v>36.54</v>
      </c>
      <c r="F422">
        <v>4.6100000000000003</v>
      </c>
      <c r="G422">
        <v>25.35</v>
      </c>
      <c r="H422">
        <v>13.01</v>
      </c>
      <c r="I422">
        <v>10.96</v>
      </c>
      <c r="J422">
        <v>1.38</v>
      </c>
    </row>
    <row r="423" spans="1:10" x14ac:dyDescent="0.2">
      <c r="A423" t="s">
        <v>39</v>
      </c>
      <c r="B423" t="s">
        <v>15</v>
      </c>
      <c r="C423" t="s">
        <v>10</v>
      </c>
      <c r="D423">
        <v>12.46</v>
      </c>
      <c r="E423">
        <v>26.92</v>
      </c>
      <c r="F423">
        <v>3.54</v>
      </c>
      <c r="G423">
        <v>14.13</v>
      </c>
      <c r="H423">
        <v>4.99</v>
      </c>
      <c r="I423">
        <v>8.08</v>
      </c>
      <c r="J423">
        <v>1.06</v>
      </c>
    </row>
    <row r="424" spans="1:10" x14ac:dyDescent="0.2">
      <c r="A424" t="s">
        <v>39</v>
      </c>
      <c r="B424" t="s">
        <v>15</v>
      </c>
      <c r="C424" t="s">
        <v>11</v>
      </c>
      <c r="D424">
        <v>3.85</v>
      </c>
      <c r="E424">
        <v>51.92</v>
      </c>
      <c r="F424">
        <v>11.37</v>
      </c>
      <c r="G424">
        <v>20.53</v>
      </c>
      <c r="H424">
        <v>1.54</v>
      </c>
      <c r="I424">
        <v>15.58</v>
      </c>
      <c r="J424">
        <v>3.41</v>
      </c>
    </row>
    <row r="425" spans="1:10" x14ac:dyDescent="0.2">
      <c r="A425" t="s">
        <v>39</v>
      </c>
      <c r="B425" t="s">
        <v>15</v>
      </c>
      <c r="C425" t="s">
        <v>12</v>
      </c>
      <c r="D425">
        <v>12.54</v>
      </c>
      <c r="E425">
        <v>44.23</v>
      </c>
      <c r="F425">
        <v>19.899999999999999</v>
      </c>
      <c r="G425">
        <v>24.26</v>
      </c>
      <c r="H425">
        <v>5.0199999999999996</v>
      </c>
      <c r="I425">
        <v>13.27</v>
      </c>
      <c r="J425">
        <v>5.97</v>
      </c>
    </row>
    <row r="426" spans="1:10" x14ac:dyDescent="0.2">
      <c r="A426" t="s">
        <v>39</v>
      </c>
      <c r="B426" t="s">
        <v>15</v>
      </c>
      <c r="C426" t="s">
        <v>13</v>
      </c>
      <c r="D426">
        <v>10.53</v>
      </c>
      <c r="E426">
        <v>44.23</v>
      </c>
      <c r="F426">
        <v>2.79</v>
      </c>
      <c r="G426">
        <v>18.32</v>
      </c>
      <c r="H426">
        <v>4.21</v>
      </c>
      <c r="I426">
        <v>13.27</v>
      </c>
      <c r="J426">
        <v>0.84</v>
      </c>
    </row>
    <row r="427" spans="1:10" x14ac:dyDescent="0.2">
      <c r="A427" t="s">
        <v>39</v>
      </c>
      <c r="B427" t="s">
        <v>15</v>
      </c>
      <c r="C427" t="s">
        <v>14</v>
      </c>
      <c r="D427">
        <v>30.8</v>
      </c>
      <c r="E427">
        <v>23.08</v>
      </c>
      <c r="F427">
        <v>14.2</v>
      </c>
      <c r="G427">
        <v>23.5</v>
      </c>
      <c r="H427">
        <v>12.32</v>
      </c>
      <c r="I427">
        <v>6.92</v>
      </c>
      <c r="J427">
        <v>4.26</v>
      </c>
    </row>
    <row r="428" spans="1:10" x14ac:dyDescent="0.2">
      <c r="A428" t="s">
        <v>39</v>
      </c>
      <c r="B428" t="s">
        <v>16</v>
      </c>
      <c r="C428" t="s">
        <v>9</v>
      </c>
      <c r="D428">
        <v>25.26</v>
      </c>
      <c r="E428">
        <v>36.54</v>
      </c>
      <c r="F428">
        <v>4.34</v>
      </c>
      <c r="G428">
        <v>22.37</v>
      </c>
      <c r="H428">
        <v>10.11</v>
      </c>
      <c r="I428">
        <v>10.96</v>
      </c>
      <c r="J428">
        <v>1.3</v>
      </c>
    </row>
    <row r="429" spans="1:10" x14ac:dyDescent="0.2">
      <c r="A429" t="s">
        <v>39</v>
      </c>
      <c r="B429" t="s">
        <v>16</v>
      </c>
      <c r="C429" t="s">
        <v>10</v>
      </c>
      <c r="D429">
        <v>8.99</v>
      </c>
      <c r="E429">
        <v>26.92</v>
      </c>
      <c r="F429">
        <v>4.1500000000000004</v>
      </c>
      <c r="G429">
        <v>12.92</v>
      </c>
      <c r="H429">
        <v>3.6</v>
      </c>
      <c r="I429">
        <v>8.08</v>
      </c>
      <c r="J429">
        <v>1.25</v>
      </c>
    </row>
    <row r="430" spans="1:10" x14ac:dyDescent="0.2">
      <c r="A430" t="s">
        <v>39</v>
      </c>
      <c r="B430" t="s">
        <v>16</v>
      </c>
      <c r="C430" t="s">
        <v>11</v>
      </c>
      <c r="D430">
        <v>2.41</v>
      </c>
      <c r="E430">
        <v>51.92</v>
      </c>
      <c r="F430">
        <v>2.06</v>
      </c>
      <c r="G430">
        <v>17.16</v>
      </c>
      <c r="H430">
        <v>0.96</v>
      </c>
      <c r="I430">
        <v>15.58</v>
      </c>
      <c r="J430">
        <v>0.62</v>
      </c>
    </row>
    <row r="431" spans="1:10" x14ac:dyDescent="0.2">
      <c r="A431" t="s">
        <v>39</v>
      </c>
      <c r="B431" t="s">
        <v>16</v>
      </c>
      <c r="C431" t="s">
        <v>12</v>
      </c>
      <c r="D431">
        <v>10.220000000000001</v>
      </c>
      <c r="E431">
        <v>44.23</v>
      </c>
      <c r="F431">
        <v>9.66</v>
      </c>
      <c r="G431">
        <v>20.260000000000002</v>
      </c>
      <c r="H431">
        <v>4.09</v>
      </c>
      <c r="I431">
        <v>13.27</v>
      </c>
      <c r="J431">
        <v>2.9</v>
      </c>
    </row>
    <row r="432" spans="1:10" x14ac:dyDescent="0.2">
      <c r="A432" t="s">
        <v>39</v>
      </c>
      <c r="B432" t="s">
        <v>16</v>
      </c>
      <c r="C432" t="s">
        <v>13</v>
      </c>
      <c r="D432">
        <v>5.74</v>
      </c>
      <c r="E432">
        <v>44.23</v>
      </c>
      <c r="F432">
        <v>2.66</v>
      </c>
      <c r="G432">
        <v>16.36</v>
      </c>
      <c r="H432">
        <v>2.2999999999999998</v>
      </c>
      <c r="I432">
        <v>13.27</v>
      </c>
      <c r="J432">
        <v>0.8</v>
      </c>
    </row>
    <row r="433" spans="1:10" x14ac:dyDescent="0.2">
      <c r="A433" t="s">
        <v>39</v>
      </c>
      <c r="B433" t="s">
        <v>16</v>
      </c>
      <c r="C433" t="s">
        <v>14</v>
      </c>
      <c r="D433">
        <v>20.94</v>
      </c>
      <c r="E433">
        <v>23.08</v>
      </c>
      <c r="F433">
        <v>16.739999999999998</v>
      </c>
      <c r="G433">
        <v>20.32</v>
      </c>
      <c r="H433">
        <v>8.3800000000000008</v>
      </c>
      <c r="I433">
        <v>6.92</v>
      </c>
      <c r="J433">
        <v>5.0199999999999996</v>
      </c>
    </row>
    <row r="434" spans="1:10" x14ac:dyDescent="0.2">
      <c r="A434" t="s">
        <v>40</v>
      </c>
      <c r="B434" t="s">
        <v>8</v>
      </c>
      <c r="C434" t="s">
        <v>9</v>
      </c>
      <c r="D434">
        <v>22.13</v>
      </c>
      <c r="E434">
        <v>40.380000000000003</v>
      </c>
      <c r="F434">
        <v>9.01</v>
      </c>
      <c r="G434">
        <v>23.67</v>
      </c>
      <c r="H434">
        <v>8.85</v>
      </c>
      <c r="I434">
        <v>12.12</v>
      </c>
      <c r="J434">
        <v>2.7</v>
      </c>
    </row>
    <row r="435" spans="1:10" x14ac:dyDescent="0.2">
      <c r="A435" t="s">
        <v>40</v>
      </c>
      <c r="B435" t="s">
        <v>8</v>
      </c>
      <c r="C435" t="s">
        <v>10</v>
      </c>
      <c r="D435">
        <v>6.47</v>
      </c>
      <c r="E435">
        <v>25</v>
      </c>
      <c r="F435">
        <v>4.3</v>
      </c>
      <c r="G435">
        <v>11.38</v>
      </c>
      <c r="H435">
        <v>2.59</v>
      </c>
      <c r="I435">
        <v>7.5</v>
      </c>
      <c r="J435">
        <v>1.29</v>
      </c>
    </row>
    <row r="436" spans="1:10" x14ac:dyDescent="0.2">
      <c r="A436" t="s">
        <v>40</v>
      </c>
      <c r="B436" t="s">
        <v>8</v>
      </c>
      <c r="C436" t="s">
        <v>11</v>
      </c>
      <c r="D436">
        <v>2.5299999999999998</v>
      </c>
      <c r="E436">
        <v>44.23</v>
      </c>
      <c r="F436">
        <v>2.84</v>
      </c>
      <c r="G436">
        <v>15.13</v>
      </c>
      <c r="H436">
        <v>1.01</v>
      </c>
      <c r="I436">
        <v>13.27</v>
      </c>
      <c r="J436">
        <v>0.85</v>
      </c>
    </row>
    <row r="437" spans="1:10" x14ac:dyDescent="0.2">
      <c r="A437" t="s">
        <v>40</v>
      </c>
      <c r="B437" t="s">
        <v>8</v>
      </c>
      <c r="C437" t="s">
        <v>12</v>
      </c>
      <c r="D437">
        <v>6.83</v>
      </c>
      <c r="E437">
        <v>40.380000000000003</v>
      </c>
      <c r="F437">
        <v>6.04</v>
      </c>
      <c r="G437">
        <v>16.66</v>
      </c>
      <c r="H437">
        <v>2.73</v>
      </c>
      <c r="I437">
        <v>12.12</v>
      </c>
      <c r="J437">
        <v>1.81</v>
      </c>
    </row>
    <row r="438" spans="1:10" x14ac:dyDescent="0.2">
      <c r="A438" t="s">
        <v>40</v>
      </c>
      <c r="B438" t="s">
        <v>8</v>
      </c>
      <c r="C438" t="s">
        <v>13</v>
      </c>
      <c r="D438">
        <v>7.92</v>
      </c>
      <c r="E438">
        <v>42.31</v>
      </c>
      <c r="F438">
        <v>4.74</v>
      </c>
      <c r="G438">
        <v>17.28</v>
      </c>
      <c r="H438">
        <v>3.17</v>
      </c>
      <c r="I438">
        <v>12.69</v>
      </c>
      <c r="J438">
        <v>1.42</v>
      </c>
    </row>
    <row r="439" spans="1:10" x14ac:dyDescent="0.2">
      <c r="A439" t="s">
        <v>40</v>
      </c>
      <c r="B439" t="s">
        <v>8</v>
      </c>
      <c r="C439" t="s">
        <v>14</v>
      </c>
      <c r="D439">
        <v>12.9</v>
      </c>
      <c r="E439">
        <v>25</v>
      </c>
      <c r="F439">
        <v>17.2</v>
      </c>
      <c r="G439">
        <v>17.82</v>
      </c>
      <c r="H439">
        <v>5.16</v>
      </c>
      <c r="I439">
        <v>7.5</v>
      </c>
      <c r="J439">
        <v>5.16</v>
      </c>
    </row>
    <row r="440" spans="1:10" x14ac:dyDescent="0.2">
      <c r="A440" t="s">
        <v>40</v>
      </c>
      <c r="B440" t="s">
        <v>15</v>
      </c>
      <c r="C440" t="s">
        <v>9</v>
      </c>
      <c r="D440">
        <v>34.76</v>
      </c>
      <c r="E440">
        <v>40.380000000000003</v>
      </c>
      <c r="F440">
        <v>6.9</v>
      </c>
      <c r="G440">
        <v>28.09</v>
      </c>
      <c r="H440">
        <v>13.9</v>
      </c>
      <c r="I440">
        <v>12.12</v>
      </c>
      <c r="J440">
        <v>2.0699999999999998</v>
      </c>
    </row>
    <row r="441" spans="1:10" x14ac:dyDescent="0.2">
      <c r="A441" t="s">
        <v>40</v>
      </c>
      <c r="B441" t="s">
        <v>15</v>
      </c>
      <c r="C441" t="s">
        <v>10</v>
      </c>
      <c r="D441">
        <v>11.16</v>
      </c>
      <c r="E441">
        <v>25</v>
      </c>
      <c r="F441">
        <v>4.78</v>
      </c>
      <c r="G441">
        <v>13.4</v>
      </c>
      <c r="H441">
        <v>4.47</v>
      </c>
      <c r="I441">
        <v>7.5</v>
      </c>
      <c r="J441">
        <v>1.43</v>
      </c>
    </row>
    <row r="442" spans="1:10" x14ac:dyDescent="0.2">
      <c r="A442" t="s">
        <v>40</v>
      </c>
      <c r="B442" t="s">
        <v>15</v>
      </c>
      <c r="C442" t="s">
        <v>11</v>
      </c>
      <c r="D442">
        <v>4.72</v>
      </c>
      <c r="E442">
        <v>44.23</v>
      </c>
      <c r="F442">
        <v>24.85</v>
      </c>
      <c r="G442">
        <v>22.61</v>
      </c>
      <c r="H442">
        <v>1.89</v>
      </c>
      <c r="I442">
        <v>13.27</v>
      </c>
      <c r="J442">
        <v>7.45</v>
      </c>
    </row>
    <row r="443" spans="1:10" x14ac:dyDescent="0.2">
      <c r="A443" t="s">
        <v>40</v>
      </c>
      <c r="B443" t="s">
        <v>15</v>
      </c>
      <c r="C443" t="s">
        <v>12</v>
      </c>
      <c r="D443">
        <v>11.6</v>
      </c>
      <c r="E443">
        <v>40.380000000000003</v>
      </c>
      <c r="F443">
        <v>11.95</v>
      </c>
      <c r="G443">
        <v>20.34</v>
      </c>
      <c r="H443">
        <v>4.6399999999999997</v>
      </c>
      <c r="I443">
        <v>12.12</v>
      </c>
      <c r="J443">
        <v>3.58</v>
      </c>
    </row>
    <row r="444" spans="1:10" x14ac:dyDescent="0.2">
      <c r="A444" t="s">
        <v>40</v>
      </c>
      <c r="B444" t="s">
        <v>15</v>
      </c>
      <c r="C444" t="s">
        <v>13</v>
      </c>
      <c r="D444">
        <v>12.25</v>
      </c>
      <c r="E444">
        <v>42.31</v>
      </c>
      <c r="F444">
        <v>5.17</v>
      </c>
      <c r="G444">
        <v>19.149999999999999</v>
      </c>
      <c r="H444">
        <v>4.9000000000000004</v>
      </c>
      <c r="I444">
        <v>12.69</v>
      </c>
      <c r="J444">
        <v>1.55</v>
      </c>
    </row>
    <row r="445" spans="1:10" x14ac:dyDescent="0.2">
      <c r="A445" t="s">
        <v>40</v>
      </c>
      <c r="B445" t="s">
        <v>15</v>
      </c>
      <c r="C445" t="s">
        <v>14</v>
      </c>
      <c r="D445">
        <v>29.85</v>
      </c>
      <c r="E445">
        <v>25</v>
      </c>
      <c r="F445">
        <v>16.010000000000002</v>
      </c>
      <c r="G445">
        <v>24.25</v>
      </c>
      <c r="H445">
        <v>11.94</v>
      </c>
      <c r="I445">
        <v>7.5</v>
      </c>
      <c r="J445">
        <v>4.8</v>
      </c>
    </row>
    <row r="446" spans="1:10" x14ac:dyDescent="0.2">
      <c r="A446" t="s">
        <v>40</v>
      </c>
      <c r="B446" t="s">
        <v>16</v>
      </c>
      <c r="C446" t="s">
        <v>9</v>
      </c>
      <c r="D446">
        <v>28.42</v>
      </c>
      <c r="E446">
        <v>40.380000000000003</v>
      </c>
      <c r="F446">
        <v>4.1100000000000003</v>
      </c>
      <c r="G446">
        <v>24.72</v>
      </c>
      <c r="H446">
        <v>11.37</v>
      </c>
      <c r="I446">
        <v>12.12</v>
      </c>
      <c r="J446">
        <v>1.23</v>
      </c>
    </row>
    <row r="447" spans="1:10" x14ac:dyDescent="0.2">
      <c r="A447" t="s">
        <v>40</v>
      </c>
      <c r="B447" t="s">
        <v>16</v>
      </c>
      <c r="C447" t="s">
        <v>10</v>
      </c>
      <c r="D447">
        <v>7.84</v>
      </c>
      <c r="E447">
        <v>25</v>
      </c>
      <c r="F447">
        <v>3.72</v>
      </c>
      <c r="G447">
        <v>11.75</v>
      </c>
      <c r="H447">
        <v>3.14</v>
      </c>
      <c r="I447">
        <v>7.5</v>
      </c>
      <c r="J447">
        <v>1.1200000000000001</v>
      </c>
    </row>
    <row r="448" spans="1:10" x14ac:dyDescent="0.2">
      <c r="A448" t="s">
        <v>40</v>
      </c>
      <c r="B448" t="s">
        <v>16</v>
      </c>
      <c r="C448" t="s">
        <v>11</v>
      </c>
      <c r="D448">
        <v>3.94</v>
      </c>
      <c r="E448">
        <v>44.23</v>
      </c>
      <c r="F448">
        <v>6.04</v>
      </c>
      <c r="G448">
        <v>16.66</v>
      </c>
      <c r="H448">
        <v>1.57</v>
      </c>
      <c r="I448">
        <v>13.27</v>
      </c>
      <c r="J448">
        <v>1.81</v>
      </c>
    </row>
    <row r="449" spans="1:10" x14ac:dyDescent="0.2">
      <c r="A449" t="s">
        <v>40</v>
      </c>
      <c r="B449" t="s">
        <v>16</v>
      </c>
      <c r="C449" t="s">
        <v>12</v>
      </c>
      <c r="D449">
        <v>9.7200000000000006</v>
      </c>
      <c r="E449">
        <v>40.380000000000003</v>
      </c>
      <c r="F449">
        <v>8.94</v>
      </c>
      <c r="G449">
        <v>18.690000000000001</v>
      </c>
      <c r="H449">
        <v>3.89</v>
      </c>
      <c r="I449">
        <v>12.12</v>
      </c>
      <c r="J449">
        <v>2.68</v>
      </c>
    </row>
    <row r="450" spans="1:10" x14ac:dyDescent="0.2">
      <c r="A450" t="s">
        <v>40</v>
      </c>
      <c r="B450" t="s">
        <v>16</v>
      </c>
      <c r="C450" t="s">
        <v>13</v>
      </c>
      <c r="D450">
        <v>7.18</v>
      </c>
      <c r="E450">
        <v>42.31</v>
      </c>
      <c r="F450">
        <v>3.52</v>
      </c>
      <c r="G450">
        <v>16.62</v>
      </c>
      <c r="H450">
        <v>2.87</v>
      </c>
      <c r="I450">
        <v>12.69</v>
      </c>
      <c r="J450">
        <v>1.06</v>
      </c>
    </row>
    <row r="451" spans="1:10" x14ac:dyDescent="0.2">
      <c r="A451" t="s">
        <v>40</v>
      </c>
      <c r="B451" t="s">
        <v>16</v>
      </c>
      <c r="C451" t="s">
        <v>14</v>
      </c>
      <c r="D451">
        <v>19.48</v>
      </c>
      <c r="E451">
        <v>25</v>
      </c>
      <c r="F451">
        <v>12.12</v>
      </c>
      <c r="G451">
        <v>18.93</v>
      </c>
      <c r="H451">
        <v>7.79</v>
      </c>
      <c r="I451">
        <v>7.5</v>
      </c>
      <c r="J451">
        <v>3.64</v>
      </c>
    </row>
    <row r="452" spans="1:10" x14ac:dyDescent="0.2">
      <c r="A452" t="s">
        <v>41</v>
      </c>
      <c r="B452" t="s">
        <v>8</v>
      </c>
      <c r="C452" t="s">
        <v>9</v>
      </c>
      <c r="D452">
        <v>24.21</v>
      </c>
      <c r="E452">
        <v>38.46</v>
      </c>
      <c r="F452">
        <v>3.77</v>
      </c>
      <c r="G452">
        <v>22.35</v>
      </c>
      <c r="H452">
        <v>9.68</v>
      </c>
      <c r="I452">
        <v>11.54</v>
      </c>
      <c r="J452">
        <v>1.1299999999999999</v>
      </c>
    </row>
    <row r="453" spans="1:10" x14ac:dyDescent="0.2">
      <c r="A453" t="s">
        <v>41</v>
      </c>
      <c r="B453" t="s">
        <v>8</v>
      </c>
      <c r="C453" t="s">
        <v>10</v>
      </c>
      <c r="D453">
        <v>8.6</v>
      </c>
      <c r="E453">
        <v>25</v>
      </c>
      <c r="F453">
        <v>5.31</v>
      </c>
      <c r="G453">
        <v>12.53</v>
      </c>
      <c r="H453">
        <v>3.44</v>
      </c>
      <c r="I453">
        <v>7.5</v>
      </c>
      <c r="J453">
        <v>1.59</v>
      </c>
    </row>
    <row r="454" spans="1:10" x14ac:dyDescent="0.2">
      <c r="A454" t="s">
        <v>41</v>
      </c>
      <c r="B454" t="s">
        <v>8</v>
      </c>
      <c r="C454" t="s">
        <v>11</v>
      </c>
      <c r="D454">
        <v>3.77</v>
      </c>
      <c r="E454">
        <v>44.23</v>
      </c>
      <c r="F454">
        <v>2.77</v>
      </c>
      <c r="G454">
        <v>15.61</v>
      </c>
      <c r="H454">
        <v>1.51</v>
      </c>
      <c r="I454">
        <v>13.27</v>
      </c>
      <c r="J454">
        <v>0.83</v>
      </c>
    </row>
    <row r="455" spans="1:10" x14ac:dyDescent="0.2">
      <c r="A455" t="s">
        <v>41</v>
      </c>
      <c r="B455" t="s">
        <v>8</v>
      </c>
      <c r="C455" t="s">
        <v>12</v>
      </c>
      <c r="D455">
        <v>6.89</v>
      </c>
      <c r="E455">
        <v>44.23</v>
      </c>
      <c r="F455">
        <v>8.69</v>
      </c>
      <c r="G455">
        <v>18.63</v>
      </c>
      <c r="H455">
        <v>2.76</v>
      </c>
      <c r="I455">
        <v>13.27</v>
      </c>
      <c r="J455">
        <v>2.61</v>
      </c>
    </row>
    <row r="456" spans="1:10" x14ac:dyDescent="0.2">
      <c r="A456" t="s">
        <v>41</v>
      </c>
      <c r="B456" t="s">
        <v>8</v>
      </c>
      <c r="C456" t="s">
        <v>13</v>
      </c>
      <c r="D456">
        <v>7.07</v>
      </c>
      <c r="E456">
        <v>36.54</v>
      </c>
      <c r="F456">
        <v>5.49</v>
      </c>
      <c r="G456">
        <v>15.44</v>
      </c>
      <c r="H456">
        <v>2.83</v>
      </c>
      <c r="I456">
        <v>10.96</v>
      </c>
      <c r="J456">
        <v>1.65</v>
      </c>
    </row>
    <row r="457" spans="1:10" x14ac:dyDescent="0.2">
      <c r="A457" t="s">
        <v>41</v>
      </c>
      <c r="B457" t="s">
        <v>8</v>
      </c>
      <c r="C457" t="s">
        <v>14</v>
      </c>
      <c r="D457">
        <v>12.7</v>
      </c>
      <c r="E457">
        <v>25</v>
      </c>
      <c r="F457">
        <v>6.94</v>
      </c>
      <c r="G457">
        <v>14.66</v>
      </c>
      <c r="H457">
        <v>5.08</v>
      </c>
      <c r="I457">
        <v>7.5</v>
      </c>
      <c r="J457">
        <v>2.08</v>
      </c>
    </row>
    <row r="458" spans="1:10" x14ac:dyDescent="0.2">
      <c r="A458" t="s">
        <v>41</v>
      </c>
      <c r="B458" t="s">
        <v>15</v>
      </c>
      <c r="C458" t="s">
        <v>9</v>
      </c>
      <c r="D458">
        <v>37.44</v>
      </c>
      <c r="E458">
        <v>38.46</v>
      </c>
      <c r="F458">
        <v>6.12</v>
      </c>
      <c r="G458">
        <v>28.35</v>
      </c>
      <c r="H458">
        <v>14.98</v>
      </c>
      <c r="I458">
        <v>11.54</v>
      </c>
      <c r="J458">
        <v>1.83</v>
      </c>
    </row>
    <row r="459" spans="1:10" x14ac:dyDescent="0.2">
      <c r="A459" t="s">
        <v>41</v>
      </c>
      <c r="B459" t="s">
        <v>15</v>
      </c>
      <c r="C459" t="s">
        <v>10</v>
      </c>
      <c r="D459">
        <v>12.84</v>
      </c>
      <c r="E459">
        <v>25</v>
      </c>
      <c r="F459">
        <v>5.3</v>
      </c>
      <c r="G459">
        <v>14.23</v>
      </c>
      <c r="H459">
        <v>5.14</v>
      </c>
      <c r="I459">
        <v>7.5</v>
      </c>
      <c r="J459">
        <v>1.59</v>
      </c>
    </row>
    <row r="460" spans="1:10" x14ac:dyDescent="0.2">
      <c r="A460" t="s">
        <v>41</v>
      </c>
      <c r="B460" t="s">
        <v>15</v>
      </c>
      <c r="C460" t="s">
        <v>11</v>
      </c>
      <c r="D460">
        <v>6.62</v>
      </c>
      <c r="E460">
        <v>44.23</v>
      </c>
      <c r="F460">
        <v>3.43</v>
      </c>
      <c r="G460">
        <v>16.95</v>
      </c>
      <c r="H460">
        <v>2.65</v>
      </c>
      <c r="I460">
        <v>13.27</v>
      </c>
      <c r="J460">
        <v>1.03</v>
      </c>
    </row>
    <row r="461" spans="1:10" x14ac:dyDescent="0.2">
      <c r="A461" t="s">
        <v>41</v>
      </c>
      <c r="B461" t="s">
        <v>15</v>
      </c>
      <c r="C461" t="s">
        <v>12</v>
      </c>
      <c r="D461">
        <v>12.61</v>
      </c>
      <c r="E461">
        <v>44.23</v>
      </c>
      <c r="F461">
        <v>14.04</v>
      </c>
      <c r="G461">
        <v>22.53</v>
      </c>
      <c r="H461">
        <v>5.04</v>
      </c>
      <c r="I461">
        <v>13.27</v>
      </c>
      <c r="J461">
        <v>4.21</v>
      </c>
    </row>
    <row r="462" spans="1:10" x14ac:dyDescent="0.2">
      <c r="A462" t="s">
        <v>41</v>
      </c>
      <c r="B462" t="s">
        <v>15</v>
      </c>
      <c r="C462" t="s">
        <v>13</v>
      </c>
      <c r="D462">
        <v>12.62</v>
      </c>
      <c r="E462">
        <v>36.54</v>
      </c>
      <c r="F462">
        <v>5.39</v>
      </c>
      <c r="G462">
        <v>17.63</v>
      </c>
      <c r="H462">
        <v>5.05</v>
      </c>
      <c r="I462">
        <v>10.96</v>
      </c>
      <c r="J462">
        <v>1.62</v>
      </c>
    </row>
    <row r="463" spans="1:10" x14ac:dyDescent="0.2">
      <c r="A463" t="s">
        <v>41</v>
      </c>
      <c r="B463" t="s">
        <v>15</v>
      </c>
      <c r="C463" t="s">
        <v>14</v>
      </c>
      <c r="D463">
        <v>26.68</v>
      </c>
      <c r="E463">
        <v>25</v>
      </c>
      <c r="F463">
        <v>14.16</v>
      </c>
      <c r="G463">
        <v>22.42</v>
      </c>
      <c r="H463">
        <v>10.67</v>
      </c>
      <c r="I463">
        <v>7.5</v>
      </c>
      <c r="J463">
        <v>4.25</v>
      </c>
    </row>
    <row r="464" spans="1:10" x14ac:dyDescent="0.2">
      <c r="A464" t="s">
        <v>41</v>
      </c>
      <c r="B464" t="s">
        <v>16</v>
      </c>
      <c r="C464" t="s">
        <v>9</v>
      </c>
      <c r="D464">
        <v>29.66</v>
      </c>
      <c r="E464">
        <v>38.46</v>
      </c>
      <c r="F464">
        <v>6.05</v>
      </c>
      <c r="G464">
        <v>25.22</v>
      </c>
      <c r="H464">
        <v>11.87</v>
      </c>
      <c r="I464">
        <v>11.54</v>
      </c>
      <c r="J464">
        <v>1.81</v>
      </c>
    </row>
    <row r="465" spans="1:10" x14ac:dyDescent="0.2">
      <c r="A465" t="s">
        <v>41</v>
      </c>
      <c r="B465" t="s">
        <v>16</v>
      </c>
      <c r="C465" t="s">
        <v>10</v>
      </c>
      <c r="D465">
        <v>9.09</v>
      </c>
      <c r="E465">
        <v>25</v>
      </c>
      <c r="F465">
        <v>5.92</v>
      </c>
      <c r="G465">
        <v>12.91</v>
      </c>
      <c r="H465">
        <v>3.64</v>
      </c>
      <c r="I465">
        <v>7.5</v>
      </c>
      <c r="J465">
        <v>1.78</v>
      </c>
    </row>
    <row r="466" spans="1:10" x14ac:dyDescent="0.2">
      <c r="A466" t="s">
        <v>41</v>
      </c>
      <c r="B466" t="s">
        <v>16</v>
      </c>
      <c r="C466" t="s">
        <v>11</v>
      </c>
      <c r="D466">
        <v>5.0999999999999996</v>
      </c>
      <c r="E466">
        <v>44.23</v>
      </c>
      <c r="F466">
        <v>3.69</v>
      </c>
      <c r="G466">
        <v>16.420000000000002</v>
      </c>
      <c r="H466">
        <v>2.04</v>
      </c>
      <c r="I466">
        <v>13.27</v>
      </c>
      <c r="J466">
        <v>1.1100000000000001</v>
      </c>
    </row>
    <row r="467" spans="1:10" x14ac:dyDescent="0.2">
      <c r="A467" t="s">
        <v>41</v>
      </c>
      <c r="B467" t="s">
        <v>16</v>
      </c>
      <c r="C467" t="s">
        <v>12</v>
      </c>
      <c r="D467">
        <v>9.27</v>
      </c>
      <c r="E467">
        <v>44.23</v>
      </c>
      <c r="F467">
        <v>6.92</v>
      </c>
      <c r="G467">
        <v>19.05</v>
      </c>
      <c r="H467">
        <v>3.71</v>
      </c>
      <c r="I467">
        <v>13.27</v>
      </c>
      <c r="J467">
        <v>2.08</v>
      </c>
    </row>
    <row r="468" spans="1:10" x14ac:dyDescent="0.2">
      <c r="A468" t="s">
        <v>41</v>
      </c>
      <c r="B468" t="s">
        <v>16</v>
      </c>
      <c r="C468" t="s">
        <v>13</v>
      </c>
      <c r="D468">
        <v>7.31</v>
      </c>
      <c r="E468">
        <v>36.54</v>
      </c>
      <c r="F468">
        <v>2.98</v>
      </c>
      <c r="G468">
        <v>14.78</v>
      </c>
      <c r="H468">
        <v>2.92</v>
      </c>
      <c r="I468">
        <v>10.96</v>
      </c>
      <c r="J468">
        <v>0.89</v>
      </c>
    </row>
    <row r="469" spans="1:10" x14ac:dyDescent="0.2">
      <c r="A469" t="s">
        <v>41</v>
      </c>
      <c r="B469" t="s">
        <v>16</v>
      </c>
      <c r="C469" t="s">
        <v>14</v>
      </c>
      <c r="D469">
        <v>18.850000000000001</v>
      </c>
      <c r="E469">
        <v>25</v>
      </c>
      <c r="F469">
        <v>14.35</v>
      </c>
      <c r="G469">
        <v>19.34</v>
      </c>
      <c r="H469">
        <v>7.54</v>
      </c>
      <c r="I469">
        <v>7.5</v>
      </c>
      <c r="J469">
        <v>4.3</v>
      </c>
    </row>
    <row r="470" spans="1:10" x14ac:dyDescent="0.2">
      <c r="A470" t="s">
        <v>42</v>
      </c>
      <c r="B470" t="s">
        <v>8</v>
      </c>
      <c r="C470" t="s">
        <v>9</v>
      </c>
      <c r="D470">
        <v>14.77</v>
      </c>
      <c r="E470">
        <v>38.46</v>
      </c>
      <c r="F470">
        <v>3.29</v>
      </c>
      <c r="G470">
        <v>18.43</v>
      </c>
      <c r="H470">
        <v>5.91</v>
      </c>
      <c r="I470">
        <v>11.54</v>
      </c>
      <c r="J470">
        <v>0.99</v>
      </c>
    </row>
    <row r="471" spans="1:10" x14ac:dyDescent="0.2">
      <c r="A471" t="s">
        <v>42</v>
      </c>
      <c r="B471" t="s">
        <v>8</v>
      </c>
      <c r="C471" t="s">
        <v>10</v>
      </c>
      <c r="D471">
        <v>6.12</v>
      </c>
      <c r="E471">
        <v>23.08</v>
      </c>
      <c r="F471">
        <v>3.26</v>
      </c>
      <c r="G471">
        <v>10.35</v>
      </c>
      <c r="H471">
        <v>2.4500000000000002</v>
      </c>
      <c r="I471">
        <v>6.92</v>
      </c>
      <c r="J471">
        <v>0.98</v>
      </c>
    </row>
    <row r="472" spans="1:10" x14ac:dyDescent="0.2">
      <c r="A472" t="s">
        <v>42</v>
      </c>
      <c r="B472" t="s">
        <v>8</v>
      </c>
      <c r="C472" t="s">
        <v>11</v>
      </c>
      <c r="D472">
        <v>3.69</v>
      </c>
      <c r="E472">
        <v>42.31</v>
      </c>
      <c r="F472">
        <v>7.12</v>
      </c>
      <c r="G472">
        <v>16.309999999999999</v>
      </c>
      <c r="H472">
        <v>1.48</v>
      </c>
      <c r="I472">
        <v>12.69</v>
      </c>
      <c r="J472">
        <v>2.14</v>
      </c>
    </row>
    <row r="473" spans="1:10" x14ac:dyDescent="0.2">
      <c r="A473" t="s">
        <v>42</v>
      </c>
      <c r="B473" t="s">
        <v>8</v>
      </c>
      <c r="C473" t="s">
        <v>12</v>
      </c>
      <c r="D473">
        <v>7.97</v>
      </c>
      <c r="E473">
        <v>38.46</v>
      </c>
      <c r="F473">
        <v>8.41</v>
      </c>
      <c r="G473">
        <v>17.25</v>
      </c>
      <c r="H473">
        <v>3.19</v>
      </c>
      <c r="I473">
        <v>11.54</v>
      </c>
      <c r="J473">
        <v>2.52</v>
      </c>
    </row>
    <row r="474" spans="1:10" x14ac:dyDescent="0.2">
      <c r="A474" t="s">
        <v>42</v>
      </c>
      <c r="B474" t="s">
        <v>8</v>
      </c>
      <c r="C474" t="s">
        <v>13</v>
      </c>
      <c r="D474">
        <v>9.43</v>
      </c>
      <c r="E474">
        <v>36.54</v>
      </c>
      <c r="F474">
        <v>4.7699999999999996</v>
      </c>
      <c r="G474">
        <v>16.16</v>
      </c>
      <c r="H474">
        <v>3.77</v>
      </c>
      <c r="I474">
        <v>10.96</v>
      </c>
      <c r="J474">
        <v>1.43</v>
      </c>
    </row>
    <row r="475" spans="1:10" x14ac:dyDescent="0.2">
      <c r="A475" t="s">
        <v>42</v>
      </c>
      <c r="B475" t="s">
        <v>8</v>
      </c>
      <c r="C475" t="s">
        <v>14</v>
      </c>
      <c r="D475">
        <v>11.33</v>
      </c>
      <c r="E475">
        <v>26.92</v>
      </c>
      <c r="F475">
        <v>12.87</v>
      </c>
      <c r="G475">
        <v>16.47</v>
      </c>
      <c r="H475">
        <v>4.53</v>
      </c>
      <c r="I475">
        <v>8.08</v>
      </c>
      <c r="J475">
        <v>3.86</v>
      </c>
    </row>
    <row r="476" spans="1:10" x14ac:dyDescent="0.2">
      <c r="A476" t="s">
        <v>42</v>
      </c>
      <c r="B476" t="s">
        <v>15</v>
      </c>
      <c r="C476" t="s">
        <v>9</v>
      </c>
      <c r="D476">
        <v>24.85</v>
      </c>
      <c r="E476">
        <v>38.46</v>
      </c>
      <c r="F476">
        <v>4.04</v>
      </c>
      <c r="G476">
        <v>22.69</v>
      </c>
      <c r="H476">
        <v>9.94</v>
      </c>
      <c r="I476">
        <v>11.54</v>
      </c>
      <c r="J476">
        <v>1.21</v>
      </c>
    </row>
    <row r="477" spans="1:10" x14ac:dyDescent="0.2">
      <c r="A477" t="s">
        <v>42</v>
      </c>
      <c r="B477" t="s">
        <v>15</v>
      </c>
      <c r="C477" t="s">
        <v>10</v>
      </c>
      <c r="D477">
        <v>10.65</v>
      </c>
      <c r="E477">
        <v>23.08</v>
      </c>
      <c r="F477">
        <v>5.74</v>
      </c>
      <c r="G477">
        <v>12.9</v>
      </c>
      <c r="H477">
        <v>4.26</v>
      </c>
      <c r="I477">
        <v>6.92</v>
      </c>
      <c r="J477">
        <v>1.72</v>
      </c>
    </row>
    <row r="478" spans="1:10" x14ac:dyDescent="0.2">
      <c r="A478" t="s">
        <v>42</v>
      </c>
      <c r="B478" t="s">
        <v>15</v>
      </c>
      <c r="C478" t="s">
        <v>11</v>
      </c>
      <c r="D478">
        <v>7.33</v>
      </c>
      <c r="E478">
        <v>42.31</v>
      </c>
      <c r="F478">
        <v>8.34</v>
      </c>
      <c r="G478">
        <v>18.13</v>
      </c>
      <c r="H478">
        <v>2.93</v>
      </c>
      <c r="I478">
        <v>12.69</v>
      </c>
      <c r="J478">
        <v>2.5</v>
      </c>
    </row>
    <row r="479" spans="1:10" x14ac:dyDescent="0.2">
      <c r="A479" t="s">
        <v>42</v>
      </c>
      <c r="B479" t="s">
        <v>15</v>
      </c>
      <c r="C479" t="s">
        <v>12</v>
      </c>
      <c r="D479">
        <v>13.67</v>
      </c>
      <c r="E479">
        <v>38.46</v>
      </c>
      <c r="F479">
        <v>14.41</v>
      </c>
      <c r="G479">
        <v>21.33</v>
      </c>
      <c r="H479">
        <v>5.47</v>
      </c>
      <c r="I479">
        <v>11.54</v>
      </c>
      <c r="J479">
        <v>4.32</v>
      </c>
    </row>
    <row r="480" spans="1:10" x14ac:dyDescent="0.2">
      <c r="A480" t="s">
        <v>42</v>
      </c>
      <c r="B480" t="s">
        <v>15</v>
      </c>
      <c r="C480" t="s">
        <v>13</v>
      </c>
      <c r="D480">
        <v>16.62</v>
      </c>
      <c r="E480">
        <v>36.54</v>
      </c>
      <c r="F480">
        <v>5.33</v>
      </c>
      <c r="G480">
        <v>19.21</v>
      </c>
      <c r="H480">
        <v>6.65</v>
      </c>
      <c r="I480">
        <v>10.96</v>
      </c>
      <c r="J480">
        <v>1.6</v>
      </c>
    </row>
    <row r="481" spans="1:10" x14ac:dyDescent="0.2">
      <c r="A481" t="s">
        <v>42</v>
      </c>
      <c r="B481" t="s">
        <v>15</v>
      </c>
      <c r="C481" t="s">
        <v>14</v>
      </c>
      <c r="D481">
        <v>27.93</v>
      </c>
      <c r="E481">
        <v>26.92</v>
      </c>
      <c r="F481">
        <v>12.47</v>
      </c>
      <c r="G481">
        <v>22.99</v>
      </c>
      <c r="H481">
        <v>11.17</v>
      </c>
      <c r="I481">
        <v>8.08</v>
      </c>
      <c r="J481">
        <v>3.74</v>
      </c>
    </row>
    <row r="482" spans="1:10" x14ac:dyDescent="0.2">
      <c r="A482" t="s">
        <v>42</v>
      </c>
      <c r="B482" t="s">
        <v>16</v>
      </c>
      <c r="C482" t="s">
        <v>9</v>
      </c>
      <c r="D482">
        <v>17.88</v>
      </c>
      <c r="E482">
        <v>38.46</v>
      </c>
      <c r="F482">
        <v>4.67</v>
      </c>
      <c r="G482">
        <v>20.09</v>
      </c>
      <c r="H482">
        <v>7.15</v>
      </c>
      <c r="I482">
        <v>11.54</v>
      </c>
      <c r="J482">
        <v>1.4</v>
      </c>
    </row>
    <row r="483" spans="1:10" x14ac:dyDescent="0.2">
      <c r="A483" t="s">
        <v>42</v>
      </c>
      <c r="B483" t="s">
        <v>16</v>
      </c>
      <c r="C483" t="s">
        <v>10</v>
      </c>
      <c r="D483">
        <v>8.06</v>
      </c>
      <c r="E483">
        <v>23.08</v>
      </c>
      <c r="F483">
        <v>5.44</v>
      </c>
      <c r="G483">
        <v>11.78</v>
      </c>
      <c r="H483">
        <v>3.22</v>
      </c>
      <c r="I483">
        <v>6.92</v>
      </c>
      <c r="J483">
        <v>1.63</v>
      </c>
    </row>
    <row r="484" spans="1:10" x14ac:dyDescent="0.2">
      <c r="A484" t="s">
        <v>42</v>
      </c>
      <c r="B484" t="s">
        <v>16</v>
      </c>
      <c r="C484" t="s">
        <v>11</v>
      </c>
      <c r="D484">
        <v>5.48</v>
      </c>
      <c r="E484">
        <v>42.31</v>
      </c>
      <c r="F484">
        <v>5.33</v>
      </c>
      <c r="G484">
        <v>16.48</v>
      </c>
      <c r="H484">
        <v>2.19</v>
      </c>
      <c r="I484">
        <v>12.69</v>
      </c>
      <c r="J484">
        <v>1.6</v>
      </c>
    </row>
    <row r="485" spans="1:10" x14ac:dyDescent="0.2">
      <c r="A485" t="s">
        <v>42</v>
      </c>
      <c r="B485" t="s">
        <v>16</v>
      </c>
      <c r="C485" t="s">
        <v>12</v>
      </c>
      <c r="D485">
        <v>10.28</v>
      </c>
      <c r="E485">
        <v>38.46</v>
      </c>
      <c r="F485">
        <v>11.25</v>
      </c>
      <c r="G485">
        <v>19.03</v>
      </c>
      <c r="H485">
        <v>4.1100000000000003</v>
      </c>
      <c r="I485">
        <v>11.54</v>
      </c>
      <c r="J485">
        <v>3.37</v>
      </c>
    </row>
    <row r="486" spans="1:10" x14ac:dyDescent="0.2">
      <c r="A486" t="s">
        <v>42</v>
      </c>
      <c r="B486" t="s">
        <v>16</v>
      </c>
      <c r="C486" t="s">
        <v>13</v>
      </c>
      <c r="D486">
        <v>8.8000000000000007</v>
      </c>
      <c r="E486">
        <v>36.54</v>
      </c>
      <c r="F486">
        <v>3.86</v>
      </c>
      <c r="G486">
        <v>15.64</v>
      </c>
      <c r="H486">
        <v>3.52</v>
      </c>
      <c r="I486">
        <v>10.96</v>
      </c>
      <c r="J486">
        <v>1.1599999999999999</v>
      </c>
    </row>
    <row r="487" spans="1:10" x14ac:dyDescent="0.2">
      <c r="A487" t="s">
        <v>42</v>
      </c>
      <c r="B487" t="s">
        <v>16</v>
      </c>
      <c r="C487" t="s">
        <v>14</v>
      </c>
      <c r="D487">
        <v>15.53</v>
      </c>
      <c r="E487">
        <v>26.92</v>
      </c>
      <c r="F487">
        <v>13.03</v>
      </c>
      <c r="G487">
        <v>18.2</v>
      </c>
      <c r="H487">
        <v>6.21</v>
      </c>
      <c r="I487">
        <v>8.08</v>
      </c>
      <c r="J487">
        <v>3.91</v>
      </c>
    </row>
    <row r="488" spans="1:10" x14ac:dyDescent="0.2">
      <c r="A488" t="s">
        <v>43</v>
      </c>
      <c r="B488" t="s">
        <v>8</v>
      </c>
      <c r="C488" t="s">
        <v>9</v>
      </c>
      <c r="D488">
        <v>21.3</v>
      </c>
      <c r="E488">
        <v>38.46</v>
      </c>
      <c r="F488">
        <v>2.97</v>
      </c>
      <c r="G488">
        <v>20.95</v>
      </c>
      <c r="H488">
        <v>8.52</v>
      </c>
      <c r="I488">
        <v>11.54</v>
      </c>
      <c r="J488">
        <v>0.89</v>
      </c>
    </row>
    <row r="489" spans="1:10" x14ac:dyDescent="0.2">
      <c r="A489" t="s">
        <v>43</v>
      </c>
      <c r="B489" t="s">
        <v>8</v>
      </c>
      <c r="C489" t="s">
        <v>10</v>
      </c>
      <c r="D489">
        <v>6.76</v>
      </c>
      <c r="E489">
        <v>26.92</v>
      </c>
      <c r="F489">
        <v>3.62</v>
      </c>
      <c r="G489">
        <v>11.87</v>
      </c>
      <c r="H489">
        <v>2.71</v>
      </c>
      <c r="I489">
        <v>8.08</v>
      </c>
      <c r="J489">
        <v>1.0900000000000001</v>
      </c>
    </row>
    <row r="490" spans="1:10" x14ac:dyDescent="0.2">
      <c r="A490" t="s">
        <v>43</v>
      </c>
      <c r="B490" t="s">
        <v>8</v>
      </c>
      <c r="C490" t="s">
        <v>11</v>
      </c>
      <c r="D490">
        <v>3.92</v>
      </c>
      <c r="E490">
        <v>38.46</v>
      </c>
      <c r="F490">
        <v>8.58</v>
      </c>
      <c r="G490">
        <v>15.68</v>
      </c>
      <c r="H490">
        <v>1.57</v>
      </c>
      <c r="I490">
        <v>11.54</v>
      </c>
      <c r="J490">
        <v>2.58</v>
      </c>
    </row>
    <row r="491" spans="1:10" x14ac:dyDescent="0.2">
      <c r="A491" t="s">
        <v>43</v>
      </c>
      <c r="B491" t="s">
        <v>8</v>
      </c>
      <c r="C491" t="s">
        <v>12</v>
      </c>
      <c r="D491">
        <v>9.7100000000000009</v>
      </c>
      <c r="E491">
        <v>40.380000000000003</v>
      </c>
      <c r="F491">
        <v>11.5</v>
      </c>
      <c r="G491">
        <v>19.45</v>
      </c>
      <c r="H491">
        <v>3.89</v>
      </c>
      <c r="I491">
        <v>12.12</v>
      </c>
      <c r="J491">
        <v>3.45</v>
      </c>
    </row>
    <row r="492" spans="1:10" x14ac:dyDescent="0.2">
      <c r="A492" t="s">
        <v>43</v>
      </c>
      <c r="B492" t="s">
        <v>8</v>
      </c>
      <c r="C492" t="s">
        <v>13</v>
      </c>
      <c r="D492">
        <v>6.64</v>
      </c>
      <c r="E492">
        <v>32.69</v>
      </c>
      <c r="F492">
        <v>3.12</v>
      </c>
      <c r="G492">
        <v>13.4</v>
      </c>
      <c r="H492">
        <v>2.66</v>
      </c>
      <c r="I492">
        <v>9.81</v>
      </c>
      <c r="J492">
        <v>0.94</v>
      </c>
    </row>
    <row r="493" spans="1:10" x14ac:dyDescent="0.2">
      <c r="A493" t="s">
        <v>43</v>
      </c>
      <c r="B493" t="s">
        <v>8</v>
      </c>
      <c r="C493" t="s">
        <v>14</v>
      </c>
      <c r="D493">
        <v>14.11</v>
      </c>
      <c r="E493">
        <v>25</v>
      </c>
      <c r="F493">
        <v>9.61</v>
      </c>
      <c r="G493">
        <v>16.03</v>
      </c>
      <c r="H493">
        <v>5.64</v>
      </c>
      <c r="I493">
        <v>7.5</v>
      </c>
      <c r="J493">
        <v>2.88</v>
      </c>
    </row>
    <row r="494" spans="1:10" x14ac:dyDescent="0.2">
      <c r="A494" t="s">
        <v>43</v>
      </c>
      <c r="B494" t="s">
        <v>15</v>
      </c>
      <c r="C494" t="s">
        <v>9</v>
      </c>
      <c r="D494">
        <v>31.26</v>
      </c>
      <c r="E494">
        <v>38.46</v>
      </c>
      <c r="F494">
        <v>6.17</v>
      </c>
      <c r="G494">
        <v>25.89</v>
      </c>
      <c r="H494">
        <v>12.5</v>
      </c>
      <c r="I494">
        <v>11.54</v>
      </c>
      <c r="J494">
        <v>1.85</v>
      </c>
    </row>
    <row r="495" spans="1:10" x14ac:dyDescent="0.2">
      <c r="A495" t="s">
        <v>43</v>
      </c>
      <c r="B495" t="s">
        <v>15</v>
      </c>
      <c r="C495" t="s">
        <v>10</v>
      </c>
      <c r="D495">
        <v>12</v>
      </c>
      <c r="E495">
        <v>26.92</v>
      </c>
      <c r="F495">
        <v>3.47</v>
      </c>
      <c r="G495">
        <v>13.92</v>
      </c>
      <c r="H495">
        <v>4.8</v>
      </c>
      <c r="I495">
        <v>8.08</v>
      </c>
      <c r="J495">
        <v>1.04</v>
      </c>
    </row>
    <row r="496" spans="1:10" x14ac:dyDescent="0.2">
      <c r="A496" t="s">
        <v>43</v>
      </c>
      <c r="B496" t="s">
        <v>15</v>
      </c>
      <c r="C496" t="s">
        <v>11</v>
      </c>
      <c r="D496">
        <v>7.36</v>
      </c>
      <c r="E496">
        <v>38.46</v>
      </c>
      <c r="F496">
        <v>12.32</v>
      </c>
      <c r="G496">
        <v>18.18</v>
      </c>
      <c r="H496">
        <v>2.94</v>
      </c>
      <c r="I496">
        <v>11.54</v>
      </c>
      <c r="J496">
        <v>3.7</v>
      </c>
    </row>
    <row r="497" spans="1:10" x14ac:dyDescent="0.2">
      <c r="A497" t="s">
        <v>43</v>
      </c>
      <c r="B497" t="s">
        <v>15</v>
      </c>
      <c r="C497" t="s">
        <v>12</v>
      </c>
      <c r="D497">
        <v>16.91</v>
      </c>
      <c r="E497">
        <v>40.380000000000003</v>
      </c>
      <c r="F497">
        <v>14.93</v>
      </c>
      <c r="G497">
        <v>23.36</v>
      </c>
      <c r="H497">
        <v>6.76</v>
      </c>
      <c r="I497">
        <v>12.12</v>
      </c>
      <c r="J497">
        <v>4.4800000000000004</v>
      </c>
    </row>
    <row r="498" spans="1:10" x14ac:dyDescent="0.2">
      <c r="A498" t="s">
        <v>43</v>
      </c>
      <c r="B498" t="s">
        <v>15</v>
      </c>
      <c r="C498" t="s">
        <v>13</v>
      </c>
      <c r="D498">
        <v>11.72</v>
      </c>
      <c r="E498">
        <v>32.69</v>
      </c>
      <c r="F498">
        <v>4.42</v>
      </c>
      <c r="G498">
        <v>15.82</v>
      </c>
      <c r="H498">
        <v>4.6900000000000004</v>
      </c>
      <c r="I498">
        <v>9.81</v>
      </c>
      <c r="J498">
        <v>1.33</v>
      </c>
    </row>
    <row r="499" spans="1:10" x14ac:dyDescent="0.2">
      <c r="A499" t="s">
        <v>43</v>
      </c>
      <c r="B499" t="s">
        <v>15</v>
      </c>
      <c r="C499" t="s">
        <v>14</v>
      </c>
      <c r="D499">
        <v>31.2</v>
      </c>
      <c r="E499">
        <v>25</v>
      </c>
      <c r="F499">
        <v>12.99</v>
      </c>
      <c r="G499">
        <v>23.88</v>
      </c>
      <c r="H499">
        <v>12.48</v>
      </c>
      <c r="I499">
        <v>7.5</v>
      </c>
      <c r="J499">
        <v>3.9</v>
      </c>
    </row>
    <row r="500" spans="1:10" x14ac:dyDescent="0.2">
      <c r="A500" t="s">
        <v>43</v>
      </c>
      <c r="B500" t="s">
        <v>16</v>
      </c>
      <c r="C500" t="s">
        <v>9</v>
      </c>
      <c r="D500">
        <v>23.45</v>
      </c>
      <c r="E500">
        <v>38.46</v>
      </c>
      <c r="F500">
        <v>5.89</v>
      </c>
      <c r="G500">
        <v>22.69</v>
      </c>
      <c r="H500">
        <v>9.3800000000000008</v>
      </c>
      <c r="I500">
        <v>11.54</v>
      </c>
      <c r="J500">
        <v>1.77</v>
      </c>
    </row>
    <row r="501" spans="1:10" x14ac:dyDescent="0.2">
      <c r="A501" t="s">
        <v>43</v>
      </c>
      <c r="B501" t="s">
        <v>16</v>
      </c>
      <c r="C501" t="s">
        <v>10</v>
      </c>
      <c r="D501">
        <v>9.52</v>
      </c>
      <c r="E501">
        <v>26.92</v>
      </c>
      <c r="F501">
        <v>6.21</v>
      </c>
      <c r="G501">
        <v>13.75</v>
      </c>
      <c r="H501">
        <v>3.81</v>
      </c>
      <c r="I501">
        <v>8.08</v>
      </c>
      <c r="J501">
        <v>1.86</v>
      </c>
    </row>
    <row r="502" spans="1:10" x14ac:dyDescent="0.2">
      <c r="A502" t="s">
        <v>43</v>
      </c>
      <c r="B502" t="s">
        <v>16</v>
      </c>
      <c r="C502" t="s">
        <v>11</v>
      </c>
      <c r="D502">
        <v>4.96</v>
      </c>
      <c r="E502">
        <v>38.46</v>
      </c>
      <c r="F502">
        <v>6.14</v>
      </c>
      <c r="G502">
        <v>15.37</v>
      </c>
      <c r="H502">
        <v>1.99</v>
      </c>
      <c r="I502">
        <v>11.54</v>
      </c>
      <c r="J502">
        <v>1.84</v>
      </c>
    </row>
    <row r="503" spans="1:10" x14ac:dyDescent="0.2">
      <c r="A503" t="s">
        <v>43</v>
      </c>
      <c r="B503" t="s">
        <v>16</v>
      </c>
      <c r="C503" t="s">
        <v>12</v>
      </c>
      <c r="D503">
        <v>12.62</v>
      </c>
      <c r="E503">
        <v>40.380000000000003</v>
      </c>
      <c r="F503">
        <v>17.68</v>
      </c>
      <c r="G503">
        <v>22.47</v>
      </c>
      <c r="H503">
        <v>5.05</v>
      </c>
      <c r="I503">
        <v>12.12</v>
      </c>
      <c r="J503">
        <v>5.3</v>
      </c>
    </row>
    <row r="504" spans="1:10" x14ac:dyDescent="0.2">
      <c r="A504" t="s">
        <v>43</v>
      </c>
      <c r="B504" t="s">
        <v>16</v>
      </c>
      <c r="C504" t="s">
        <v>13</v>
      </c>
      <c r="D504">
        <v>5.73</v>
      </c>
      <c r="E504">
        <v>32.69</v>
      </c>
      <c r="F504">
        <v>2.59</v>
      </c>
      <c r="G504">
        <v>12.88</v>
      </c>
      <c r="H504">
        <v>2.29</v>
      </c>
      <c r="I504">
        <v>9.81</v>
      </c>
      <c r="J504">
        <v>0.78</v>
      </c>
    </row>
    <row r="505" spans="1:10" x14ac:dyDescent="0.2">
      <c r="A505" t="s">
        <v>43</v>
      </c>
      <c r="B505" t="s">
        <v>16</v>
      </c>
      <c r="C505" t="s">
        <v>14</v>
      </c>
      <c r="D505">
        <v>19.55</v>
      </c>
      <c r="E505">
        <v>25</v>
      </c>
      <c r="F505">
        <v>16.62</v>
      </c>
      <c r="G505">
        <v>20.309999999999999</v>
      </c>
      <c r="H505">
        <v>7.82</v>
      </c>
      <c r="I505">
        <v>7.5</v>
      </c>
      <c r="J505">
        <v>4.99</v>
      </c>
    </row>
    <row r="506" spans="1:10" x14ac:dyDescent="0.2">
      <c r="A506" t="s">
        <v>44</v>
      </c>
      <c r="B506" t="s">
        <v>8</v>
      </c>
      <c r="C506" t="s">
        <v>9</v>
      </c>
      <c r="D506">
        <v>19.79</v>
      </c>
      <c r="E506">
        <v>36.54</v>
      </c>
      <c r="F506">
        <v>4.8899999999999997</v>
      </c>
      <c r="G506">
        <v>20.34</v>
      </c>
      <c r="H506">
        <v>7.92</v>
      </c>
      <c r="I506">
        <v>10.96</v>
      </c>
      <c r="J506">
        <v>1.47</v>
      </c>
    </row>
    <row r="507" spans="1:10" x14ac:dyDescent="0.2">
      <c r="A507" t="s">
        <v>44</v>
      </c>
      <c r="B507" t="s">
        <v>8</v>
      </c>
      <c r="C507" t="s">
        <v>10</v>
      </c>
      <c r="D507">
        <v>7.27</v>
      </c>
      <c r="E507">
        <v>26.92</v>
      </c>
      <c r="F507">
        <v>6.12</v>
      </c>
      <c r="G507">
        <v>12.82</v>
      </c>
      <c r="H507">
        <v>2.91</v>
      </c>
      <c r="I507">
        <v>8.08</v>
      </c>
      <c r="J507">
        <v>1.84</v>
      </c>
    </row>
    <row r="508" spans="1:10" x14ac:dyDescent="0.2">
      <c r="A508" t="s">
        <v>44</v>
      </c>
      <c r="B508" t="s">
        <v>8</v>
      </c>
      <c r="C508" t="s">
        <v>11</v>
      </c>
      <c r="D508">
        <v>3.22</v>
      </c>
      <c r="E508">
        <v>40.380000000000003</v>
      </c>
      <c r="F508">
        <v>4.99</v>
      </c>
      <c r="G508">
        <v>14.9</v>
      </c>
      <c r="H508">
        <v>1.29</v>
      </c>
      <c r="I508">
        <v>12.12</v>
      </c>
      <c r="J508">
        <v>1.5</v>
      </c>
    </row>
    <row r="509" spans="1:10" x14ac:dyDescent="0.2">
      <c r="A509" t="s">
        <v>44</v>
      </c>
      <c r="B509" t="s">
        <v>8</v>
      </c>
      <c r="C509" t="s">
        <v>12</v>
      </c>
      <c r="D509">
        <v>9.16</v>
      </c>
      <c r="E509">
        <v>40.380000000000003</v>
      </c>
      <c r="F509">
        <v>16.670000000000002</v>
      </c>
      <c r="G509">
        <v>20.78</v>
      </c>
      <c r="H509">
        <v>3.66</v>
      </c>
      <c r="I509">
        <v>12.12</v>
      </c>
      <c r="J509">
        <v>5</v>
      </c>
    </row>
    <row r="510" spans="1:10" x14ac:dyDescent="0.2">
      <c r="A510" t="s">
        <v>44</v>
      </c>
      <c r="B510" t="s">
        <v>8</v>
      </c>
      <c r="C510" t="s">
        <v>13</v>
      </c>
      <c r="D510">
        <v>6.46</v>
      </c>
      <c r="E510">
        <v>28.85</v>
      </c>
      <c r="F510">
        <v>4.62</v>
      </c>
      <c r="G510">
        <v>12.62</v>
      </c>
      <c r="H510">
        <v>2.59</v>
      </c>
      <c r="I510">
        <v>8.65</v>
      </c>
      <c r="J510">
        <v>1.39</v>
      </c>
    </row>
    <row r="511" spans="1:10" x14ac:dyDescent="0.2">
      <c r="A511" t="s">
        <v>44</v>
      </c>
      <c r="B511" t="s">
        <v>8</v>
      </c>
      <c r="C511" t="s">
        <v>14</v>
      </c>
      <c r="D511">
        <v>13.45</v>
      </c>
      <c r="E511">
        <v>19.23</v>
      </c>
      <c r="F511">
        <v>8.31</v>
      </c>
      <c r="G511">
        <v>13.64</v>
      </c>
      <c r="H511">
        <v>5.38</v>
      </c>
      <c r="I511">
        <v>5.77</v>
      </c>
      <c r="J511">
        <v>2.4900000000000002</v>
      </c>
    </row>
    <row r="512" spans="1:10" x14ac:dyDescent="0.2">
      <c r="A512" t="s">
        <v>44</v>
      </c>
      <c r="B512" t="s">
        <v>15</v>
      </c>
      <c r="C512" t="s">
        <v>9</v>
      </c>
      <c r="D512">
        <v>29.05</v>
      </c>
      <c r="E512">
        <v>36.54</v>
      </c>
      <c r="F512">
        <v>6.15</v>
      </c>
      <c r="G512">
        <v>24.43</v>
      </c>
      <c r="H512">
        <v>11.62</v>
      </c>
      <c r="I512">
        <v>10.96</v>
      </c>
      <c r="J512">
        <v>1.85</v>
      </c>
    </row>
    <row r="513" spans="1:10" x14ac:dyDescent="0.2">
      <c r="A513" t="s">
        <v>44</v>
      </c>
      <c r="B513" t="s">
        <v>15</v>
      </c>
      <c r="C513" t="s">
        <v>10</v>
      </c>
      <c r="D513">
        <v>11.95</v>
      </c>
      <c r="E513">
        <v>26.92</v>
      </c>
      <c r="F513">
        <v>5.09</v>
      </c>
      <c r="G513">
        <v>14.39</v>
      </c>
      <c r="H513">
        <v>4.78</v>
      </c>
      <c r="I513">
        <v>8.08</v>
      </c>
      <c r="J513">
        <v>1.53</v>
      </c>
    </row>
    <row r="514" spans="1:10" x14ac:dyDescent="0.2">
      <c r="A514" t="s">
        <v>44</v>
      </c>
      <c r="B514" t="s">
        <v>15</v>
      </c>
      <c r="C514" t="s">
        <v>11</v>
      </c>
      <c r="D514">
        <v>6.82</v>
      </c>
      <c r="E514">
        <v>40.380000000000003</v>
      </c>
      <c r="F514">
        <v>8.16</v>
      </c>
      <c r="G514">
        <v>17.29</v>
      </c>
      <c r="H514">
        <v>2.73</v>
      </c>
      <c r="I514">
        <v>12.12</v>
      </c>
      <c r="J514">
        <v>2.4500000000000002</v>
      </c>
    </row>
    <row r="515" spans="1:10" x14ac:dyDescent="0.2">
      <c r="A515" t="s">
        <v>44</v>
      </c>
      <c r="B515" t="s">
        <v>15</v>
      </c>
      <c r="C515" t="s">
        <v>12</v>
      </c>
      <c r="D515">
        <v>15.6</v>
      </c>
      <c r="E515">
        <v>40.380000000000003</v>
      </c>
      <c r="F515">
        <v>10.8</v>
      </c>
      <c r="G515">
        <v>21.59</v>
      </c>
      <c r="H515">
        <v>6.24</v>
      </c>
      <c r="I515">
        <v>12.12</v>
      </c>
      <c r="J515">
        <v>3.24</v>
      </c>
    </row>
    <row r="516" spans="1:10" x14ac:dyDescent="0.2">
      <c r="A516" t="s">
        <v>44</v>
      </c>
      <c r="B516" t="s">
        <v>15</v>
      </c>
      <c r="C516" t="s">
        <v>13</v>
      </c>
      <c r="D516">
        <v>12.12</v>
      </c>
      <c r="E516">
        <v>28.85</v>
      </c>
      <c r="F516">
        <v>10.33</v>
      </c>
      <c r="G516">
        <v>16.600000000000001</v>
      </c>
      <c r="H516">
        <v>4.8499999999999996</v>
      </c>
      <c r="I516">
        <v>8.65</v>
      </c>
      <c r="J516">
        <v>3.1</v>
      </c>
    </row>
    <row r="517" spans="1:10" x14ac:dyDescent="0.2">
      <c r="A517" t="s">
        <v>44</v>
      </c>
      <c r="B517" t="s">
        <v>15</v>
      </c>
      <c r="C517" t="s">
        <v>14</v>
      </c>
      <c r="D517">
        <v>31.08</v>
      </c>
      <c r="E517">
        <v>19.23</v>
      </c>
      <c r="F517">
        <v>23.76</v>
      </c>
      <c r="G517">
        <v>25.33</v>
      </c>
      <c r="H517">
        <v>12.43</v>
      </c>
      <c r="I517">
        <v>5.77</v>
      </c>
      <c r="J517">
        <v>7.13</v>
      </c>
    </row>
    <row r="518" spans="1:10" x14ac:dyDescent="0.2">
      <c r="A518" t="s">
        <v>44</v>
      </c>
      <c r="B518" t="s">
        <v>16</v>
      </c>
      <c r="C518" t="s">
        <v>9</v>
      </c>
      <c r="D518">
        <v>21.21</v>
      </c>
      <c r="E518">
        <v>36.54</v>
      </c>
      <c r="F518">
        <v>4.17</v>
      </c>
      <c r="G518">
        <v>20.69</v>
      </c>
      <c r="H518">
        <v>8.48</v>
      </c>
      <c r="I518">
        <v>10.96</v>
      </c>
      <c r="J518">
        <v>1.25</v>
      </c>
    </row>
    <row r="519" spans="1:10" x14ac:dyDescent="0.2">
      <c r="A519" t="s">
        <v>44</v>
      </c>
      <c r="B519" t="s">
        <v>16</v>
      </c>
      <c r="C519" t="s">
        <v>10</v>
      </c>
      <c r="D519">
        <v>10.31</v>
      </c>
      <c r="E519">
        <v>26.92</v>
      </c>
      <c r="F519">
        <v>5.0599999999999996</v>
      </c>
      <c r="G519">
        <v>13.72</v>
      </c>
      <c r="H519">
        <v>4.12</v>
      </c>
      <c r="I519">
        <v>8.08</v>
      </c>
      <c r="J519">
        <v>1.52</v>
      </c>
    </row>
    <row r="520" spans="1:10" x14ac:dyDescent="0.2">
      <c r="A520" t="s">
        <v>44</v>
      </c>
      <c r="B520" t="s">
        <v>16</v>
      </c>
      <c r="C520" t="s">
        <v>11</v>
      </c>
      <c r="D520">
        <v>4.2</v>
      </c>
      <c r="E520">
        <v>40.380000000000003</v>
      </c>
      <c r="F520">
        <v>3.65</v>
      </c>
      <c r="G520">
        <v>14.89</v>
      </c>
      <c r="H520">
        <v>1.68</v>
      </c>
      <c r="I520">
        <v>12.12</v>
      </c>
      <c r="J520">
        <v>1.1000000000000001</v>
      </c>
    </row>
    <row r="521" spans="1:10" x14ac:dyDescent="0.2">
      <c r="A521" t="s">
        <v>44</v>
      </c>
      <c r="B521" t="s">
        <v>16</v>
      </c>
      <c r="C521" t="s">
        <v>12</v>
      </c>
      <c r="D521">
        <v>11.54</v>
      </c>
      <c r="E521">
        <v>40.380000000000003</v>
      </c>
      <c r="F521">
        <v>11.63</v>
      </c>
      <c r="G521">
        <v>20.22</v>
      </c>
      <c r="H521">
        <v>4.62</v>
      </c>
      <c r="I521">
        <v>12.12</v>
      </c>
      <c r="J521">
        <v>3.49</v>
      </c>
    </row>
    <row r="522" spans="1:10" x14ac:dyDescent="0.2">
      <c r="A522" t="s">
        <v>44</v>
      </c>
      <c r="B522" t="s">
        <v>16</v>
      </c>
      <c r="C522" t="s">
        <v>13</v>
      </c>
      <c r="D522">
        <v>5.84</v>
      </c>
      <c r="E522">
        <v>28.85</v>
      </c>
      <c r="F522">
        <v>2.42</v>
      </c>
      <c r="G522">
        <v>11.72</v>
      </c>
      <c r="H522">
        <v>2.34</v>
      </c>
      <c r="I522">
        <v>8.65</v>
      </c>
      <c r="J522">
        <v>0.73</v>
      </c>
    </row>
    <row r="523" spans="1:10" x14ac:dyDescent="0.2">
      <c r="A523" t="s">
        <v>44</v>
      </c>
      <c r="B523" t="s">
        <v>16</v>
      </c>
      <c r="C523" t="s">
        <v>14</v>
      </c>
      <c r="D523">
        <v>19.97</v>
      </c>
      <c r="E523">
        <v>19.23</v>
      </c>
      <c r="F523">
        <v>13.3</v>
      </c>
      <c r="G523">
        <v>17.75</v>
      </c>
      <c r="H523">
        <v>7.99</v>
      </c>
      <c r="I523">
        <v>5.77</v>
      </c>
      <c r="J523">
        <v>3.99</v>
      </c>
    </row>
    <row r="524" spans="1:10" x14ac:dyDescent="0.2">
      <c r="A524" t="s">
        <v>45</v>
      </c>
      <c r="B524" t="s">
        <v>8</v>
      </c>
      <c r="C524" t="s">
        <v>9</v>
      </c>
      <c r="D524">
        <v>21.53</v>
      </c>
      <c r="E524">
        <v>36.54</v>
      </c>
      <c r="F524">
        <v>3.88</v>
      </c>
      <c r="G524">
        <v>20.74</v>
      </c>
      <c r="H524">
        <v>8.61</v>
      </c>
      <c r="I524">
        <v>10.96</v>
      </c>
      <c r="J524">
        <v>1.1599999999999999</v>
      </c>
    </row>
    <row r="525" spans="1:10" x14ac:dyDescent="0.2">
      <c r="A525" t="s">
        <v>45</v>
      </c>
      <c r="B525" t="s">
        <v>8</v>
      </c>
      <c r="C525" t="s">
        <v>10</v>
      </c>
      <c r="D525">
        <v>7.65</v>
      </c>
      <c r="E525">
        <v>28.85</v>
      </c>
      <c r="F525">
        <v>5.0199999999999996</v>
      </c>
      <c r="G525">
        <v>13.22</v>
      </c>
      <c r="H525">
        <v>3.06</v>
      </c>
      <c r="I525">
        <v>8.65</v>
      </c>
      <c r="J525">
        <v>1.51</v>
      </c>
    </row>
    <row r="526" spans="1:10" x14ac:dyDescent="0.2">
      <c r="A526" t="s">
        <v>45</v>
      </c>
      <c r="B526" t="s">
        <v>8</v>
      </c>
      <c r="C526" t="s">
        <v>11</v>
      </c>
      <c r="D526">
        <v>3.6</v>
      </c>
      <c r="E526">
        <v>38.46</v>
      </c>
      <c r="F526">
        <v>2.02</v>
      </c>
      <c r="G526">
        <v>13.58</v>
      </c>
      <c r="H526">
        <v>1.44</v>
      </c>
      <c r="I526">
        <v>11.54</v>
      </c>
      <c r="J526">
        <v>0.61</v>
      </c>
    </row>
    <row r="527" spans="1:10" x14ac:dyDescent="0.2">
      <c r="A527" t="s">
        <v>45</v>
      </c>
      <c r="B527" t="s">
        <v>8</v>
      </c>
      <c r="C527" t="s">
        <v>12</v>
      </c>
      <c r="D527">
        <v>9.98</v>
      </c>
      <c r="E527">
        <v>38.46</v>
      </c>
      <c r="F527">
        <v>11.77</v>
      </c>
      <c r="G527">
        <v>19.059999999999999</v>
      </c>
      <c r="H527">
        <v>3.99</v>
      </c>
      <c r="I527">
        <v>11.54</v>
      </c>
      <c r="J527">
        <v>3.53</v>
      </c>
    </row>
    <row r="528" spans="1:10" x14ac:dyDescent="0.2">
      <c r="A528" t="s">
        <v>45</v>
      </c>
      <c r="B528" t="s">
        <v>8</v>
      </c>
      <c r="C528" t="s">
        <v>13</v>
      </c>
      <c r="D528">
        <v>8.8699999999999992</v>
      </c>
      <c r="E528">
        <v>32.69</v>
      </c>
      <c r="F528">
        <v>5</v>
      </c>
      <c r="G528">
        <v>14.86</v>
      </c>
      <c r="H528">
        <v>3.55</v>
      </c>
      <c r="I528">
        <v>9.81</v>
      </c>
      <c r="J528">
        <v>1.5</v>
      </c>
    </row>
    <row r="529" spans="1:10" x14ac:dyDescent="0.2">
      <c r="A529" t="s">
        <v>45</v>
      </c>
      <c r="B529" t="s">
        <v>8</v>
      </c>
      <c r="C529" t="s">
        <v>14</v>
      </c>
      <c r="D529">
        <v>13.88</v>
      </c>
      <c r="E529">
        <v>25</v>
      </c>
      <c r="F529">
        <v>10.73</v>
      </c>
      <c r="G529">
        <v>16.27</v>
      </c>
      <c r="H529">
        <v>5.55</v>
      </c>
      <c r="I529">
        <v>7.5</v>
      </c>
      <c r="J529">
        <v>3.22</v>
      </c>
    </row>
    <row r="530" spans="1:10" x14ac:dyDescent="0.2">
      <c r="A530" t="s">
        <v>45</v>
      </c>
      <c r="B530" t="s">
        <v>15</v>
      </c>
      <c r="C530" t="s">
        <v>9</v>
      </c>
      <c r="D530">
        <v>33.64</v>
      </c>
      <c r="E530">
        <v>36.54</v>
      </c>
      <c r="F530">
        <v>4.3600000000000003</v>
      </c>
      <c r="G530">
        <v>25.73</v>
      </c>
      <c r="H530">
        <v>13.46</v>
      </c>
      <c r="I530">
        <v>10.96</v>
      </c>
      <c r="J530">
        <v>1.31</v>
      </c>
    </row>
    <row r="531" spans="1:10" x14ac:dyDescent="0.2">
      <c r="A531" t="s">
        <v>45</v>
      </c>
      <c r="B531" t="s">
        <v>15</v>
      </c>
      <c r="C531" t="s">
        <v>10</v>
      </c>
      <c r="D531">
        <v>13.44</v>
      </c>
      <c r="E531">
        <v>28.85</v>
      </c>
      <c r="F531">
        <v>6.63</v>
      </c>
      <c r="G531">
        <v>16.02</v>
      </c>
      <c r="H531">
        <v>5.37</v>
      </c>
      <c r="I531">
        <v>8.65</v>
      </c>
      <c r="J531">
        <v>1.99</v>
      </c>
    </row>
    <row r="532" spans="1:10" x14ac:dyDescent="0.2">
      <c r="A532" t="s">
        <v>45</v>
      </c>
      <c r="B532" t="s">
        <v>15</v>
      </c>
      <c r="C532" t="s">
        <v>11</v>
      </c>
      <c r="D532">
        <v>7.47</v>
      </c>
      <c r="E532">
        <v>38.46</v>
      </c>
      <c r="F532">
        <v>2.52</v>
      </c>
      <c r="G532">
        <v>15.28</v>
      </c>
      <c r="H532">
        <v>2.99</v>
      </c>
      <c r="I532">
        <v>11.54</v>
      </c>
      <c r="J532">
        <v>0.75</v>
      </c>
    </row>
    <row r="533" spans="1:10" x14ac:dyDescent="0.2">
      <c r="A533" t="s">
        <v>45</v>
      </c>
      <c r="B533" t="s">
        <v>15</v>
      </c>
      <c r="C533" t="s">
        <v>12</v>
      </c>
      <c r="D533">
        <v>17.82</v>
      </c>
      <c r="E533">
        <v>38.46</v>
      </c>
      <c r="F533">
        <v>13.57</v>
      </c>
      <c r="G533">
        <v>22.74</v>
      </c>
      <c r="H533">
        <v>7.13</v>
      </c>
      <c r="I533">
        <v>11.54</v>
      </c>
      <c r="J533">
        <v>4.07</v>
      </c>
    </row>
    <row r="534" spans="1:10" x14ac:dyDescent="0.2">
      <c r="A534" t="s">
        <v>45</v>
      </c>
      <c r="B534" t="s">
        <v>15</v>
      </c>
      <c r="C534" t="s">
        <v>13</v>
      </c>
      <c r="D534">
        <v>15.45</v>
      </c>
      <c r="E534">
        <v>32.69</v>
      </c>
      <c r="F534">
        <v>4.34</v>
      </c>
      <c r="G534">
        <v>17.29</v>
      </c>
      <c r="H534">
        <v>6.18</v>
      </c>
      <c r="I534">
        <v>9.81</v>
      </c>
      <c r="J534">
        <v>1.3</v>
      </c>
    </row>
    <row r="535" spans="1:10" x14ac:dyDescent="0.2">
      <c r="A535" t="s">
        <v>45</v>
      </c>
      <c r="B535" t="s">
        <v>15</v>
      </c>
      <c r="C535" t="s">
        <v>14</v>
      </c>
      <c r="D535">
        <v>32.99</v>
      </c>
      <c r="E535">
        <v>25</v>
      </c>
      <c r="F535">
        <v>8.9499999999999993</v>
      </c>
      <c r="G535">
        <v>23.38</v>
      </c>
      <c r="H535">
        <v>13.19</v>
      </c>
      <c r="I535">
        <v>7.5</v>
      </c>
      <c r="J535">
        <v>2.68</v>
      </c>
    </row>
    <row r="536" spans="1:10" x14ac:dyDescent="0.2">
      <c r="A536" t="s">
        <v>45</v>
      </c>
      <c r="B536" t="s">
        <v>16</v>
      </c>
      <c r="C536" t="s">
        <v>9</v>
      </c>
      <c r="D536">
        <v>24.72</v>
      </c>
      <c r="E536">
        <v>36.54</v>
      </c>
      <c r="F536">
        <v>3.74</v>
      </c>
      <c r="G536">
        <v>21.97</v>
      </c>
      <c r="H536">
        <v>9.89</v>
      </c>
      <c r="I536">
        <v>10.96</v>
      </c>
      <c r="J536">
        <v>1.1200000000000001</v>
      </c>
    </row>
    <row r="537" spans="1:10" x14ac:dyDescent="0.2">
      <c r="A537" t="s">
        <v>45</v>
      </c>
      <c r="B537" t="s">
        <v>16</v>
      </c>
      <c r="C537" t="s">
        <v>10</v>
      </c>
      <c r="D537">
        <v>11.3</v>
      </c>
      <c r="E537">
        <v>28.85</v>
      </c>
      <c r="F537">
        <v>5.26</v>
      </c>
      <c r="G537">
        <v>14.75</v>
      </c>
      <c r="H537">
        <v>4.5199999999999996</v>
      </c>
      <c r="I537">
        <v>8.65</v>
      </c>
      <c r="J537">
        <v>1.58</v>
      </c>
    </row>
    <row r="538" spans="1:10" x14ac:dyDescent="0.2">
      <c r="A538" t="s">
        <v>45</v>
      </c>
      <c r="B538" t="s">
        <v>16</v>
      </c>
      <c r="C538" t="s">
        <v>11</v>
      </c>
      <c r="D538">
        <v>4.5199999999999996</v>
      </c>
      <c r="E538">
        <v>38.46</v>
      </c>
      <c r="F538">
        <v>2.25</v>
      </c>
      <c r="G538">
        <v>14.02</v>
      </c>
      <c r="H538">
        <v>1.81</v>
      </c>
      <c r="I538">
        <v>11.54</v>
      </c>
      <c r="J538">
        <v>0.67</v>
      </c>
    </row>
    <row r="539" spans="1:10" x14ac:dyDescent="0.2">
      <c r="A539" t="s">
        <v>45</v>
      </c>
      <c r="B539" t="s">
        <v>16</v>
      </c>
      <c r="C539" t="s">
        <v>12</v>
      </c>
      <c r="D539">
        <v>11.7</v>
      </c>
      <c r="E539">
        <v>38.46</v>
      </c>
      <c r="F539">
        <v>6.9</v>
      </c>
      <c r="G539">
        <v>18.29</v>
      </c>
      <c r="H539">
        <v>4.68</v>
      </c>
      <c r="I539">
        <v>11.54</v>
      </c>
      <c r="J539">
        <v>2.0699999999999998</v>
      </c>
    </row>
    <row r="540" spans="1:10" x14ac:dyDescent="0.2">
      <c r="A540" t="s">
        <v>45</v>
      </c>
      <c r="B540" t="s">
        <v>16</v>
      </c>
      <c r="C540" t="s">
        <v>13</v>
      </c>
      <c r="D540">
        <v>8.5399999999999991</v>
      </c>
      <c r="E540">
        <v>32.69</v>
      </c>
      <c r="F540">
        <v>4.49</v>
      </c>
      <c r="G540">
        <v>14.57</v>
      </c>
      <c r="H540">
        <v>3.41</v>
      </c>
      <c r="I540">
        <v>9.81</v>
      </c>
      <c r="J540">
        <v>1.35</v>
      </c>
    </row>
    <row r="541" spans="1:10" x14ac:dyDescent="0.2">
      <c r="A541" t="s">
        <v>45</v>
      </c>
      <c r="B541" t="s">
        <v>16</v>
      </c>
      <c r="C541" t="s">
        <v>14</v>
      </c>
      <c r="D541">
        <v>19.27</v>
      </c>
      <c r="E541">
        <v>25</v>
      </c>
      <c r="F541">
        <v>7.71</v>
      </c>
      <c r="G541">
        <v>17.52</v>
      </c>
      <c r="H541">
        <v>7.71</v>
      </c>
      <c r="I541">
        <v>7.5</v>
      </c>
      <c r="J541">
        <v>2.31</v>
      </c>
    </row>
    <row r="542" spans="1:10" x14ac:dyDescent="0.2">
      <c r="A542" t="s">
        <v>46</v>
      </c>
      <c r="B542" t="s">
        <v>8</v>
      </c>
      <c r="C542" t="s">
        <v>9</v>
      </c>
      <c r="D542">
        <v>14.51</v>
      </c>
      <c r="E542">
        <v>34.619999999999997</v>
      </c>
      <c r="F542">
        <v>4.71</v>
      </c>
      <c r="G542">
        <v>17.600000000000001</v>
      </c>
      <c r="H542">
        <v>5.8</v>
      </c>
      <c r="I542">
        <v>10.38</v>
      </c>
      <c r="J542">
        <v>1.41</v>
      </c>
    </row>
    <row r="543" spans="1:10" x14ac:dyDescent="0.2">
      <c r="A543" t="s">
        <v>46</v>
      </c>
      <c r="B543" t="s">
        <v>8</v>
      </c>
      <c r="C543" t="s">
        <v>10</v>
      </c>
      <c r="D543">
        <v>7.85</v>
      </c>
      <c r="E543">
        <v>28.85</v>
      </c>
      <c r="F543">
        <v>5.71</v>
      </c>
      <c r="G543">
        <v>13.51</v>
      </c>
      <c r="H543">
        <v>3.14</v>
      </c>
      <c r="I543">
        <v>8.65</v>
      </c>
      <c r="J543">
        <v>1.71</v>
      </c>
    </row>
    <row r="544" spans="1:10" x14ac:dyDescent="0.2">
      <c r="A544" t="s">
        <v>46</v>
      </c>
      <c r="B544" t="s">
        <v>8</v>
      </c>
      <c r="C544" t="s">
        <v>11</v>
      </c>
      <c r="D544">
        <v>3.48</v>
      </c>
      <c r="E544">
        <v>40.380000000000003</v>
      </c>
      <c r="F544">
        <v>4.01</v>
      </c>
      <c r="G544">
        <v>14.71</v>
      </c>
      <c r="H544">
        <v>1.39</v>
      </c>
      <c r="I544">
        <v>12.12</v>
      </c>
      <c r="J544">
        <v>1.2</v>
      </c>
    </row>
    <row r="545" spans="1:10" x14ac:dyDescent="0.2">
      <c r="A545" t="s">
        <v>46</v>
      </c>
      <c r="B545" t="s">
        <v>8</v>
      </c>
      <c r="C545" t="s">
        <v>12</v>
      </c>
      <c r="D545">
        <v>9.49</v>
      </c>
      <c r="E545">
        <v>44.23</v>
      </c>
      <c r="F545">
        <v>16.420000000000002</v>
      </c>
      <c r="G545">
        <v>21.99</v>
      </c>
      <c r="H545">
        <v>3.79</v>
      </c>
      <c r="I545">
        <v>13.27</v>
      </c>
      <c r="J545">
        <v>4.93</v>
      </c>
    </row>
    <row r="546" spans="1:10" x14ac:dyDescent="0.2">
      <c r="A546" t="s">
        <v>46</v>
      </c>
      <c r="B546" t="s">
        <v>8</v>
      </c>
      <c r="C546" t="s">
        <v>13</v>
      </c>
      <c r="D546">
        <v>7.3</v>
      </c>
      <c r="E546">
        <v>32.69</v>
      </c>
      <c r="F546">
        <v>6.81</v>
      </c>
      <c r="G546">
        <v>14.77</v>
      </c>
      <c r="H546">
        <v>2.92</v>
      </c>
      <c r="I546">
        <v>9.81</v>
      </c>
      <c r="J546">
        <v>2.04</v>
      </c>
    </row>
    <row r="547" spans="1:10" x14ac:dyDescent="0.2">
      <c r="A547" t="s">
        <v>46</v>
      </c>
      <c r="B547" t="s">
        <v>8</v>
      </c>
      <c r="C547" t="s">
        <v>14</v>
      </c>
      <c r="D547">
        <v>11.3</v>
      </c>
      <c r="E547">
        <v>23.08</v>
      </c>
      <c r="F547">
        <v>10.75</v>
      </c>
      <c r="G547">
        <v>14.67</v>
      </c>
      <c r="H547">
        <v>4.5199999999999996</v>
      </c>
      <c r="I547">
        <v>6.92</v>
      </c>
      <c r="J547">
        <v>3.23</v>
      </c>
    </row>
    <row r="548" spans="1:10" x14ac:dyDescent="0.2">
      <c r="A548" t="s">
        <v>46</v>
      </c>
      <c r="B548" t="s">
        <v>15</v>
      </c>
      <c r="C548" t="s">
        <v>9</v>
      </c>
      <c r="D548">
        <v>24.4</v>
      </c>
      <c r="E548">
        <v>34.619999999999997</v>
      </c>
      <c r="F548">
        <v>3.9</v>
      </c>
      <c r="G548">
        <v>21.32</v>
      </c>
      <c r="H548">
        <v>9.76</v>
      </c>
      <c r="I548">
        <v>10.38</v>
      </c>
      <c r="J548">
        <v>1.17</v>
      </c>
    </row>
    <row r="549" spans="1:10" x14ac:dyDescent="0.2">
      <c r="A549" t="s">
        <v>46</v>
      </c>
      <c r="B549" t="s">
        <v>15</v>
      </c>
      <c r="C549" t="s">
        <v>10</v>
      </c>
      <c r="D549">
        <v>11.2</v>
      </c>
      <c r="E549">
        <v>28.85</v>
      </c>
      <c r="F549">
        <v>6.4</v>
      </c>
      <c r="G549">
        <v>15.05</v>
      </c>
      <c r="H549">
        <v>4.4800000000000004</v>
      </c>
      <c r="I549">
        <v>8.65</v>
      </c>
      <c r="J549">
        <v>1.92</v>
      </c>
    </row>
    <row r="550" spans="1:10" x14ac:dyDescent="0.2">
      <c r="A550" t="s">
        <v>46</v>
      </c>
      <c r="B550" t="s">
        <v>15</v>
      </c>
      <c r="C550" t="s">
        <v>11</v>
      </c>
      <c r="D550">
        <v>6.58</v>
      </c>
      <c r="E550">
        <v>40.380000000000003</v>
      </c>
      <c r="F550">
        <v>3.52</v>
      </c>
      <c r="G550">
        <v>15.8</v>
      </c>
      <c r="H550">
        <v>2.63</v>
      </c>
      <c r="I550">
        <v>12.12</v>
      </c>
      <c r="J550">
        <v>1.06</v>
      </c>
    </row>
    <row r="551" spans="1:10" x14ac:dyDescent="0.2">
      <c r="A551" t="s">
        <v>46</v>
      </c>
      <c r="B551" t="s">
        <v>15</v>
      </c>
      <c r="C551" t="s">
        <v>12</v>
      </c>
      <c r="D551">
        <v>14.72</v>
      </c>
      <c r="E551">
        <v>44.23</v>
      </c>
      <c r="F551">
        <v>16.57</v>
      </c>
      <c r="G551">
        <v>24.13</v>
      </c>
      <c r="H551">
        <v>5.89</v>
      </c>
      <c r="I551">
        <v>13.27</v>
      </c>
      <c r="J551">
        <v>4.97</v>
      </c>
    </row>
    <row r="552" spans="1:10" x14ac:dyDescent="0.2">
      <c r="A552" t="s">
        <v>46</v>
      </c>
      <c r="B552" t="s">
        <v>15</v>
      </c>
      <c r="C552" t="s">
        <v>13</v>
      </c>
      <c r="D552">
        <v>14.59</v>
      </c>
      <c r="E552">
        <v>32.69</v>
      </c>
      <c r="F552">
        <v>8.83</v>
      </c>
      <c r="G552">
        <v>18.29</v>
      </c>
      <c r="H552">
        <v>5.83</v>
      </c>
      <c r="I552">
        <v>9.81</v>
      </c>
      <c r="J552">
        <v>2.65</v>
      </c>
    </row>
    <row r="553" spans="1:10" x14ac:dyDescent="0.2">
      <c r="A553" t="s">
        <v>46</v>
      </c>
      <c r="B553" t="s">
        <v>15</v>
      </c>
      <c r="C553" t="s">
        <v>14</v>
      </c>
      <c r="D553">
        <v>31.51</v>
      </c>
      <c r="E553">
        <v>23.08</v>
      </c>
      <c r="F553">
        <v>12.46</v>
      </c>
      <c r="G553">
        <v>23.27</v>
      </c>
      <c r="H553">
        <v>12.61</v>
      </c>
      <c r="I553">
        <v>6.92</v>
      </c>
      <c r="J553">
        <v>3.74</v>
      </c>
    </row>
    <row r="554" spans="1:10" x14ac:dyDescent="0.2">
      <c r="A554" t="s">
        <v>46</v>
      </c>
      <c r="B554" t="s">
        <v>16</v>
      </c>
      <c r="C554" t="s">
        <v>9</v>
      </c>
      <c r="D554">
        <v>19.09</v>
      </c>
      <c r="E554">
        <v>34.619999999999997</v>
      </c>
      <c r="F554">
        <v>2.72</v>
      </c>
      <c r="G554">
        <v>18.84</v>
      </c>
      <c r="H554">
        <v>7.64</v>
      </c>
      <c r="I554">
        <v>10.38</v>
      </c>
      <c r="J554">
        <v>0.82</v>
      </c>
    </row>
    <row r="555" spans="1:10" x14ac:dyDescent="0.2">
      <c r="A555" t="s">
        <v>46</v>
      </c>
      <c r="B555" t="s">
        <v>16</v>
      </c>
      <c r="C555" t="s">
        <v>10</v>
      </c>
      <c r="D555">
        <v>9.86</v>
      </c>
      <c r="E555">
        <v>28.85</v>
      </c>
      <c r="F555">
        <v>9.2799999999999994</v>
      </c>
      <c r="G555">
        <v>15.38</v>
      </c>
      <c r="H555">
        <v>3.95</v>
      </c>
      <c r="I555">
        <v>8.65</v>
      </c>
      <c r="J555">
        <v>2.78</v>
      </c>
    </row>
    <row r="556" spans="1:10" x14ac:dyDescent="0.2">
      <c r="A556" t="s">
        <v>46</v>
      </c>
      <c r="B556" t="s">
        <v>16</v>
      </c>
      <c r="C556" t="s">
        <v>11</v>
      </c>
      <c r="D556">
        <v>3.87</v>
      </c>
      <c r="E556">
        <v>40.380000000000003</v>
      </c>
      <c r="F556">
        <v>3.16</v>
      </c>
      <c r="G556">
        <v>14.61</v>
      </c>
      <c r="H556">
        <v>1.55</v>
      </c>
      <c r="I556">
        <v>12.12</v>
      </c>
      <c r="J556">
        <v>0.95</v>
      </c>
    </row>
    <row r="557" spans="1:10" x14ac:dyDescent="0.2">
      <c r="A557" t="s">
        <v>46</v>
      </c>
      <c r="B557" t="s">
        <v>16</v>
      </c>
      <c r="C557" t="s">
        <v>12</v>
      </c>
      <c r="D557">
        <v>11.35</v>
      </c>
      <c r="E557">
        <v>44.23</v>
      </c>
      <c r="F557">
        <v>14.54</v>
      </c>
      <c r="G557">
        <v>22.17</v>
      </c>
      <c r="H557">
        <v>4.54</v>
      </c>
      <c r="I557">
        <v>13.27</v>
      </c>
      <c r="J557">
        <v>4.3600000000000003</v>
      </c>
    </row>
    <row r="558" spans="1:10" x14ac:dyDescent="0.2">
      <c r="A558" t="s">
        <v>46</v>
      </c>
      <c r="B558" t="s">
        <v>16</v>
      </c>
      <c r="C558" t="s">
        <v>13</v>
      </c>
      <c r="D558">
        <v>7.15</v>
      </c>
      <c r="E558">
        <v>32.69</v>
      </c>
      <c r="F558">
        <v>4.2300000000000004</v>
      </c>
      <c r="G558">
        <v>13.94</v>
      </c>
      <c r="H558">
        <v>2.86</v>
      </c>
      <c r="I558">
        <v>9.81</v>
      </c>
      <c r="J558">
        <v>1.27</v>
      </c>
    </row>
    <row r="559" spans="1:10" x14ac:dyDescent="0.2">
      <c r="A559" t="s">
        <v>46</v>
      </c>
      <c r="B559" t="s">
        <v>16</v>
      </c>
      <c r="C559" t="s">
        <v>14</v>
      </c>
      <c r="D559">
        <v>18.11</v>
      </c>
      <c r="E559">
        <v>23.08</v>
      </c>
      <c r="F559">
        <v>10.53</v>
      </c>
      <c r="G559">
        <v>17.329999999999998</v>
      </c>
      <c r="H559">
        <v>7.25</v>
      </c>
      <c r="I559">
        <v>6.92</v>
      </c>
      <c r="J559">
        <v>3.16</v>
      </c>
    </row>
    <row r="560" spans="1:10" x14ac:dyDescent="0.2">
      <c r="A560" t="s">
        <v>47</v>
      </c>
      <c r="B560" t="s">
        <v>8</v>
      </c>
      <c r="C560" t="s">
        <v>9</v>
      </c>
      <c r="D560">
        <v>21.04</v>
      </c>
      <c r="E560">
        <v>36.54</v>
      </c>
      <c r="F560">
        <v>4.05</v>
      </c>
      <c r="G560">
        <v>20.6</v>
      </c>
      <c r="H560">
        <v>8.42</v>
      </c>
      <c r="I560">
        <v>10.96</v>
      </c>
      <c r="J560">
        <v>1.22</v>
      </c>
    </row>
    <row r="561" spans="1:10" x14ac:dyDescent="0.2">
      <c r="A561" t="s">
        <v>47</v>
      </c>
      <c r="B561" t="s">
        <v>8</v>
      </c>
      <c r="C561" t="s">
        <v>10</v>
      </c>
      <c r="D561">
        <v>8.52</v>
      </c>
      <c r="E561">
        <v>28.85</v>
      </c>
      <c r="F561">
        <v>4.59</v>
      </c>
      <c r="G561">
        <v>13.44</v>
      </c>
      <c r="H561">
        <v>3.41</v>
      </c>
      <c r="I561">
        <v>8.65</v>
      </c>
      <c r="J561">
        <v>1.38</v>
      </c>
    </row>
    <row r="562" spans="1:10" x14ac:dyDescent="0.2">
      <c r="A562" t="s">
        <v>47</v>
      </c>
      <c r="B562" t="s">
        <v>8</v>
      </c>
      <c r="C562" t="s">
        <v>11</v>
      </c>
      <c r="D562">
        <v>4.09</v>
      </c>
      <c r="E562">
        <v>40.380000000000003</v>
      </c>
      <c r="F562">
        <v>6.41</v>
      </c>
      <c r="G562">
        <v>15.67</v>
      </c>
      <c r="H562">
        <v>1.63</v>
      </c>
      <c r="I562">
        <v>12.12</v>
      </c>
      <c r="J562">
        <v>1.92</v>
      </c>
    </row>
    <row r="563" spans="1:10" x14ac:dyDescent="0.2">
      <c r="A563" t="s">
        <v>47</v>
      </c>
      <c r="B563" t="s">
        <v>8</v>
      </c>
      <c r="C563" t="s">
        <v>12</v>
      </c>
      <c r="D563">
        <v>10.99</v>
      </c>
      <c r="E563">
        <v>46.15</v>
      </c>
      <c r="F563">
        <v>16.690000000000001</v>
      </c>
      <c r="G563">
        <v>23.25</v>
      </c>
      <c r="H563">
        <v>4.4000000000000004</v>
      </c>
      <c r="I563">
        <v>13.85</v>
      </c>
      <c r="J563">
        <v>5.01</v>
      </c>
    </row>
    <row r="564" spans="1:10" x14ac:dyDescent="0.2">
      <c r="A564" t="s">
        <v>47</v>
      </c>
      <c r="B564" t="s">
        <v>8</v>
      </c>
      <c r="C564" t="s">
        <v>13</v>
      </c>
      <c r="D564">
        <v>9.89</v>
      </c>
      <c r="E564">
        <v>36.54</v>
      </c>
      <c r="F564">
        <v>8.16</v>
      </c>
      <c r="G564">
        <v>17.37</v>
      </c>
      <c r="H564">
        <v>3.96</v>
      </c>
      <c r="I564">
        <v>10.96</v>
      </c>
      <c r="J564">
        <v>2.4500000000000002</v>
      </c>
    </row>
    <row r="565" spans="1:10" x14ac:dyDescent="0.2">
      <c r="A565" t="s">
        <v>47</v>
      </c>
      <c r="B565" t="s">
        <v>8</v>
      </c>
      <c r="C565" t="s">
        <v>14</v>
      </c>
      <c r="D565">
        <v>15.8</v>
      </c>
      <c r="E565">
        <v>23.08</v>
      </c>
      <c r="F565">
        <v>12.77</v>
      </c>
      <c r="G565">
        <v>17.07</v>
      </c>
      <c r="H565">
        <v>6.32</v>
      </c>
      <c r="I565">
        <v>6.92</v>
      </c>
      <c r="J565">
        <v>3.83</v>
      </c>
    </row>
    <row r="566" spans="1:10" x14ac:dyDescent="0.2">
      <c r="A566" t="s">
        <v>47</v>
      </c>
      <c r="B566" t="s">
        <v>15</v>
      </c>
      <c r="C566" t="s">
        <v>9</v>
      </c>
      <c r="D566">
        <v>30.39</v>
      </c>
      <c r="E566">
        <v>36.54</v>
      </c>
      <c r="F566">
        <v>10.029999999999999</v>
      </c>
      <c r="G566">
        <v>26.13</v>
      </c>
      <c r="H566">
        <v>12.16</v>
      </c>
      <c r="I566">
        <v>10.96</v>
      </c>
      <c r="J566">
        <v>3.01</v>
      </c>
    </row>
    <row r="567" spans="1:10" x14ac:dyDescent="0.2">
      <c r="A567" t="s">
        <v>47</v>
      </c>
      <c r="B567" t="s">
        <v>15</v>
      </c>
      <c r="C567" t="s">
        <v>10</v>
      </c>
      <c r="D567">
        <v>13.53</v>
      </c>
      <c r="E567">
        <v>28.85</v>
      </c>
      <c r="F567">
        <v>7.84</v>
      </c>
      <c r="G567">
        <v>16.420000000000002</v>
      </c>
      <c r="H567">
        <v>5.41</v>
      </c>
      <c r="I567">
        <v>8.65</v>
      </c>
      <c r="J567">
        <v>2.35</v>
      </c>
    </row>
    <row r="568" spans="1:10" x14ac:dyDescent="0.2">
      <c r="A568" t="s">
        <v>47</v>
      </c>
      <c r="B568" t="s">
        <v>15</v>
      </c>
      <c r="C568" t="s">
        <v>11</v>
      </c>
      <c r="D568">
        <v>7.4</v>
      </c>
      <c r="E568">
        <v>40.380000000000003</v>
      </c>
      <c r="F568">
        <v>5.87</v>
      </c>
      <c r="G568">
        <v>16.84</v>
      </c>
      <c r="H568">
        <v>2.96</v>
      </c>
      <c r="I568">
        <v>12.12</v>
      </c>
      <c r="J568">
        <v>1.76</v>
      </c>
    </row>
    <row r="569" spans="1:10" x14ac:dyDescent="0.2">
      <c r="A569" t="s">
        <v>47</v>
      </c>
      <c r="B569" t="s">
        <v>15</v>
      </c>
      <c r="C569" t="s">
        <v>12</v>
      </c>
      <c r="D569">
        <v>17.46</v>
      </c>
      <c r="E569">
        <v>46.15</v>
      </c>
      <c r="F569">
        <v>12.14</v>
      </c>
      <c r="G569">
        <v>24.47</v>
      </c>
      <c r="H569">
        <v>6.99</v>
      </c>
      <c r="I569">
        <v>13.85</v>
      </c>
      <c r="J569">
        <v>3.64</v>
      </c>
    </row>
    <row r="570" spans="1:10" x14ac:dyDescent="0.2">
      <c r="A570" t="s">
        <v>47</v>
      </c>
      <c r="B570" t="s">
        <v>15</v>
      </c>
      <c r="C570" t="s">
        <v>13</v>
      </c>
      <c r="D570">
        <v>17.760000000000002</v>
      </c>
      <c r="E570">
        <v>36.54</v>
      </c>
      <c r="F570">
        <v>15.94</v>
      </c>
      <c r="G570">
        <v>22.85</v>
      </c>
      <c r="H570">
        <v>7.1</v>
      </c>
      <c r="I570">
        <v>10.96</v>
      </c>
      <c r="J570">
        <v>4.78</v>
      </c>
    </row>
    <row r="571" spans="1:10" x14ac:dyDescent="0.2">
      <c r="A571" t="s">
        <v>47</v>
      </c>
      <c r="B571" t="s">
        <v>15</v>
      </c>
      <c r="C571" t="s">
        <v>14</v>
      </c>
      <c r="D571">
        <v>37.9</v>
      </c>
      <c r="E571">
        <v>23.08</v>
      </c>
      <c r="F571">
        <v>25.26</v>
      </c>
      <c r="G571">
        <v>29.66</v>
      </c>
      <c r="H571">
        <v>15.16</v>
      </c>
      <c r="I571">
        <v>6.92</v>
      </c>
      <c r="J571">
        <v>7.58</v>
      </c>
    </row>
    <row r="572" spans="1:10" x14ac:dyDescent="0.2">
      <c r="A572" t="s">
        <v>47</v>
      </c>
      <c r="B572" t="s">
        <v>16</v>
      </c>
      <c r="C572" t="s">
        <v>9</v>
      </c>
      <c r="D572">
        <v>24.82</v>
      </c>
      <c r="E572">
        <v>36.54</v>
      </c>
      <c r="F572">
        <v>5.0599999999999996</v>
      </c>
      <c r="G572">
        <v>22.41</v>
      </c>
      <c r="H572">
        <v>9.93</v>
      </c>
      <c r="I572">
        <v>10.96</v>
      </c>
      <c r="J572">
        <v>1.52</v>
      </c>
    </row>
    <row r="573" spans="1:10" x14ac:dyDescent="0.2">
      <c r="A573" t="s">
        <v>47</v>
      </c>
      <c r="B573" t="s">
        <v>16</v>
      </c>
      <c r="C573" t="s">
        <v>10</v>
      </c>
      <c r="D573">
        <v>11.24</v>
      </c>
      <c r="E573">
        <v>28.85</v>
      </c>
      <c r="F573">
        <v>7.27</v>
      </c>
      <c r="G573">
        <v>15.33</v>
      </c>
      <c r="H573">
        <v>4.5</v>
      </c>
      <c r="I573">
        <v>8.65</v>
      </c>
      <c r="J573">
        <v>2.1800000000000002</v>
      </c>
    </row>
    <row r="574" spans="1:10" x14ac:dyDescent="0.2">
      <c r="A574" t="s">
        <v>47</v>
      </c>
      <c r="B574" t="s">
        <v>16</v>
      </c>
      <c r="C574" t="s">
        <v>11</v>
      </c>
      <c r="D574">
        <v>5.66</v>
      </c>
      <c r="E574">
        <v>40.380000000000003</v>
      </c>
      <c r="F574">
        <v>5.04</v>
      </c>
      <c r="G574">
        <v>15.89</v>
      </c>
      <c r="H574">
        <v>2.2599999999999998</v>
      </c>
      <c r="I574">
        <v>12.12</v>
      </c>
      <c r="J574">
        <v>1.51</v>
      </c>
    </row>
    <row r="575" spans="1:10" x14ac:dyDescent="0.2">
      <c r="A575" t="s">
        <v>47</v>
      </c>
      <c r="B575" t="s">
        <v>16</v>
      </c>
      <c r="C575" t="s">
        <v>12</v>
      </c>
      <c r="D575">
        <v>13.75</v>
      </c>
      <c r="E575">
        <v>46.15</v>
      </c>
      <c r="F575">
        <v>18.89</v>
      </c>
      <c r="G575">
        <v>25.01</v>
      </c>
      <c r="H575">
        <v>5.5</v>
      </c>
      <c r="I575">
        <v>13.85</v>
      </c>
      <c r="J575">
        <v>5.67</v>
      </c>
    </row>
    <row r="576" spans="1:10" x14ac:dyDescent="0.2">
      <c r="A576" t="s">
        <v>47</v>
      </c>
      <c r="B576" t="s">
        <v>16</v>
      </c>
      <c r="C576" t="s">
        <v>13</v>
      </c>
      <c r="D576">
        <v>8.9499999999999993</v>
      </c>
      <c r="E576">
        <v>36.54</v>
      </c>
      <c r="F576">
        <v>3.9</v>
      </c>
      <c r="G576">
        <v>15.71</v>
      </c>
      <c r="H576">
        <v>3.58</v>
      </c>
      <c r="I576">
        <v>10.96</v>
      </c>
      <c r="J576">
        <v>1.17</v>
      </c>
    </row>
    <row r="577" spans="1:10" x14ac:dyDescent="0.2">
      <c r="A577" t="s">
        <v>47</v>
      </c>
      <c r="B577" t="s">
        <v>16</v>
      </c>
      <c r="C577" t="s">
        <v>14</v>
      </c>
      <c r="D577">
        <v>22.01</v>
      </c>
      <c r="E577">
        <v>23.08</v>
      </c>
      <c r="F577">
        <v>11.59</v>
      </c>
      <c r="G577">
        <v>19.2</v>
      </c>
      <c r="H577">
        <v>8.8000000000000007</v>
      </c>
      <c r="I577">
        <v>6.92</v>
      </c>
      <c r="J577">
        <v>3.48</v>
      </c>
    </row>
    <row r="578" spans="1:10" x14ac:dyDescent="0.2">
      <c r="A578" t="s">
        <v>48</v>
      </c>
      <c r="B578" t="s">
        <v>8</v>
      </c>
      <c r="C578" t="s">
        <v>9</v>
      </c>
      <c r="D578">
        <v>22.76</v>
      </c>
      <c r="E578">
        <v>32.69</v>
      </c>
      <c r="F578">
        <v>5.51</v>
      </c>
      <c r="G578">
        <v>20.56</v>
      </c>
      <c r="H578">
        <v>9.1</v>
      </c>
      <c r="I578">
        <v>9.81</v>
      </c>
      <c r="J578">
        <v>1.65</v>
      </c>
    </row>
    <row r="579" spans="1:10" x14ac:dyDescent="0.2">
      <c r="A579" t="s">
        <v>48</v>
      </c>
      <c r="B579" t="s">
        <v>8</v>
      </c>
      <c r="C579" t="s">
        <v>10</v>
      </c>
      <c r="D579">
        <v>8.19</v>
      </c>
      <c r="E579">
        <v>30.77</v>
      </c>
      <c r="F579">
        <v>4.93</v>
      </c>
      <c r="G579">
        <v>13.99</v>
      </c>
      <c r="H579">
        <v>3.27</v>
      </c>
      <c r="I579">
        <v>9.23</v>
      </c>
      <c r="J579">
        <v>1.48</v>
      </c>
    </row>
    <row r="580" spans="1:10" x14ac:dyDescent="0.2">
      <c r="A580" t="s">
        <v>48</v>
      </c>
      <c r="B580" t="s">
        <v>8</v>
      </c>
      <c r="C580" t="s">
        <v>11</v>
      </c>
      <c r="D580">
        <v>2.73</v>
      </c>
      <c r="E580">
        <v>40.380000000000003</v>
      </c>
      <c r="F580">
        <v>4.82</v>
      </c>
      <c r="G580">
        <v>14.65</v>
      </c>
      <c r="H580">
        <v>1.0900000000000001</v>
      </c>
      <c r="I580">
        <v>12.12</v>
      </c>
      <c r="J580">
        <v>1.45</v>
      </c>
    </row>
    <row r="581" spans="1:10" x14ac:dyDescent="0.2">
      <c r="A581" t="s">
        <v>48</v>
      </c>
      <c r="B581" t="s">
        <v>8</v>
      </c>
      <c r="C581" t="s">
        <v>12</v>
      </c>
      <c r="D581">
        <v>10.09</v>
      </c>
      <c r="E581">
        <v>48.08</v>
      </c>
      <c r="F581">
        <v>17.690000000000001</v>
      </c>
      <c r="G581">
        <v>23.77</v>
      </c>
      <c r="H581">
        <v>4.04</v>
      </c>
      <c r="I581">
        <v>14.42</v>
      </c>
      <c r="J581">
        <v>5.31</v>
      </c>
    </row>
    <row r="582" spans="1:10" x14ac:dyDescent="0.2">
      <c r="A582" t="s">
        <v>48</v>
      </c>
      <c r="B582" t="s">
        <v>8</v>
      </c>
      <c r="C582" t="s">
        <v>13</v>
      </c>
      <c r="D582">
        <v>11.44</v>
      </c>
      <c r="E582">
        <v>38.46</v>
      </c>
      <c r="F582">
        <v>7.88</v>
      </c>
      <c r="G582">
        <v>18.48</v>
      </c>
      <c r="H582">
        <v>4.58</v>
      </c>
      <c r="I582">
        <v>11.54</v>
      </c>
      <c r="J582">
        <v>2.36</v>
      </c>
    </row>
    <row r="583" spans="1:10" x14ac:dyDescent="0.2">
      <c r="A583" t="s">
        <v>48</v>
      </c>
      <c r="B583" t="s">
        <v>8</v>
      </c>
      <c r="C583" t="s">
        <v>14</v>
      </c>
      <c r="D583">
        <v>15.04</v>
      </c>
      <c r="E583">
        <v>30.77</v>
      </c>
      <c r="F583">
        <v>14.6</v>
      </c>
      <c r="G583">
        <v>19.62</v>
      </c>
      <c r="H583">
        <v>6.01</v>
      </c>
      <c r="I583">
        <v>9.23</v>
      </c>
      <c r="J583">
        <v>4.38</v>
      </c>
    </row>
    <row r="584" spans="1:10" x14ac:dyDescent="0.2">
      <c r="A584" t="s">
        <v>48</v>
      </c>
      <c r="B584" t="s">
        <v>15</v>
      </c>
      <c r="C584" t="s">
        <v>9</v>
      </c>
      <c r="D584">
        <v>32.35</v>
      </c>
      <c r="E584">
        <v>32.69</v>
      </c>
      <c r="F584">
        <v>7.15</v>
      </c>
      <c r="G584">
        <v>24.89</v>
      </c>
      <c r="H584">
        <v>12.94</v>
      </c>
      <c r="I584">
        <v>9.81</v>
      </c>
      <c r="J584">
        <v>2.15</v>
      </c>
    </row>
    <row r="585" spans="1:10" x14ac:dyDescent="0.2">
      <c r="A585" t="s">
        <v>48</v>
      </c>
      <c r="B585" t="s">
        <v>15</v>
      </c>
      <c r="C585" t="s">
        <v>10</v>
      </c>
      <c r="D585">
        <v>14.41</v>
      </c>
      <c r="E585">
        <v>30.77</v>
      </c>
      <c r="F585">
        <v>7.06</v>
      </c>
      <c r="G585">
        <v>17.11</v>
      </c>
      <c r="H585">
        <v>5.76</v>
      </c>
      <c r="I585">
        <v>9.23</v>
      </c>
      <c r="J585">
        <v>2.12</v>
      </c>
    </row>
    <row r="586" spans="1:10" x14ac:dyDescent="0.2">
      <c r="A586" t="s">
        <v>48</v>
      </c>
      <c r="B586" t="s">
        <v>15</v>
      </c>
      <c r="C586" t="s">
        <v>11</v>
      </c>
      <c r="D586">
        <v>6.03</v>
      </c>
      <c r="E586">
        <v>40.380000000000003</v>
      </c>
      <c r="F586">
        <v>5.57</v>
      </c>
      <c r="G586">
        <v>16.2</v>
      </c>
      <c r="H586">
        <v>2.41</v>
      </c>
      <c r="I586">
        <v>12.12</v>
      </c>
      <c r="J586">
        <v>1.67</v>
      </c>
    </row>
    <row r="587" spans="1:10" x14ac:dyDescent="0.2">
      <c r="A587" t="s">
        <v>48</v>
      </c>
      <c r="B587" t="s">
        <v>15</v>
      </c>
      <c r="C587" t="s">
        <v>12</v>
      </c>
      <c r="D587">
        <v>16.809999999999999</v>
      </c>
      <c r="E587">
        <v>48.08</v>
      </c>
      <c r="F587">
        <v>15.74</v>
      </c>
      <c r="G587">
        <v>25.87</v>
      </c>
      <c r="H587">
        <v>6.72</v>
      </c>
      <c r="I587">
        <v>14.42</v>
      </c>
      <c r="J587">
        <v>4.72</v>
      </c>
    </row>
    <row r="588" spans="1:10" x14ac:dyDescent="0.2">
      <c r="A588" t="s">
        <v>48</v>
      </c>
      <c r="B588" t="s">
        <v>15</v>
      </c>
      <c r="C588" t="s">
        <v>13</v>
      </c>
      <c r="D588">
        <v>20.2</v>
      </c>
      <c r="E588">
        <v>38.46</v>
      </c>
      <c r="F588">
        <v>12.68</v>
      </c>
      <c r="G588">
        <v>23.42</v>
      </c>
      <c r="H588">
        <v>8.08</v>
      </c>
      <c r="I588">
        <v>11.54</v>
      </c>
      <c r="J588">
        <v>3.8</v>
      </c>
    </row>
    <row r="589" spans="1:10" x14ac:dyDescent="0.2">
      <c r="A589" t="s">
        <v>48</v>
      </c>
      <c r="B589" t="s">
        <v>15</v>
      </c>
      <c r="C589" t="s">
        <v>14</v>
      </c>
      <c r="D589">
        <v>35.15</v>
      </c>
      <c r="E589">
        <v>30.77</v>
      </c>
      <c r="F589">
        <v>49.32</v>
      </c>
      <c r="G589">
        <v>38.090000000000003</v>
      </c>
      <c r="H589">
        <v>14.06</v>
      </c>
      <c r="I589">
        <v>9.23</v>
      </c>
      <c r="J589">
        <v>14.8</v>
      </c>
    </row>
    <row r="590" spans="1:10" x14ac:dyDescent="0.2">
      <c r="A590" t="s">
        <v>48</v>
      </c>
      <c r="B590" t="s">
        <v>16</v>
      </c>
      <c r="C590" t="s">
        <v>9</v>
      </c>
      <c r="D590">
        <v>24.37</v>
      </c>
      <c r="E590">
        <v>32.69</v>
      </c>
      <c r="F590">
        <v>5.95</v>
      </c>
      <c r="G590">
        <v>21.34</v>
      </c>
      <c r="H590">
        <v>9.75</v>
      </c>
      <c r="I590">
        <v>9.81</v>
      </c>
      <c r="J590">
        <v>1.78</v>
      </c>
    </row>
    <row r="591" spans="1:10" x14ac:dyDescent="0.2">
      <c r="A591" t="s">
        <v>48</v>
      </c>
      <c r="B591" t="s">
        <v>16</v>
      </c>
      <c r="C591" t="s">
        <v>10</v>
      </c>
      <c r="D591">
        <v>11.39</v>
      </c>
      <c r="E591">
        <v>30.77</v>
      </c>
      <c r="F591">
        <v>11.64</v>
      </c>
      <c r="G591">
        <v>17.28</v>
      </c>
      <c r="H591">
        <v>4.5599999999999996</v>
      </c>
      <c r="I591">
        <v>9.23</v>
      </c>
      <c r="J591">
        <v>3.49</v>
      </c>
    </row>
    <row r="592" spans="1:10" x14ac:dyDescent="0.2">
      <c r="A592" t="s">
        <v>48</v>
      </c>
      <c r="B592" t="s">
        <v>16</v>
      </c>
      <c r="C592" t="s">
        <v>11</v>
      </c>
      <c r="D592">
        <v>3.82</v>
      </c>
      <c r="E592">
        <v>40.380000000000003</v>
      </c>
      <c r="F592">
        <v>11.47</v>
      </c>
      <c r="G592">
        <v>17.079999999999998</v>
      </c>
      <c r="H592">
        <v>1.53</v>
      </c>
      <c r="I592">
        <v>12.12</v>
      </c>
      <c r="J592">
        <v>3.44</v>
      </c>
    </row>
    <row r="593" spans="1:10" x14ac:dyDescent="0.2">
      <c r="A593" t="s">
        <v>48</v>
      </c>
      <c r="B593" t="s">
        <v>16</v>
      </c>
      <c r="C593" t="s">
        <v>12</v>
      </c>
      <c r="D593">
        <v>14.13</v>
      </c>
      <c r="E593">
        <v>48.08</v>
      </c>
      <c r="F593">
        <v>14.39</v>
      </c>
      <c r="G593">
        <v>24.39</v>
      </c>
      <c r="H593">
        <v>5.65</v>
      </c>
      <c r="I593">
        <v>14.42</v>
      </c>
      <c r="J593">
        <v>4.32</v>
      </c>
    </row>
    <row r="594" spans="1:10" x14ac:dyDescent="0.2">
      <c r="A594" t="s">
        <v>48</v>
      </c>
      <c r="B594" t="s">
        <v>16</v>
      </c>
      <c r="C594" t="s">
        <v>13</v>
      </c>
      <c r="D594">
        <v>10.59</v>
      </c>
      <c r="E594">
        <v>38.46</v>
      </c>
      <c r="F594">
        <v>5.01</v>
      </c>
      <c r="G594">
        <v>17.28</v>
      </c>
      <c r="H594">
        <v>4.24</v>
      </c>
      <c r="I594">
        <v>11.54</v>
      </c>
      <c r="J594">
        <v>1.5</v>
      </c>
    </row>
    <row r="595" spans="1:10" x14ac:dyDescent="0.2">
      <c r="A595" t="s">
        <v>48</v>
      </c>
      <c r="B595" t="s">
        <v>16</v>
      </c>
      <c r="C595" t="s">
        <v>14</v>
      </c>
      <c r="D595">
        <v>17.77</v>
      </c>
      <c r="E595">
        <v>30.77</v>
      </c>
      <c r="F595">
        <v>10.57</v>
      </c>
      <c r="G595">
        <v>19.510000000000002</v>
      </c>
      <c r="H595">
        <v>7.11</v>
      </c>
      <c r="I595">
        <v>9.23</v>
      </c>
      <c r="J595">
        <v>3.17</v>
      </c>
    </row>
    <row r="596" spans="1:10" x14ac:dyDescent="0.2">
      <c r="A596" t="s">
        <v>49</v>
      </c>
      <c r="B596" t="s">
        <v>8</v>
      </c>
      <c r="C596" t="s">
        <v>9</v>
      </c>
      <c r="D596">
        <v>20.239999999999998</v>
      </c>
      <c r="E596">
        <v>34.619999999999997</v>
      </c>
      <c r="F596">
        <v>3.89</v>
      </c>
      <c r="G596">
        <v>19.649999999999999</v>
      </c>
      <c r="H596">
        <v>8.1</v>
      </c>
      <c r="I596">
        <v>10.38</v>
      </c>
      <c r="J596">
        <v>1.17</v>
      </c>
    </row>
    <row r="597" spans="1:10" x14ac:dyDescent="0.2">
      <c r="A597" t="s">
        <v>49</v>
      </c>
      <c r="B597" t="s">
        <v>8</v>
      </c>
      <c r="C597" t="s">
        <v>10</v>
      </c>
      <c r="D597">
        <v>8.5</v>
      </c>
      <c r="E597">
        <v>28.85</v>
      </c>
      <c r="F597">
        <v>4.57</v>
      </c>
      <c r="G597">
        <v>13.42</v>
      </c>
      <c r="H597">
        <v>3.4</v>
      </c>
      <c r="I597">
        <v>8.65</v>
      </c>
      <c r="J597">
        <v>1.37</v>
      </c>
    </row>
    <row r="598" spans="1:10" x14ac:dyDescent="0.2">
      <c r="A598" t="s">
        <v>49</v>
      </c>
      <c r="B598" t="s">
        <v>8</v>
      </c>
      <c r="C598" t="s">
        <v>11</v>
      </c>
      <c r="D598">
        <v>3.79</v>
      </c>
      <c r="E598">
        <v>40.380000000000003</v>
      </c>
      <c r="F598">
        <v>2.6</v>
      </c>
      <c r="G598">
        <v>14.41</v>
      </c>
      <c r="H598">
        <v>1.52</v>
      </c>
      <c r="I598">
        <v>12.12</v>
      </c>
      <c r="J598">
        <v>0.78</v>
      </c>
    </row>
    <row r="599" spans="1:10" x14ac:dyDescent="0.2">
      <c r="A599" t="s">
        <v>49</v>
      </c>
      <c r="B599" t="s">
        <v>8</v>
      </c>
      <c r="C599" t="s">
        <v>12</v>
      </c>
      <c r="D599">
        <v>10.55</v>
      </c>
      <c r="E599">
        <v>46.15</v>
      </c>
      <c r="F599">
        <v>13.47</v>
      </c>
      <c r="G599">
        <v>22.11</v>
      </c>
      <c r="H599">
        <v>4.22</v>
      </c>
      <c r="I599">
        <v>13.85</v>
      </c>
      <c r="J599">
        <v>4.04</v>
      </c>
    </row>
    <row r="600" spans="1:10" x14ac:dyDescent="0.2">
      <c r="A600" t="s">
        <v>49</v>
      </c>
      <c r="B600" t="s">
        <v>8</v>
      </c>
      <c r="C600" t="s">
        <v>13</v>
      </c>
      <c r="D600">
        <v>10.97</v>
      </c>
      <c r="E600">
        <v>36.54</v>
      </c>
      <c r="F600">
        <v>14.48</v>
      </c>
      <c r="G600">
        <v>19.690000000000001</v>
      </c>
      <c r="H600">
        <v>4.3899999999999997</v>
      </c>
      <c r="I600">
        <v>10.96</v>
      </c>
      <c r="J600">
        <v>4.34</v>
      </c>
    </row>
    <row r="601" spans="1:10" x14ac:dyDescent="0.2">
      <c r="A601" t="s">
        <v>49</v>
      </c>
      <c r="B601" t="s">
        <v>8</v>
      </c>
      <c r="C601" t="s">
        <v>14</v>
      </c>
      <c r="D601">
        <v>17.22</v>
      </c>
      <c r="E601">
        <v>26.92</v>
      </c>
      <c r="F601">
        <v>12.24</v>
      </c>
      <c r="G601">
        <v>18.64</v>
      </c>
      <c r="H601">
        <v>6.89</v>
      </c>
      <c r="I601">
        <v>8.08</v>
      </c>
      <c r="J601">
        <v>3.67</v>
      </c>
    </row>
    <row r="602" spans="1:10" x14ac:dyDescent="0.2">
      <c r="A602" t="s">
        <v>49</v>
      </c>
      <c r="B602" t="s">
        <v>15</v>
      </c>
      <c r="C602" t="s">
        <v>9</v>
      </c>
      <c r="D602">
        <v>31.16</v>
      </c>
      <c r="E602">
        <v>34.619999999999997</v>
      </c>
      <c r="F602">
        <v>4.13</v>
      </c>
      <c r="G602">
        <v>24.09</v>
      </c>
      <c r="H602">
        <v>12.46</v>
      </c>
      <c r="I602">
        <v>10.38</v>
      </c>
      <c r="J602">
        <v>1.24</v>
      </c>
    </row>
    <row r="603" spans="1:10" x14ac:dyDescent="0.2">
      <c r="A603" t="s">
        <v>49</v>
      </c>
      <c r="B603" t="s">
        <v>15</v>
      </c>
      <c r="C603" t="s">
        <v>10</v>
      </c>
      <c r="D603">
        <v>15.13</v>
      </c>
      <c r="E603">
        <v>28.85</v>
      </c>
      <c r="F603">
        <v>5.8</v>
      </c>
      <c r="G603">
        <v>16.45</v>
      </c>
      <c r="H603">
        <v>6.05</v>
      </c>
      <c r="I603">
        <v>8.65</v>
      </c>
      <c r="J603">
        <v>1.74</v>
      </c>
    </row>
    <row r="604" spans="1:10" x14ac:dyDescent="0.2">
      <c r="A604" t="s">
        <v>49</v>
      </c>
      <c r="B604" t="s">
        <v>15</v>
      </c>
      <c r="C604" t="s">
        <v>11</v>
      </c>
      <c r="D604">
        <v>7.64</v>
      </c>
      <c r="E604">
        <v>40.380000000000003</v>
      </c>
      <c r="F604">
        <v>2.79</v>
      </c>
      <c r="G604">
        <v>16.010000000000002</v>
      </c>
      <c r="H604">
        <v>3.06</v>
      </c>
      <c r="I604">
        <v>12.12</v>
      </c>
      <c r="J604">
        <v>0.84</v>
      </c>
    </row>
    <row r="605" spans="1:10" x14ac:dyDescent="0.2">
      <c r="A605" t="s">
        <v>49</v>
      </c>
      <c r="B605" t="s">
        <v>15</v>
      </c>
      <c r="C605" t="s">
        <v>12</v>
      </c>
      <c r="D605">
        <v>16.25</v>
      </c>
      <c r="E605">
        <v>46.15</v>
      </c>
      <c r="F605">
        <v>12.77</v>
      </c>
      <c r="G605">
        <v>24.18</v>
      </c>
      <c r="H605">
        <v>6.5</v>
      </c>
      <c r="I605">
        <v>13.85</v>
      </c>
      <c r="J605">
        <v>3.83</v>
      </c>
    </row>
    <row r="606" spans="1:10" x14ac:dyDescent="0.2">
      <c r="A606" t="s">
        <v>49</v>
      </c>
      <c r="B606" t="s">
        <v>15</v>
      </c>
      <c r="C606" t="s">
        <v>13</v>
      </c>
      <c r="D606">
        <v>17.13</v>
      </c>
      <c r="E606">
        <v>36.54</v>
      </c>
      <c r="F606">
        <v>11.31</v>
      </c>
      <c r="G606">
        <v>21.21</v>
      </c>
      <c r="H606">
        <v>6.85</v>
      </c>
      <c r="I606">
        <v>10.96</v>
      </c>
      <c r="J606">
        <v>3.39</v>
      </c>
    </row>
    <row r="607" spans="1:10" x14ac:dyDescent="0.2">
      <c r="A607" t="s">
        <v>49</v>
      </c>
      <c r="B607" t="s">
        <v>15</v>
      </c>
      <c r="C607" t="s">
        <v>14</v>
      </c>
      <c r="D607">
        <v>39.54</v>
      </c>
      <c r="E607">
        <v>26.92</v>
      </c>
      <c r="F607">
        <v>30.39</v>
      </c>
      <c r="G607">
        <v>33.01</v>
      </c>
      <c r="H607">
        <v>15.81</v>
      </c>
      <c r="I607">
        <v>8.08</v>
      </c>
      <c r="J607">
        <v>9.1199999999999992</v>
      </c>
    </row>
    <row r="608" spans="1:10" x14ac:dyDescent="0.2">
      <c r="A608" t="s">
        <v>49</v>
      </c>
      <c r="B608" t="s">
        <v>16</v>
      </c>
      <c r="C608" t="s">
        <v>9</v>
      </c>
      <c r="D608">
        <v>22.29</v>
      </c>
      <c r="E608">
        <v>34.619999999999997</v>
      </c>
      <c r="F608">
        <v>4.0599999999999996</v>
      </c>
      <c r="G608">
        <v>20.52</v>
      </c>
      <c r="H608">
        <v>8.92</v>
      </c>
      <c r="I608">
        <v>10.38</v>
      </c>
      <c r="J608">
        <v>1.22</v>
      </c>
    </row>
    <row r="609" spans="1:10" x14ac:dyDescent="0.2">
      <c r="A609" t="s">
        <v>49</v>
      </c>
      <c r="B609" t="s">
        <v>16</v>
      </c>
      <c r="C609" t="s">
        <v>10</v>
      </c>
      <c r="D609">
        <v>11.38</v>
      </c>
      <c r="E609">
        <v>28.85</v>
      </c>
      <c r="F609">
        <v>7.5</v>
      </c>
      <c r="G609">
        <v>15.46</v>
      </c>
      <c r="H609">
        <v>4.55</v>
      </c>
      <c r="I609">
        <v>8.65</v>
      </c>
      <c r="J609">
        <v>2.25</v>
      </c>
    </row>
    <row r="610" spans="1:10" x14ac:dyDescent="0.2">
      <c r="A610" t="s">
        <v>49</v>
      </c>
      <c r="B610" t="s">
        <v>16</v>
      </c>
      <c r="C610" t="s">
        <v>11</v>
      </c>
      <c r="D610">
        <v>5.3</v>
      </c>
      <c r="E610">
        <v>40.380000000000003</v>
      </c>
      <c r="F610">
        <v>3.21</v>
      </c>
      <c r="G610">
        <v>15.2</v>
      </c>
      <c r="H610">
        <v>2.12</v>
      </c>
      <c r="I610">
        <v>12.12</v>
      </c>
      <c r="J610">
        <v>0.96</v>
      </c>
    </row>
    <row r="611" spans="1:10" x14ac:dyDescent="0.2">
      <c r="A611" t="s">
        <v>49</v>
      </c>
      <c r="B611" t="s">
        <v>16</v>
      </c>
      <c r="C611" t="s">
        <v>12</v>
      </c>
      <c r="D611">
        <v>14.62</v>
      </c>
      <c r="E611">
        <v>46.15</v>
      </c>
      <c r="F611">
        <v>10.77</v>
      </c>
      <c r="G611">
        <v>22.92</v>
      </c>
      <c r="H611">
        <v>5.85</v>
      </c>
      <c r="I611">
        <v>13.85</v>
      </c>
      <c r="J611">
        <v>3.23</v>
      </c>
    </row>
    <row r="612" spans="1:10" x14ac:dyDescent="0.2">
      <c r="A612" t="s">
        <v>49</v>
      </c>
      <c r="B612" t="s">
        <v>16</v>
      </c>
      <c r="C612" t="s">
        <v>13</v>
      </c>
      <c r="D612">
        <v>10.24</v>
      </c>
      <c r="E612">
        <v>36.54</v>
      </c>
      <c r="F612">
        <v>3.78</v>
      </c>
      <c r="G612">
        <v>16.190000000000001</v>
      </c>
      <c r="H612">
        <v>4.09</v>
      </c>
      <c r="I612">
        <v>10.96</v>
      </c>
      <c r="J612">
        <v>1.1299999999999999</v>
      </c>
    </row>
    <row r="613" spans="1:10" x14ac:dyDescent="0.2">
      <c r="A613" t="s">
        <v>49</v>
      </c>
      <c r="B613" t="s">
        <v>16</v>
      </c>
      <c r="C613" t="s">
        <v>14</v>
      </c>
      <c r="D613">
        <v>21.37</v>
      </c>
      <c r="E613">
        <v>26.92</v>
      </c>
      <c r="F613">
        <v>12.47</v>
      </c>
      <c r="G613">
        <v>20.37</v>
      </c>
      <c r="H613">
        <v>8.5500000000000007</v>
      </c>
      <c r="I613">
        <v>8.08</v>
      </c>
      <c r="J613">
        <v>3.74</v>
      </c>
    </row>
    <row r="614" spans="1:10" x14ac:dyDescent="0.2">
      <c r="A614" t="s">
        <v>50</v>
      </c>
      <c r="B614" t="s">
        <v>8</v>
      </c>
      <c r="C614" t="s">
        <v>9</v>
      </c>
      <c r="D614">
        <v>15.36</v>
      </c>
      <c r="E614">
        <v>38.46</v>
      </c>
      <c r="F614">
        <v>2.97</v>
      </c>
      <c r="G614">
        <v>18.57</v>
      </c>
      <c r="H614">
        <v>6.14</v>
      </c>
      <c r="I614">
        <v>11.54</v>
      </c>
      <c r="J614">
        <v>0.89</v>
      </c>
    </row>
    <row r="615" spans="1:10" x14ac:dyDescent="0.2">
      <c r="A615" t="s">
        <v>50</v>
      </c>
      <c r="B615" t="s">
        <v>8</v>
      </c>
      <c r="C615" t="s">
        <v>10</v>
      </c>
      <c r="D615">
        <v>9.57</v>
      </c>
      <c r="E615">
        <v>32.69</v>
      </c>
      <c r="F615">
        <v>5.85</v>
      </c>
      <c r="G615">
        <v>15.39</v>
      </c>
      <c r="H615">
        <v>3.83</v>
      </c>
      <c r="I615">
        <v>9.81</v>
      </c>
      <c r="J615">
        <v>1.75</v>
      </c>
    </row>
    <row r="616" spans="1:10" x14ac:dyDescent="0.2">
      <c r="A616" t="s">
        <v>50</v>
      </c>
      <c r="B616" t="s">
        <v>8</v>
      </c>
      <c r="C616" t="s">
        <v>11</v>
      </c>
      <c r="D616">
        <v>3.81</v>
      </c>
      <c r="E616">
        <v>42.31</v>
      </c>
      <c r="F616">
        <v>3.62</v>
      </c>
      <c r="G616">
        <v>15.3</v>
      </c>
      <c r="H616">
        <v>1.52</v>
      </c>
      <c r="I616">
        <v>12.69</v>
      </c>
      <c r="J616">
        <v>1.0900000000000001</v>
      </c>
    </row>
    <row r="617" spans="1:10" x14ac:dyDescent="0.2">
      <c r="A617" t="s">
        <v>50</v>
      </c>
      <c r="B617" t="s">
        <v>8</v>
      </c>
      <c r="C617" t="s">
        <v>12</v>
      </c>
      <c r="D617">
        <v>10.99</v>
      </c>
      <c r="E617">
        <v>46.15</v>
      </c>
      <c r="F617">
        <v>10.050000000000001</v>
      </c>
      <c r="G617">
        <v>21.26</v>
      </c>
      <c r="H617">
        <v>4.4000000000000004</v>
      </c>
      <c r="I617">
        <v>13.85</v>
      </c>
      <c r="J617">
        <v>3.01</v>
      </c>
    </row>
    <row r="618" spans="1:10" x14ac:dyDescent="0.2">
      <c r="A618" t="s">
        <v>50</v>
      </c>
      <c r="B618" t="s">
        <v>8</v>
      </c>
      <c r="C618" t="s">
        <v>13</v>
      </c>
      <c r="D618">
        <v>7.98</v>
      </c>
      <c r="E618">
        <v>36.54</v>
      </c>
      <c r="F618">
        <v>4.57</v>
      </c>
      <c r="G618">
        <v>15.52</v>
      </c>
      <c r="H618">
        <v>3.19</v>
      </c>
      <c r="I618">
        <v>10.96</v>
      </c>
      <c r="J618">
        <v>1.37</v>
      </c>
    </row>
    <row r="619" spans="1:10" x14ac:dyDescent="0.2">
      <c r="A619" t="s">
        <v>50</v>
      </c>
      <c r="B619" t="s">
        <v>8</v>
      </c>
      <c r="C619" t="s">
        <v>14</v>
      </c>
      <c r="D619">
        <v>17.72</v>
      </c>
      <c r="E619">
        <v>28.85</v>
      </c>
      <c r="F619">
        <v>12.35</v>
      </c>
      <c r="G619">
        <v>19.45</v>
      </c>
      <c r="H619">
        <v>7.09</v>
      </c>
      <c r="I619">
        <v>8.65</v>
      </c>
      <c r="J619">
        <v>3.71</v>
      </c>
    </row>
    <row r="620" spans="1:10" x14ac:dyDescent="0.2">
      <c r="A620" t="s">
        <v>50</v>
      </c>
      <c r="B620" t="s">
        <v>15</v>
      </c>
      <c r="C620" t="s">
        <v>9</v>
      </c>
      <c r="D620">
        <v>24.96</v>
      </c>
      <c r="E620">
        <v>38.46</v>
      </c>
      <c r="F620">
        <v>4.75</v>
      </c>
      <c r="G620">
        <v>22.95</v>
      </c>
      <c r="H620">
        <v>9.98</v>
      </c>
      <c r="I620">
        <v>11.54</v>
      </c>
      <c r="J620">
        <v>1.43</v>
      </c>
    </row>
    <row r="621" spans="1:10" x14ac:dyDescent="0.2">
      <c r="A621" t="s">
        <v>50</v>
      </c>
      <c r="B621" t="s">
        <v>15</v>
      </c>
      <c r="C621" t="s">
        <v>10</v>
      </c>
      <c r="D621">
        <v>15.96</v>
      </c>
      <c r="E621">
        <v>32.69</v>
      </c>
      <c r="F621">
        <v>5.62</v>
      </c>
      <c r="G621">
        <v>17.88</v>
      </c>
      <c r="H621">
        <v>6.38</v>
      </c>
      <c r="I621">
        <v>9.81</v>
      </c>
      <c r="J621">
        <v>1.69</v>
      </c>
    </row>
    <row r="622" spans="1:10" x14ac:dyDescent="0.2">
      <c r="A622" t="s">
        <v>50</v>
      </c>
      <c r="B622" t="s">
        <v>15</v>
      </c>
      <c r="C622" t="s">
        <v>11</v>
      </c>
      <c r="D622">
        <v>6.86</v>
      </c>
      <c r="E622">
        <v>42.31</v>
      </c>
      <c r="F622">
        <v>4.95</v>
      </c>
      <c r="G622">
        <v>16.920000000000002</v>
      </c>
      <c r="H622">
        <v>2.74</v>
      </c>
      <c r="I622">
        <v>12.69</v>
      </c>
      <c r="J622">
        <v>1.49</v>
      </c>
    </row>
    <row r="623" spans="1:10" x14ac:dyDescent="0.2">
      <c r="A623" t="s">
        <v>50</v>
      </c>
      <c r="B623" t="s">
        <v>15</v>
      </c>
      <c r="C623" t="s">
        <v>12</v>
      </c>
      <c r="D623">
        <v>17.09</v>
      </c>
      <c r="E623">
        <v>46.15</v>
      </c>
      <c r="F623">
        <v>15.06</v>
      </c>
      <c r="G623">
        <v>25.2</v>
      </c>
      <c r="H623">
        <v>6.84</v>
      </c>
      <c r="I623">
        <v>13.85</v>
      </c>
      <c r="J623">
        <v>4.5199999999999996</v>
      </c>
    </row>
    <row r="624" spans="1:10" x14ac:dyDescent="0.2">
      <c r="A624" t="s">
        <v>50</v>
      </c>
      <c r="B624" t="s">
        <v>15</v>
      </c>
      <c r="C624" t="s">
        <v>13</v>
      </c>
      <c r="D624">
        <v>16.149999999999999</v>
      </c>
      <c r="E624">
        <v>36.54</v>
      </c>
      <c r="F624">
        <v>5.31</v>
      </c>
      <c r="G624">
        <v>19.010000000000002</v>
      </c>
      <c r="H624">
        <v>6.46</v>
      </c>
      <c r="I624">
        <v>10.96</v>
      </c>
      <c r="J624">
        <v>1.59</v>
      </c>
    </row>
    <row r="625" spans="1:10" x14ac:dyDescent="0.2">
      <c r="A625" t="s">
        <v>50</v>
      </c>
      <c r="B625" t="s">
        <v>15</v>
      </c>
      <c r="C625" t="s">
        <v>14</v>
      </c>
      <c r="D625">
        <v>40.380000000000003</v>
      </c>
      <c r="E625">
        <v>28.85</v>
      </c>
      <c r="F625">
        <v>45.86</v>
      </c>
      <c r="G625">
        <v>38.57</v>
      </c>
      <c r="H625">
        <v>16.149999999999999</v>
      </c>
      <c r="I625">
        <v>8.65</v>
      </c>
      <c r="J625">
        <v>13.76</v>
      </c>
    </row>
    <row r="626" spans="1:10" x14ac:dyDescent="0.2">
      <c r="A626" t="s">
        <v>50</v>
      </c>
      <c r="B626" t="s">
        <v>16</v>
      </c>
      <c r="C626" t="s">
        <v>9</v>
      </c>
      <c r="D626">
        <v>17.22</v>
      </c>
      <c r="E626">
        <v>38.46</v>
      </c>
      <c r="F626">
        <v>5.85</v>
      </c>
      <c r="G626">
        <v>20.18</v>
      </c>
      <c r="H626">
        <v>6.89</v>
      </c>
      <c r="I626">
        <v>11.54</v>
      </c>
      <c r="J626">
        <v>1.76</v>
      </c>
    </row>
    <row r="627" spans="1:10" x14ac:dyDescent="0.2">
      <c r="A627" t="s">
        <v>50</v>
      </c>
      <c r="B627" t="s">
        <v>16</v>
      </c>
      <c r="C627" t="s">
        <v>10</v>
      </c>
      <c r="D627">
        <v>10.68</v>
      </c>
      <c r="E627">
        <v>32.69</v>
      </c>
      <c r="F627">
        <v>10.69</v>
      </c>
      <c r="G627">
        <v>17.29</v>
      </c>
      <c r="H627">
        <v>4.2699999999999996</v>
      </c>
      <c r="I627">
        <v>9.81</v>
      </c>
      <c r="J627">
        <v>3.21</v>
      </c>
    </row>
    <row r="628" spans="1:10" x14ac:dyDescent="0.2">
      <c r="A628" t="s">
        <v>50</v>
      </c>
      <c r="B628" t="s">
        <v>16</v>
      </c>
      <c r="C628" t="s">
        <v>11</v>
      </c>
      <c r="D628">
        <v>4.72</v>
      </c>
      <c r="E628">
        <v>42.31</v>
      </c>
      <c r="F628">
        <v>4.6399999999999997</v>
      </c>
      <c r="G628">
        <v>15.97</v>
      </c>
      <c r="H628">
        <v>1.89</v>
      </c>
      <c r="I628">
        <v>12.69</v>
      </c>
      <c r="J628">
        <v>1.39</v>
      </c>
    </row>
    <row r="629" spans="1:10" x14ac:dyDescent="0.2">
      <c r="A629" t="s">
        <v>50</v>
      </c>
      <c r="B629" t="s">
        <v>16</v>
      </c>
      <c r="C629" t="s">
        <v>12</v>
      </c>
      <c r="D629">
        <v>14.34</v>
      </c>
      <c r="E629">
        <v>46.15</v>
      </c>
      <c r="F629">
        <v>14.74</v>
      </c>
      <c r="G629">
        <v>24</v>
      </c>
      <c r="H629">
        <v>5.74</v>
      </c>
      <c r="I629">
        <v>13.85</v>
      </c>
      <c r="J629">
        <v>4.42</v>
      </c>
    </row>
    <row r="630" spans="1:10" x14ac:dyDescent="0.2">
      <c r="A630" t="s">
        <v>50</v>
      </c>
      <c r="B630" t="s">
        <v>16</v>
      </c>
      <c r="C630" t="s">
        <v>13</v>
      </c>
      <c r="D630">
        <v>9.1199999999999992</v>
      </c>
      <c r="E630">
        <v>36.54</v>
      </c>
      <c r="F630">
        <v>6.22</v>
      </c>
      <c r="G630">
        <v>16.48</v>
      </c>
      <c r="H630">
        <v>3.65</v>
      </c>
      <c r="I630">
        <v>10.96</v>
      </c>
      <c r="J630">
        <v>1.87</v>
      </c>
    </row>
    <row r="631" spans="1:10" x14ac:dyDescent="0.2">
      <c r="A631" t="s">
        <v>50</v>
      </c>
      <c r="B631" t="s">
        <v>16</v>
      </c>
      <c r="C631" t="s">
        <v>14</v>
      </c>
      <c r="D631">
        <v>24.27</v>
      </c>
      <c r="E631">
        <v>28.85</v>
      </c>
      <c r="F631">
        <v>23.39</v>
      </c>
      <c r="G631">
        <v>25.38</v>
      </c>
      <c r="H631">
        <v>9.7100000000000009</v>
      </c>
      <c r="I631">
        <v>8.65</v>
      </c>
      <c r="J631">
        <v>7.02</v>
      </c>
    </row>
    <row r="632" spans="1:10" x14ac:dyDescent="0.2">
      <c r="A632" t="s">
        <v>51</v>
      </c>
      <c r="B632" t="s">
        <v>8</v>
      </c>
      <c r="C632" t="s">
        <v>9</v>
      </c>
      <c r="D632">
        <v>21.04</v>
      </c>
      <c r="E632">
        <v>40.380000000000003</v>
      </c>
      <c r="F632">
        <v>3.9</v>
      </c>
      <c r="G632">
        <v>21.7</v>
      </c>
      <c r="H632">
        <v>8.42</v>
      </c>
      <c r="I632">
        <v>12.12</v>
      </c>
      <c r="J632">
        <v>1.17</v>
      </c>
    </row>
    <row r="633" spans="1:10" x14ac:dyDescent="0.2">
      <c r="A633" t="s">
        <v>51</v>
      </c>
      <c r="B633" t="s">
        <v>8</v>
      </c>
      <c r="C633" t="s">
        <v>10</v>
      </c>
      <c r="D633">
        <v>9.85</v>
      </c>
      <c r="E633">
        <v>30.77</v>
      </c>
      <c r="F633">
        <v>7.89</v>
      </c>
      <c r="G633">
        <v>15.54</v>
      </c>
      <c r="H633">
        <v>3.94</v>
      </c>
      <c r="I633">
        <v>9.23</v>
      </c>
      <c r="J633">
        <v>2.37</v>
      </c>
    </row>
    <row r="634" spans="1:10" x14ac:dyDescent="0.2">
      <c r="A634" t="s">
        <v>51</v>
      </c>
      <c r="B634" t="s">
        <v>8</v>
      </c>
      <c r="C634" t="s">
        <v>11</v>
      </c>
      <c r="D634">
        <v>4.3499999999999996</v>
      </c>
      <c r="E634">
        <v>46.15</v>
      </c>
      <c r="F634">
        <v>4.59</v>
      </c>
      <c r="G634">
        <v>16.96</v>
      </c>
      <c r="H634">
        <v>1.74</v>
      </c>
      <c r="I634">
        <v>13.85</v>
      </c>
      <c r="J634">
        <v>1.38</v>
      </c>
    </row>
    <row r="635" spans="1:10" x14ac:dyDescent="0.2">
      <c r="A635" t="s">
        <v>51</v>
      </c>
      <c r="B635" t="s">
        <v>8</v>
      </c>
      <c r="C635" t="s">
        <v>12</v>
      </c>
      <c r="D635">
        <v>12.67</v>
      </c>
      <c r="E635">
        <v>48.08</v>
      </c>
      <c r="F635">
        <v>10.4</v>
      </c>
      <c r="G635">
        <v>22.61</v>
      </c>
      <c r="H635">
        <v>5.07</v>
      </c>
      <c r="I635">
        <v>14.42</v>
      </c>
      <c r="J635">
        <v>3.12</v>
      </c>
    </row>
    <row r="636" spans="1:10" x14ac:dyDescent="0.2">
      <c r="A636" t="s">
        <v>51</v>
      </c>
      <c r="B636" t="s">
        <v>8</v>
      </c>
      <c r="C636" t="s">
        <v>13</v>
      </c>
      <c r="D636">
        <v>7.77</v>
      </c>
      <c r="E636">
        <v>38.46</v>
      </c>
      <c r="F636">
        <v>8.5500000000000007</v>
      </c>
      <c r="G636">
        <v>17.21</v>
      </c>
      <c r="H636">
        <v>3.11</v>
      </c>
      <c r="I636">
        <v>11.54</v>
      </c>
      <c r="J636">
        <v>2.56</v>
      </c>
    </row>
    <row r="637" spans="1:10" x14ac:dyDescent="0.2">
      <c r="A637" t="s">
        <v>51</v>
      </c>
      <c r="B637" t="s">
        <v>8</v>
      </c>
      <c r="C637" t="s">
        <v>14</v>
      </c>
      <c r="D637">
        <v>17.399999999999999</v>
      </c>
      <c r="E637">
        <v>32.69</v>
      </c>
      <c r="F637">
        <v>13.1</v>
      </c>
      <c r="G637">
        <v>20.7</v>
      </c>
      <c r="H637">
        <v>6.96</v>
      </c>
      <c r="I637">
        <v>9.81</v>
      </c>
      <c r="J637">
        <v>3.93</v>
      </c>
    </row>
    <row r="638" spans="1:10" x14ac:dyDescent="0.2">
      <c r="A638" t="s">
        <v>51</v>
      </c>
      <c r="B638" t="s">
        <v>15</v>
      </c>
      <c r="C638" t="s">
        <v>9</v>
      </c>
      <c r="D638">
        <v>29.65</v>
      </c>
      <c r="E638">
        <v>40.380000000000003</v>
      </c>
      <c r="F638">
        <v>5.44</v>
      </c>
      <c r="G638">
        <v>25.61</v>
      </c>
      <c r="H638">
        <v>11.86</v>
      </c>
      <c r="I638">
        <v>12.12</v>
      </c>
      <c r="J638">
        <v>1.63</v>
      </c>
    </row>
    <row r="639" spans="1:10" x14ac:dyDescent="0.2">
      <c r="A639" t="s">
        <v>51</v>
      </c>
      <c r="B639" t="s">
        <v>15</v>
      </c>
      <c r="C639" t="s">
        <v>10</v>
      </c>
      <c r="D639">
        <v>17.329999999999998</v>
      </c>
      <c r="E639">
        <v>30.77</v>
      </c>
      <c r="F639">
        <v>5.5</v>
      </c>
      <c r="G639">
        <v>17.809999999999999</v>
      </c>
      <c r="H639">
        <v>6.93</v>
      </c>
      <c r="I639">
        <v>9.23</v>
      </c>
      <c r="J639">
        <v>1.65</v>
      </c>
    </row>
    <row r="640" spans="1:10" x14ac:dyDescent="0.2">
      <c r="A640" t="s">
        <v>51</v>
      </c>
      <c r="B640" t="s">
        <v>15</v>
      </c>
      <c r="C640" t="s">
        <v>11</v>
      </c>
      <c r="D640">
        <v>7.04</v>
      </c>
      <c r="E640">
        <v>46.15</v>
      </c>
      <c r="F640">
        <v>13.29</v>
      </c>
      <c r="G640">
        <v>20.65</v>
      </c>
      <c r="H640">
        <v>2.82</v>
      </c>
      <c r="I640">
        <v>13.85</v>
      </c>
      <c r="J640">
        <v>3.99</v>
      </c>
    </row>
    <row r="641" spans="1:10" x14ac:dyDescent="0.2">
      <c r="A641" t="s">
        <v>51</v>
      </c>
      <c r="B641" t="s">
        <v>15</v>
      </c>
      <c r="C641" t="s">
        <v>12</v>
      </c>
      <c r="D641">
        <v>20.62</v>
      </c>
      <c r="E641">
        <v>48.08</v>
      </c>
      <c r="F641">
        <v>23.99</v>
      </c>
      <c r="G641">
        <v>29.87</v>
      </c>
      <c r="H641">
        <v>8.25</v>
      </c>
      <c r="I641">
        <v>14.42</v>
      </c>
      <c r="J641">
        <v>7.2</v>
      </c>
    </row>
    <row r="642" spans="1:10" x14ac:dyDescent="0.2">
      <c r="A642" t="s">
        <v>51</v>
      </c>
      <c r="B642" t="s">
        <v>15</v>
      </c>
      <c r="C642" t="s">
        <v>13</v>
      </c>
      <c r="D642">
        <v>13.48</v>
      </c>
      <c r="E642">
        <v>38.46</v>
      </c>
      <c r="F642">
        <v>7.59</v>
      </c>
      <c r="G642">
        <v>19.21</v>
      </c>
      <c r="H642">
        <v>5.39</v>
      </c>
      <c r="I642">
        <v>11.54</v>
      </c>
      <c r="J642">
        <v>2.2799999999999998</v>
      </c>
    </row>
    <row r="643" spans="1:10" x14ac:dyDescent="0.2">
      <c r="A643" t="s">
        <v>51</v>
      </c>
      <c r="B643" t="s">
        <v>15</v>
      </c>
      <c r="C643" t="s">
        <v>14</v>
      </c>
      <c r="D643">
        <v>45.13</v>
      </c>
      <c r="E643">
        <v>32.69</v>
      </c>
      <c r="F643">
        <v>36.26</v>
      </c>
      <c r="G643">
        <v>38.74</v>
      </c>
      <c r="H643">
        <v>18.05</v>
      </c>
      <c r="I643">
        <v>9.81</v>
      </c>
      <c r="J643">
        <v>10.88</v>
      </c>
    </row>
    <row r="644" spans="1:10" x14ac:dyDescent="0.2">
      <c r="A644" t="s">
        <v>51</v>
      </c>
      <c r="B644" t="s">
        <v>16</v>
      </c>
      <c r="C644" t="s">
        <v>9</v>
      </c>
      <c r="D644">
        <v>25.04</v>
      </c>
      <c r="E644">
        <v>40.380000000000003</v>
      </c>
      <c r="F644">
        <v>5.29</v>
      </c>
      <c r="G644">
        <v>23.72</v>
      </c>
      <c r="H644">
        <v>10.02</v>
      </c>
      <c r="I644">
        <v>12.12</v>
      </c>
      <c r="J644">
        <v>1.59</v>
      </c>
    </row>
    <row r="645" spans="1:10" x14ac:dyDescent="0.2">
      <c r="A645" t="s">
        <v>51</v>
      </c>
      <c r="B645" t="s">
        <v>16</v>
      </c>
      <c r="C645" t="s">
        <v>10</v>
      </c>
      <c r="D645">
        <v>12.38</v>
      </c>
      <c r="E645">
        <v>30.77</v>
      </c>
      <c r="F645">
        <v>15.65</v>
      </c>
      <c r="G645">
        <v>18.88</v>
      </c>
      <c r="H645">
        <v>4.95</v>
      </c>
      <c r="I645">
        <v>9.23</v>
      </c>
      <c r="J645">
        <v>4.7</v>
      </c>
    </row>
    <row r="646" spans="1:10" x14ac:dyDescent="0.2">
      <c r="A646" t="s">
        <v>51</v>
      </c>
      <c r="B646" t="s">
        <v>16</v>
      </c>
      <c r="C646" t="s">
        <v>11</v>
      </c>
      <c r="D646">
        <v>5.7</v>
      </c>
      <c r="E646">
        <v>46.15</v>
      </c>
      <c r="F646">
        <v>6.92</v>
      </c>
      <c r="G646">
        <v>18.2</v>
      </c>
      <c r="H646">
        <v>2.2799999999999998</v>
      </c>
      <c r="I646">
        <v>13.85</v>
      </c>
      <c r="J646">
        <v>2.08</v>
      </c>
    </row>
    <row r="647" spans="1:10" x14ac:dyDescent="0.2">
      <c r="A647" t="s">
        <v>51</v>
      </c>
      <c r="B647" t="s">
        <v>16</v>
      </c>
      <c r="C647" t="s">
        <v>12</v>
      </c>
      <c r="D647">
        <v>15.11</v>
      </c>
      <c r="E647">
        <v>48.08</v>
      </c>
      <c r="F647">
        <v>15.2</v>
      </c>
      <c r="G647">
        <v>25.03</v>
      </c>
      <c r="H647">
        <v>6.04</v>
      </c>
      <c r="I647">
        <v>14.42</v>
      </c>
      <c r="J647">
        <v>4.5599999999999996</v>
      </c>
    </row>
    <row r="648" spans="1:10" x14ac:dyDescent="0.2">
      <c r="A648" t="s">
        <v>51</v>
      </c>
      <c r="B648" t="s">
        <v>16</v>
      </c>
      <c r="C648" t="s">
        <v>13</v>
      </c>
      <c r="D648">
        <v>8.09</v>
      </c>
      <c r="E648">
        <v>38.46</v>
      </c>
      <c r="F648">
        <v>3.45</v>
      </c>
      <c r="G648">
        <v>15.81</v>
      </c>
      <c r="H648">
        <v>3.24</v>
      </c>
      <c r="I648">
        <v>11.54</v>
      </c>
      <c r="J648">
        <v>1.03</v>
      </c>
    </row>
    <row r="649" spans="1:10" x14ac:dyDescent="0.2">
      <c r="A649" t="s">
        <v>51</v>
      </c>
      <c r="B649" t="s">
        <v>16</v>
      </c>
      <c r="C649" t="s">
        <v>14</v>
      </c>
      <c r="D649">
        <v>27.4</v>
      </c>
      <c r="E649">
        <v>32.69</v>
      </c>
      <c r="F649">
        <v>16.989999999999998</v>
      </c>
      <c r="G649">
        <v>25.87</v>
      </c>
      <c r="H649">
        <v>10.96</v>
      </c>
      <c r="I649">
        <v>9.81</v>
      </c>
      <c r="J649">
        <v>5.0999999999999996</v>
      </c>
    </row>
    <row r="650" spans="1:10" x14ac:dyDescent="0.2">
      <c r="A650" t="s">
        <v>52</v>
      </c>
      <c r="B650" t="s">
        <v>8</v>
      </c>
      <c r="C650" t="s">
        <v>9</v>
      </c>
      <c r="D650">
        <v>17.22</v>
      </c>
      <c r="E650">
        <v>40.380000000000003</v>
      </c>
      <c r="F650">
        <v>5.3</v>
      </c>
      <c r="G650">
        <v>20.59</v>
      </c>
      <c r="H650">
        <v>6.89</v>
      </c>
      <c r="I650">
        <v>12.12</v>
      </c>
      <c r="J650">
        <v>1.59</v>
      </c>
    </row>
    <row r="651" spans="1:10" x14ac:dyDescent="0.2">
      <c r="A651" t="s">
        <v>52</v>
      </c>
      <c r="B651" t="s">
        <v>8</v>
      </c>
      <c r="C651" t="s">
        <v>10</v>
      </c>
      <c r="D651">
        <v>10.45</v>
      </c>
      <c r="E651">
        <v>30.77</v>
      </c>
      <c r="F651">
        <v>4.9000000000000004</v>
      </c>
      <c r="G651">
        <v>14.88</v>
      </c>
      <c r="H651">
        <v>4.18</v>
      </c>
      <c r="I651">
        <v>9.23</v>
      </c>
      <c r="J651">
        <v>1.47</v>
      </c>
    </row>
    <row r="652" spans="1:10" x14ac:dyDescent="0.2">
      <c r="A652" t="s">
        <v>52</v>
      </c>
      <c r="B652" t="s">
        <v>8</v>
      </c>
      <c r="C652" t="s">
        <v>11</v>
      </c>
      <c r="D652">
        <v>3.45</v>
      </c>
      <c r="E652">
        <v>44.23</v>
      </c>
      <c r="F652">
        <v>7.09</v>
      </c>
      <c r="G652">
        <v>16.78</v>
      </c>
      <c r="H652">
        <v>1.38</v>
      </c>
      <c r="I652">
        <v>13.27</v>
      </c>
      <c r="J652">
        <v>2.13</v>
      </c>
    </row>
    <row r="653" spans="1:10" x14ac:dyDescent="0.2">
      <c r="A653" t="s">
        <v>52</v>
      </c>
      <c r="B653" t="s">
        <v>8</v>
      </c>
      <c r="C653" t="s">
        <v>12</v>
      </c>
      <c r="D653">
        <v>13.29</v>
      </c>
      <c r="E653">
        <v>48.08</v>
      </c>
      <c r="F653">
        <v>13.11</v>
      </c>
      <c r="G653">
        <v>23.67</v>
      </c>
      <c r="H653">
        <v>5.32</v>
      </c>
      <c r="I653">
        <v>14.42</v>
      </c>
      <c r="J653">
        <v>3.93</v>
      </c>
    </row>
    <row r="654" spans="1:10" x14ac:dyDescent="0.2">
      <c r="A654" t="s">
        <v>52</v>
      </c>
      <c r="B654" t="s">
        <v>8</v>
      </c>
      <c r="C654" t="s">
        <v>13</v>
      </c>
      <c r="D654">
        <v>10.9</v>
      </c>
      <c r="E654">
        <v>36.54</v>
      </c>
      <c r="F654">
        <v>5.71</v>
      </c>
      <c r="G654">
        <v>17.04</v>
      </c>
      <c r="H654">
        <v>4.3600000000000003</v>
      </c>
      <c r="I654">
        <v>10.96</v>
      </c>
      <c r="J654">
        <v>1.71</v>
      </c>
    </row>
    <row r="655" spans="1:10" x14ac:dyDescent="0.2">
      <c r="A655" t="s">
        <v>52</v>
      </c>
      <c r="B655" t="s">
        <v>8</v>
      </c>
      <c r="C655" t="s">
        <v>14</v>
      </c>
      <c r="D655">
        <v>15.24</v>
      </c>
      <c r="E655">
        <v>34.619999999999997</v>
      </c>
      <c r="F655">
        <v>34.15</v>
      </c>
      <c r="G655">
        <v>26.72</v>
      </c>
      <c r="H655">
        <v>6.1</v>
      </c>
      <c r="I655">
        <v>10.38</v>
      </c>
      <c r="J655">
        <v>10.24</v>
      </c>
    </row>
    <row r="656" spans="1:10" x14ac:dyDescent="0.2">
      <c r="A656" t="s">
        <v>52</v>
      </c>
      <c r="B656" t="s">
        <v>15</v>
      </c>
      <c r="C656" t="s">
        <v>9</v>
      </c>
      <c r="D656">
        <v>24.87</v>
      </c>
      <c r="E656">
        <v>40.380000000000003</v>
      </c>
      <c r="F656">
        <v>12.73</v>
      </c>
      <c r="G656">
        <v>25.88</v>
      </c>
      <c r="H656">
        <v>9.9499999999999993</v>
      </c>
      <c r="I656">
        <v>12.12</v>
      </c>
      <c r="J656">
        <v>3.82</v>
      </c>
    </row>
    <row r="657" spans="1:10" x14ac:dyDescent="0.2">
      <c r="A657" t="s">
        <v>52</v>
      </c>
      <c r="B657" t="s">
        <v>15</v>
      </c>
      <c r="C657" t="s">
        <v>10</v>
      </c>
      <c r="D657">
        <v>19.78</v>
      </c>
      <c r="E657">
        <v>30.77</v>
      </c>
      <c r="F657">
        <v>9.16</v>
      </c>
      <c r="G657">
        <v>19.89</v>
      </c>
      <c r="H657">
        <v>7.91</v>
      </c>
      <c r="I657">
        <v>9.23</v>
      </c>
      <c r="J657">
        <v>2.75</v>
      </c>
    </row>
    <row r="658" spans="1:10" x14ac:dyDescent="0.2">
      <c r="A658" t="s">
        <v>52</v>
      </c>
      <c r="B658" t="s">
        <v>15</v>
      </c>
      <c r="C658" t="s">
        <v>11</v>
      </c>
      <c r="D658">
        <v>6.37</v>
      </c>
      <c r="E658">
        <v>44.23</v>
      </c>
      <c r="F658">
        <v>26.23</v>
      </c>
      <c r="G658">
        <v>23.69</v>
      </c>
      <c r="H658">
        <v>2.5499999999999998</v>
      </c>
      <c r="I658">
        <v>13.27</v>
      </c>
      <c r="J658">
        <v>7.87</v>
      </c>
    </row>
    <row r="659" spans="1:10" x14ac:dyDescent="0.2">
      <c r="A659" t="s">
        <v>52</v>
      </c>
      <c r="B659" t="s">
        <v>15</v>
      </c>
      <c r="C659" t="s">
        <v>12</v>
      </c>
      <c r="D659">
        <v>21.93</v>
      </c>
      <c r="E659">
        <v>48.08</v>
      </c>
      <c r="F659">
        <v>35.79</v>
      </c>
      <c r="G659">
        <v>33.93</v>
      </c>
      <c r="H659">
        <v>8.77</v>
      </c>
      <c r="I659">
        <v>14.42</v>
      </c>
      <c r="J659">
        <v>10.74</v>
      </c>
    </row>
    <row r="660" spans="1:10" x14ac:dyDescent="0.2">
      <c r="A660" t="s">
        <v>52</v>
      </c>
      <c r="B660" t="s">
        <v>15</v>
      </c>
      <c r="C660" t="s">
        <v>13</v>
      </c>
      <c r="D660">
        <v>16.63</v>
      </c>
      <c r="E660">
        <v>36.54</v>
      </c>
      <c r="F660">
        <v>4.1100000000000003</v>
      </c>
      <c r="G660">
        <v>18.850000000000001</v>
      </c>
      <c r="H660">
        <v>6.65</v>
      </c>
      <c r="I660">
        <v>10.96</v>
      </c>
      <c r="J660">
        <v>1.23</v>
      </c>
    </row>
    <row r="661" spans="1:10" x14ac:dyDescent="0.2">
      <c r="A661" t="s">
        <v>52</v>
      </c>
      <c r="B661" t="s">
        <v>15</v>
      </c>
      <c r="C661" t="s">
        <v>14</v>
      </c>
      <c r="D661">
        <v>41.11</v>
      </c>
      <c r="E661">
        <v>34.619999999999997</v>
      </c>
      <c r="F661">
        <v>42.7</v>
      </c>
      <c r="G661">
        <v>39.64</v>
      </c>
      <c r="H661">
        <v>16.440000000000001</v>
      </c>
      <c r="I661">
        <v>10.38</v>
      </c>
      <c r="J661">
        <v>12.81</v>
      </c>
    </row>
    <row r="662" spans="1:10" x14ac:dyDescent="0.2">
      <c r="A662" t="s">
        <v>52</v>
      </c>
      <c r="B662" t="s">
        <v>16</v>
      </c>
      <c r="C662" t="s">
        <v>9</v>
      </c>
      <c r="D662">
        <v>21.32</v>
      </c>
      <c r="E662">
        <v>40.380000000000003</v>
      </c>
      <c r="F662">
        <v>6.16</v>
      </c>
      <c r="G662">
        <v>22.49</v>
      </c>
      <c r="H662">
        <v>8.5299999999999994</v>
      </c>
      <c r="I662">
        <v>12.12</v>
      </c>
      <c r="J662">
        <v>1.85</v>
      </c>
    </row>
    <row r="663" spans="1:10" x14ac:dyDescent="0.2">
      <c r="A663" t="s">
        <v>52</v>
      </c>
      <c r="B663" t="s">
        <v>16</v>
      </c>
      <c r="C663" t="s">
        <v>10</v>
      </c>
      <c r="D663">
        <v>14.69</v>
      </c>
      <c r="E663">
        <v>30.77</v>
      </c>
      <c r="F663">
        <v>13.22</v>
      </c>
      <c r="G663">
        <v>19.07</v>
      </c>
      <c r="H663">
        <v>5.88</v>
      </c>
      <c r="I663">
        <v>9.23</v>
      </c>
      <c r="J663">
        <v>3.97</v>
      </c>
    </row>
    <row r="664" spans="1:10" x14ac:dyDescent="0.2">
      <c r="A664" t="s">
        <v>52</v>
      </c>
      <c r="B664" t="s">
        <v>16</v>
      </c>
      <c r="C664" t="s">
        <v>11</v>
      </c>
      <c r="D664">
        <v>4.5599999999999996</v>
      </c>
      <c r="E664">
        <v>44.23</v>
      </c>
      <c r="F664">
        <v>5.77</v>
      </c>
      <c r="G664">
        <v>16.82</v>
      </c>
      <c r="H664">
        <v>1.82</v>
      </c>
      <c r="I664">
        <v>13.27</v>
      </c>
      <c r="J664">
        <v>1.73</v>
      </c>
    </row>
    <row r="665" spans="1:10" x14ac:dyDescent="0.2">
      <c r="A665" t="s">
        <v>52</v>
      </c>
      <c r="B665" t="s">
        <v>16</v>
      </c>
      <c r="C665" t="s">
        <v>12</v>
      </c>
      <c r="D665">
        <v>16.309999999999999</v>
      </c>
      <c r="E665">
        <v>48.08</v>
      </c>
      <c r="F665">
        <v>18.649999999999999</v>
      </c>
      <c r="G665">
        <v>26.54</v>
      </c>
      <c r="H665">
        <v>6.52</v>
      </c>
      <c r="I665">
        <v>14.42</v>
      </c>
      <c r="J665">
        <v>5.6</v>
      </c>
    </row>
    <row r="666" spans="1:10" x14ac:dyDescent="0.2">
      <c r="A666" t="s">
        <v>52</v>
      </c>
      <c r="B666" t="s">
        <v>16</v>
      </c>
      <c r="C666" t="s">
        <v>13</v>
      </c>
      <c r="D666">
        <v>9.56</v>
      </c>
      <c r="E666">
        <v>36.54</v>
      </c>
      <c r="F666">
        <v>4.3899999999999997</v>
      </c>
      <c r="G666">
        <v>16.100000000000001</v>
      </c>
      <c r="H666">
        <v>3.82</v>
      </c>
      <c r="I666">
        <v>10.96</v>
      </c>
      <c r="J666">
        <v>1.32</v>
      </c>
    </row>
    <row r="667" spans="1:10" x14ac:dyDescent="0.2">
      <c r="A667" t="s">
        <v>52</v>
      </c>
      <c r="B667" t="s">
        <v>16</v>
      </c>
      <c r="C667" t="s">
        <v>14</v>
      </c>
      <c r="D667">
        <v>21.38</v>
      </c>
      <c r="E667">
        <v>34.619999999999997</v>
      </c>
      <c r="F667">
        <v>16.97</v>
      </c>
      <c r="G667">
        <v>24.03</v>
      </c>
      <c r="H667">
        <v>8.5500000000000007</v>
      </c>
      <c r="I667">
        <v>10.38</v>
      </c>
      <c r="J667">
        <v>5.09</v>
      </c>
    </row>
    <row r="668" spans="1:10" x14ac:dyDescent="0.2">
      <c r="A668" t="s">
        <v>53</v>
      </c>
      <c r="B668" t="s">
        <v>8</v>
      </c>
      <c r="C668" t="s">
        <v>9</v>
      </c>
      <c r="D668">
        <v>18.010000000000002</v>
      </c>
      <c r="E668">
        <v>38.46</v>
      </c>
      <c r="F668">
        <v>3.16</v>
      </c>
      <c r="G668">
        <v>19.690000000000001</v>
      </c>
      <c r="H668">
        <v>7.2</v>
      </c>
      <c r="I668">
        <v>11.54</v>
      </c>
      <c r="J668">
        <v>0.95</v>
      </c>
    </row>
    <row r="669" spans="1:10" x14ac:dyDescent="0.2">
      <c r="A669" t="s">
        <v>53</v>
      </c>
      <c r="B669" t="s">
        <v>8</v>
      </c>
      <c r="C669" t="s">
        <v>10</v>
      </c>
      <c r="D669">
        <v>13.48</v>
      </c>
      <c r="E669">
        <v>28.85</v>
      </c>
      <c r="F669">
        <v>6.07</v>
      </c>
      <c r="G669">
        <v>15.87</v>
      </c>
      <c r="H669">
        <v>5.39</v>
      </c>
      <c r="I669">
        <v>8.65</v>
      </c>
      <c r="J669">
        <v>1.82</v>
      </c>
    </row>
    <row r="670" spans="1:10" x14ac:dyDescent="0.2">
      <c r="A670" t="s">
        <v>53</v>
      </c>
      <c r="B670" t="s">
        <v>8</v>
      </c>
      <c r="C670" t="s">
        <v>11</v>
      </c>
      <c r="D670">
        <v>5.03</v>
      </c>
      <c r="E670">
        <v>40.380000000000003</v>
      </c>
      <c r="F670">
        <v>4.1900000000000004</v>
      </c>
      <c r="G670">
        <v>15.38</v>
      </c>
      <c r="H670">
        <v>2.0099999999999998</v>
      </c>
      <c r="I670">
        <v>12.12</v>
      </c>
      <c r="J670">
        <v>1.26</v>
      </c>
    </row>
    <row r="671" spans="1:10" x14ac:dyDescent="0.2">
      <c r="A671" t="s">
        <v>53</v>
      </c>
      <c r="B671" t="s">
        <v>8</v>
      </c>
      <c r="C671" t="s">
        <v>12</v>
      </c>
      <c r="D671">
        <v>13.9</v>
      </c>
      <c r="E671">
        <v>51.92</v>
      </c>
      <c r="F671">
        <v>15.55</v>
      </c>
      <c r="G671">
        <v>25.8</v>
      </c>
      <c r="H671">
        <v>5.56</v>
      </c>
      <c r="I671">
        <v>15.58</v>
      </c>
      <c r="J671">
        <v>4.67</v>
      </c>
    </row>
    <row r="672" spans="1:10" x14ac:dyDescent="0.2">
      <c r="A672" t="s">
        <v>53</v>
      </c>
      <c r="B672" t="s">
        <v>8</v>
      </c>
      <c r="C672" t="s">
        <v>13</v>
      </c>
      <c r="D672">
        <v>11.82</v>
      </c>
      <c r="E672">
        <v>32.69</v>
      </c>
      <c r="F672">
        <v>9.6300000000000008</v>
      </c>
      <c r="G672">
        <v>17.43</v>
      </c>
      <c r="H672">
        <v>4.7300000000000004</v>
      </c>
      <c r="I672">
        <v>9.81</v>
      </c>
      <c r="J672">
        <v>2.89</v>
      </c>
    </row>
    <row r="673" spans="1:10" x14ac:dyDescent="0.2">
      <c r="A673" t="s">
        <v>53</v>
      </c>
      <c r="B673" t="s">
        <v>8</v>
      </c>
      <c r="C673" t="s">
        <v>14</v>
      </c>
      <c r="D673">
        <v>17.22</v>
      </c>
      <c r="E673">
        <v>42.31</v>
      </c>
      <c r="F673">
        <v>14.54</v>
      </c>
      <c r="G673">
        <v>23.94</v>
      </c>
      <c r="H673">
        <v>6.89</v>
      </c>
      <c r="I673">
        <v>12.69</v>
      </c>
      <c r="J673">
        <v>4.3600000000000003</v>
      </c>
    </row>
    <row r="674" spans="1:10" x14ac:dyDescent="0.2">
      <c r="A674" t="s">
        <v>53</v>
      </c>
      <c r="B674" t="s">
        <v>15</v>
      </c>
      <c r="C674" t="s">
        <v>9</v>
      </c>
      <c r="D674">
        <v>28.19</v>
      </c>
      <c r="E674">
        <v>38.46</v>
      </c>
      <c r="F674">
        <v>5.17</v>
      </c>
      <c r="G674">
        <v>24.37</v>
      </c>
      <c r="H674">
        <v>11.28</v>
      </c>
      <c r="I674">
        <v>11.54</v>
      </c>
      <c r="J674">
        <v>1.55</v>
      </c>
    </row>
    <row r="675" spans="1:10" x14ac:dyDescent="0.2">
      <c r="A675" t="s">
        <v>53</v>
      </c>
      <c r="B675" t="s">
        <v>15</v>
      </c>
      <c r="C675" t="s">
        <v>10</v>
      </c>
      <c r="D675">
        <v>19.989999999999998</v>
      </c>
      <c r="E675">
        <v>28.85</v>
      </c>
      <c r="F675">
        <v>9.51</v>
      </c>
      <c r="G675">
        <v>19.5</v>
      </c>
      <c r="H675">
        <v>8</v>
      </c>
      <c r="I675">
        <v>8.65</v>
      </c>
      <c r="J675">
        <v>2.85</v>
      </c>
    </row>
    <row r="676" spans="1:10" x14ac:dyDescent="0.2">
      <c r="A676" t="s">
        <v>53</v>
      </c>
      <c r="B676" t="s">
        <v>15</v>
      </c>
      <c r="C676" t="s">
        <v>11</v>
      </c>
      <c r="D676">
        <v>7.52</v>
      </c>
      <c r="E676">
        <v>40.380000000000003</v>
      </c>
      <c r="F676">
        <v>6.5</v>
      </c>
      <c r="G676">
        <v>17.07</v>
      </c>
      <c r="H676">
        <v>3.01</v>
      </c>
      <c r="I676">
        <v>12.12</v>
      </c>
      <c r="J676">
        <v>1.95</v>
      </c>
    </row>
    <row r="677" spans="1:10" x14ac:dyDescent="0.2">
      <c r="A677" t="s">
        <v>53</v>
      </c>
      <c r="B677" t="s">
        <v>15</v>
      </c>
      <c r="C677" t="s">
        <v>12</v>
      </c>
      <c r="D677">
        <v>19.61</v>
      </c>
      <c r="E677">
        <v>51.92</v>
      </c>
      <c r="F677">
        <v>15.84</v>
      </c>
      <c r="G677">
        <v>28.17</v>
      </c>
      <c r="H677">
        <v>7.84</v>
      </c>
      <c r="I677">
        <v>15.58</v>
      </c>
      <c r="J677">
        <v>4.75</v>
      </c>
    </row>
    <row r="678" spans="1:10" x14ac:dyDescent="0.2">
      <c r="A678" t="s">
        <v>53</v>
      </c>
      <c r="B678" t="s">
        <v>15</v>
      </c>
      <c r="C678" t="s">
        <v>13</v>
      </c>
      <c r="D678">
        <v>21.2</v>
      </c>
      <c r="E678">
        <v>32.69</v>
      </c>
      <c r="F678">
        <v>8</v>
      </c>
      <c r="G678">
        <v>20.69</v>
      </c>
      <c r="H678">
        <v>8.48</v>
      </c>
      <c r="I678">
        <v>9.81</v>
      </c>
      <c r="J678">
        <v>2.4</v>
      </c>
    </row>
    <row r="679" spans="1:10" x14ac:dyDescent="0.2">
      <c r="A679" t="s">
        <v>53</v>
      </c>
      <c r="B679" t="s">
        <v>15</v>
      </c>
      <c r="C679" t="s">
        <v>14</v>
      </c>
      <c r="D679">
        <v>45.75</v>
      </c>
      <c r="E679">
        <v>42.31</v>
      </c>
      <c r="F679">
        <v>27</v>
      </c>
      <c r="G679">
        <v>39.090000000000003</v>
      </c>
      <c r="H679">
        <v>18.3</v>
      </c>
      <c r="I679">
        <v>12.69</v>
      </c>
      <c r="J679">
        <v>8.1</v>
      </c>
    </row>
    <row r="680" spans="1:10" x14ac:dyDescent="0.2">
      <c r="A680" t="s">
        <v>53</v>
      </c>
      <c r="B680" t="s">
        <v>16</v>
      </c>
      <c r="C680" t="s">
        <v>9</v>
      </c>
      <c r="D680">
        <v>25.72</v>
      </c>
      <c r="E680">
        <v>38.46</v>
      </c>
      <c r="F680">
        <v>5.01</v>
      </c>
      <c r="G680">
        <v>23.33</v>
      </c>
      <c r="H680">
        <v>10.29</v>
      </c>
      <c r="I680">
        <v>11.54</v>
      </c>
      <c r="J680">
        <v>1.5</v>
      </c>
    </row>
    <row r="681" spans="1:10" x14ac:dyDescent="0.2">
      <c r="A681" t="s">
        <v>53</v>
      </c>
      <c r="B681" t="s">
        <v>16</v>
      </c>
      <c r="C681" t="s">
        <v>10</v>
      </c>
      <c r="D681">
        <v>16.420000000000002</v>
      </c>
      <c r="E681">
        <v>28.85</v>
      </c>
      <c r="F681">
        <v>7.59</v>
      </c>
      <c r="G681">
        <v>17.5</v>
      </c>
      <c r="H681">
        <v>6.57</v>
      </c>
      <c r="I681">
        <v>8.65</v>
      </c>
      <c r="J681">
        <v>2.2799999999999998</v>
      </c>
    </row>
    <row r="682" spans="1:10" x14ac:dyDescent="0.2">
      <c r="A682" t="s">
        <v>53</v>
      </c>
      <c r="B682" t="s">
        <v>16</v>
      </c>
      <c r="C682" t="s">
        <v>11</v>
      </c>
      <c r="D682">
        <v>5.71</v>
      </c>
      <c r="E682">
        <v>40.380000000000003</v>
      </c>
      <c r="F682">
        <v>4.3099999999999996</v>
      </c>
      <c r="G682">
        <v>15.69</v>
      </c>
      <c r="H682">
        <v>2.2799999999999998</v>
      </c>
      <c r="I682">
        <v>12.12</v>
      </c>
      <c r="J682">
        <v>1.29</v>
      </c>
    </row>
    <row r="683" spans="1:10" x14ac:dyDescent="0.2">
      <c r="A683" t="s">
        <v>53</v>
      </c>
      <c r="B683" t="s">
        <v>16</v>
      </c>
      <c r="C683" t="s">
        <v>12</v>
      </c>
      <c r="D683">
        <v>16.86</v>
      </c>
      <c r="E683">
        <v>51.92</v>
      </c>
      <c r="F683">
        <v>13.29</v>
      </c>
      <c r="G683">
        <v>26.31</v>
      </c>
      <c r="H683">
        <v>6.74</v>
      </c>
      <c r="I683">
        <v>15.58</v>
      </c>
      <c r="J683">
        <v>3.99</v>
      </c>
    </row>
    <row r="684" spans="1:10" x14ac:dyDescent="0.2">
      <c r="A684" t="s">
        <v>53</v>
      </c>
      <c r="B684" t="s">
        <v>16</v>
      </c>
      <c r="C684" t="s">
        <v>13</v>
      </c>
      <c r="D684">
        <v>10.75</v>
      </c>
      <c r="E684">
        <v>32.69</v>
      </c>
      <c r="F684">
        <v>4.59</v>
      </c>
      <c r="G684">
        <v>15.49</v>
      </c>
      <c r="H684">
        <v>4.3</v>
      </c>
      <c r="I684">
        <v>9.81</v>
      </c>
      <c r="J684">
        <v>1.38</v>
      </c>
    </row>
    <row r="685" spans="1:10" x14ac:dyDescent="0.2">
      <c r="A685" t="s">
        <v>53</v>
      </c>
      <c r="B685" t="s">
        <v>16</v>
      </c>
      <c r="C685" t="s">
        <v>14</v>
      </c>
      <c r="D685">
        <v>23.17</v>
      </c>
      <c r="E685">
        <v>42.31</v>
      </c>
      <c r="F685">
        <v>16.239999999999998</v>
      </c>
      <c r="G685">
        <v>26.83</v>
      </c>
      <c r="H685">
        <v>9.27</v>
      </c>
      <c r="I685">
        <v>12.69</v>
      </c>
      <c r="J685">
        <v>4.87</v>
      </c>
    </row>
    <row r="686" spans="1:10" x14ac:dyDescent="0.2">
      <c r="A686" t="s">
        <v>54</v>
      </c>
      <c r="B686" t="s">
        <v>8</v>
      </c>
      <c r="C686" t="s">
        <v>9</v>
      </c>
      <c r="D686">
        <v>14.69</v>
      </c>
      <c r="E686">
        <v>38.46</v>
      </c>
      <c r="F686">
        <v>4.22</v>
      </c>
      <c r="G686">
        <v>18.68</v>
      </c>
      <c r="H686">
        <v>5.88</v>
      </c>
      <c r="I686">
        <v>11.54</v>
      </c>
      <c r="J686">
        <v>1.27</v>
      </c>
    </row>
    <row r="687" spans="1:10" x14ac:dyDescent="0.2">
      <c r="A687" t="s">
        <v>54</v>
      </c>
      <c r="B687" t="s">
        <v>8</v>
      </c>
      <c r="C687" t="s">
        <v>10</v>
      </c>
      <c r="D687">
        <v>10.119999999999999</v>
      </c>
      <c r="E687">
        <v>30.77</v>
      </c>
      <c r="F687">
        <v>4.5999999999999996</v>
      </c>
      <c r="G687">
        <v>14.66</v>
      </c>
      <c r="H687">
        <v>4.05</v>
      </c>
      <c r="I687">
        <v>9.23</v>
      </c>
      <c r="J687">
        <v>1.38</v>
      </c>
    </row>
    <row r="688" spans="1:10" x14ac:dyDescent="0.2">
      <c r="A688" t="s">
        <v>54</v>
      </c>
      <c r="B688" t="s">
        <v>8</v>
      </c>
      <c r="C688" t="s">
        <v>11</v>
      </c>
      <c r="D688">
        <v>4.22</v>
      </c>
      <c r="E688">
        <v>40.380000000000003</v>
      </c>
      <c r="F688">
        <v>8.01</v>
      </c>
      <c r="G688">
        <v>16.21</v>
      </c>
      <c r="H688">
        <v>1.69</v>
      </c>
      <c r="I688">
        <v>12.12</v>
      </c>
      <c r="J688">
        <v>2.4</v>
      </c>
    </row>
    <row r="689" spans="1:10" x14ac:dyDescent="0.2">
      <c r="A689" t="s">
        <v>54</v>
      </c>
      <c r="B689" t="s">
        <v>8</v>
      </c>
      <c r="C689" t="s">
        <v>12</v>
      </c>
      <c r="D689">
        <v>13.58</v>
      </c>
      <c r="E689">
        <v>57.69</v>
      </c>
      <c r="F689">
        <v>30.7</v>
      </c>
      <c r="G689">
        <v>31.95</v>
      </c>
      <c r="H689">
        <v>5.43</v>
      </c>
      <c r="I689">
        <v>17.309999999999999</v>
      </c>
      <c r="J689">
        <v>9.2100000000000009</v>
      </c>
    </row>
    <row r="690" spans="1:10" x14ac:dyDescent="0.2">
      <c r="A690" t="s">
        <v>54</v>
      </c>
      <c r="B690" t="s">
        <v>8</v>
      </c>
      <c r="C690" t="s">
        <v>13</v>
      </c>
      <c r="D690">
        <v>9.8000000000000007</v>
      </c>
      <c r="E690">
        <v>32.69</v>
      </c>
      <c r="F690">
        <v>6.03</v>
      </c>
      <c r="G690">
        <v>15.53</v>
      </c>
      <c r="H690">
        <v>3.92</v>
      </c>
      <c r="I690">
        <v>9.81</v>
      </c>
      <c r="J690">
        <v>1.81</v>
      </c>
    </row>
    <row r="691" spans="1:10" x14ac:dyDescent="0.2">
      <c r="A691" t="s">
        <v>54</v>
      </c>
      <c r="B691" t="s">
        <v>8</v>
      </c>
      <c r="C691" t="s">
        <v>14</v>
      </c>
      <c r="D691">
        <v>18.25</v>
      </c>
      <c r="E691">
        <v>40.380000000000003</v>
      </c>
      <c r="F691">
        <v>16.8</v>
      </c>
      <c r="G691">
        <v>24.45</v>
      </c>
      <c r="H691">
        <v>7.3</v>
      </c>
      <c r="I691">
        <v>12.12</v>
      </c>
      <c r="J691">
        <v>5.04</v>
      </c>
    </row>
    <row r="692" spans="1:10" x14ac:dyDescent="0.2">
      <c r="A692" t="s">
        <v>54</v>
      </c>
      <c r="B692" t="s">
        <v>15</v>
      </c>
      <c r="C692" t="s">
        <v>9</v>
      </c>
      <c r="D692">
        <v>22.53</v>
      </c>
      <c r="E692">
        <v>38.46</v>
      </c>
      <c r="F692">
        <v>3.59</v>
      </c>
      <c r="G692">
        <v>21.63</v>
      </c>
      <c r="H692">
        <v>9.01</v>
      </c>
      <c r="I692">
        <v>11.54</v>
      </c>
      <c r="J692">
        <v>1.08</v>
      </c>
    </row>
    <row r="693" spans="1:10" x14ac:dyDescent="0.2">
      <c r="A693" t="s">
        <v>54</v>
      </c>
      <c r="B693" t="s">
        <v>15</v>
      </c>
      <c r="C693" t="s">
        <v>10</v>
      </c>
      <c r="D693">
        <v>16.68</v>
      </c>
      <c r="E693">
        <v>30.77</v>
      </c>
      <c r="F693">
        <v>7.08</v>
      </c>
      <c r="G693">
        <v>18.02</v>
      </c>
      <c r="H693">
        <v>6.67</v>
      </c>
      <c r="I693">
        <v>9.23</v>
      </c>
      <c r="J693">
        <v>2.12</v>
      </c>
    </row>
    <row r="694" spans="1:10" x14ac:dyDescent="0.2">
      <c r="A694" t="s">
        <v>54</v>
      </c>
      <c r="B694" t="s">
        <v>15</v>
      </c>
      <c r="C694" t="s">
        <v>11</v>
      </c>
      <c r="D694">
        <v>7.23</v>
      </c>
      <c r="E694">
        <v>40.380000000000003</v>
      </c>
      <c r="F694">
        <v>9.64</v>
      </c>
      <c r="G694">
        <v>17.899999999999999</v>
      </c>
      <c r="H694">
        <v>2.89</v>
      </c>
      <c r="I694">
        <v>12.12</v>
      </c>
      <c r="J694">
        <v>2.89</v>
      </c>
    </row>
    <row r="695" spans="1:10" x14ac:dyDescent="0.2">
      <c r="A695" t="s">
        <v>54</v>
      </c>
      <c r="B695" t="s">
        <v>15</v>
      </c>
      <c r="C695" t="s">
        <v>12</v>
      </c>
      <c r="D695">
        <v>21.29</v>
      </c>
      <c r="E695">
        <v>57.69</v>
      </c>
      <c r="F695">
        <v>17.52</v>
      </c>
      <c r="G695">
        <v>31.08</v>
      </c>
      <c r="H695">
        <v>8.52</v>
      </c>
      <c r="I695">
        <v>17.309999999999999</v>
      </c>
      <c r="J695">
        <v>5.25</v>
      </c>
    </row>
    <row r="696" spans="1:10" x14ac:dyDescent="0.2">
      <c r="A696" t="s">
        <v>54</v>
      </c>
      <c r="B696" t="s">
        <v>15</v>
      </c>
      <c r="C696" t="s">
        <v>13</v>
      </c>
      <c r="D696">
        <v>17.32</v>
      </c>
      <c r="E696">
        <v>32.69</v>
      </c>
      <c r="F696">
        <v>5.89</v>
      </c>
      <c r="G696">
        <v>18.5</v>
      </c>
      <c r="H696">
        <v>6.93</v>
      </c>
      <c r="I696">
        <v>9.81</v>
      </c>
      <c r="J696">
        <v>1.77</v>
      </c>
    </row>
    <row r="697" spans="1:10" x14ac:dyDescent="0.2">
      <c r="A697" t="s">
        <v>54</v>
      </c>
      <c r="B697" t="s">
        <v>15</v>
      </c>
      <c r="C697" t="s">
        <v>14</v>
      </c>
      <c r="D697">
        <v>45.38</v>
      </c>
      <c r="E697">
        <v>40.380000000000003</v>
      </c>
      <c r="F697">
        <v>37.93</v>
      </c>
      <c r="G697">
        <v>41.65</v>
      </c>
      <c r="H697">
        <v>18.149999999999999</v>
      </c>
      <c r="I697">
        <v>12.12</v>
      </c>
      <c r="J697">
        <v>11.38</v>
      </c>
    </row>
    <row r="698" spans="1:10" x14ac:dyDescent="0.2">
      <c r="A698" t="s">
        <v>54</v>
      </c>
      <c r="B698" t="s">
        <v>16</v>
      </c>
      <c r="C698" t="s">
        <v>9</v>
      </c>
      <c r="D698">
        <v>22.28</v>
      </c>
      <c r="E698">
        <v>38.46</v>
      </c>
      <c r="F698">
        <v>4.2</v>
      </c>
      <c r="G698">
        <v>21.71</v>
      </c>
      <c r="H698">
        <v>8.91</v>
      </c>
      <c r="I698">
        <v>11.54</v>
      </c>
      <c r="J698">
        <v>1.26</v>
      </c>
    </row>
    <row r="699" spans="1:10" x14ac:dyDescent="0.2">
      <c r="A699" t="s">
        <v>54</v>
      </c>
      <c r="B699" t="s">
        <v>16</v>
      </c>
      <c r="C699" t="s">
        <v>10</v>
      </c>
      <c r="D699">
        <v>12.2</v>
      </c>
      <c r="E699">
        <v>30.77</v>
      </c>
      <c r="F699">
        <v>8.75</v>
      </c>
      <c r="G699">
        <v>16.739999999999998</v>
      </c>
      <c r="H699">
        <v>4.88</v>
      </c>
      <c r="I699">
        <v>9.23</v>
      </c>
      <c r="J699">
        <v>2.63</v>
      </c>
    </row>
    <row r="700" spans="1:10" x14ac:dyDescent="0.2">
      <c r="A700" t="s">
        <v>54</v>
      </c>
      <c r="B700" t="s">
        <v>16</v>
      </c>
      <c r="C700" t="s">
        <v>11</v>
      </c>
      <c r="D700">
        <v>4.6900000000000004</v>
      </c>
      <c r="E700">
        <v>40.380000000000003</v>
      </c>
      <c r="F700">
        <v>7.36</v>
      </c>
      <c r="G700">
        <v>16.2</v>
      </c>
      <c r="H700">
        <v>1.87</v>
      </c>
      <c r="I700">
        <v>12.12</v>
      </c>
      <c r="J700">
        <v>2.21</v>
      </c>
    </row>
    <row r="701" spans="1:10" x14ac:dyDescent="0.2">
      <c r="A701" t="s">
        <v>54</v>
      </c>
      <c r="B701" t="s">
        <v>16</v>
      </c>
      <c r="C701" t="s">
        <v>12</v>
      </c>
      <c r="D701">
        <v>18</v>
      </c>
      <c r="E701">
        <v>57.69</v>
      </c>
      <c r="F701">
        <v>22.36</v>
      </c>
      <c r="G701">
        <v>31.22</v>
      </c>
      <c r="H701">
        <v>7.2</v>
      </c>
      <c r="I701">
        <v>17.309999999999999</v>
      </c>
      <c r="J701">
        <v>6.71</v>
      </c>
    </row>
    <row r="702" spans="1:10" x14ac:dyDescent="0.2">
      <c r="A702" t="s">
        <v>54</v>
      </c>
      <c r="B702" t="s">
        <v>16</v>
      </c>
      <c r="C702" t="s">
        <v>13</v>
      </c>
      <c r="D702">
        <v>9.98</v>
      </c>
      <c r="E702">
        <v>32.69</v>
      </c>
      <c r="F702">
        <v>4.71</v>
      </c>
      <c r="G702">
        <v>15.21</v>
      </c>
      <c r="H702">
        <v>3.99</v>
      </c>
      <c r="I702">
        <v>9.81</v>
      </c>
      <c r="J702">
        <v>1.41</v>
      </c>
    </row>
    <row r="703" spans="1:10" x14ac:dyDescent="0.2">
      <c r="A703" t="s">
        <v>54</v>
      </c>
      <c r="B703" t="s">
        <v>16</v>
      </c>
      <c r="C703" t="s">
        <v>14</v>
      </c>
      <c r="D703">
        <v>22.49</v>
      </c>
      <c r="E703">
        <v>40.380000000000003</v>
      </c>
      <c r="F703">
        <v>18.649999999999999</v>
      </c>
      <c r="G703">
        <v>26.71</v>
      </c>
      <c r="H703">
        <v>9</v>
      </c>
      <c r="I703">
        <v>12.12</v>
      </c>
      <c r="J703">
        <v>5.59</v>
      </c>
    </row>
    <row r="704" spans="1:10" x14ac:dyDescent="0.2">
      <c r="A704" t="s">
        <v>55</v>
      </c>
      <c r="B704" t="s">
        <v>8</v>
      </c>
      <c r="C704" t="s">
        <v>9</v>
      </c>
      <c r="D704">
        <v>15.73</v>
      </c>
      <c r="E704">
        <v>32.69</v>
      </c>
      <c r="F704">
        <v>4.4000000000000004</v>
      </c>
      <c r="G704">
        <v>17.420000000000002</v>
      </c>
      <c r="H704">
        <v>6.29</v>
      </c>
      <c r="I704">
        <v>9.81</v>
      </c>
      <c r="J704">
        <v>1.32</v>
      </c>
    </row>
    <row r="705" spans="1:10" x14ac:dyDescent="0.2">
      <c r="A705" t="s">
        <v>55</v>
      </c>
      <c r="B705" t="s">
        <v>8</v>
      </c>
      <c r="C705" t="s">
        <v>10</v>
      </c>
      <c r="D705">
        <v>9.6300000000000008</v>
      </c>
      <c r="E705">
        <v>30.77</v>
      </c>
      <c r="F705">
        <v>5.67</v>
      </c>
      <c r="G705">
        <v>14.78</v>
      </c>
      <c r="H705">
        <v>3.85</v>
      </c>
      <c r="I705">
        <v>9.23</v>
      </c>
      <c r="J705">
        <v>1.7</v>
      </c>
    </row>
    <row r="706" spans="1:10" x14ac:dyDescent="0.2">
      <c r="A706" t="s">
        <v>55</v>
      </c>
      <c r="B706" t="s">
        <v>8</v>
      </c>
      <c r="C706" t="s">
        <v>11</v>
      </c>
      <c r="D706">
        <v>3.52</v>
      </c>
      <c r="E706">
        <v>34.619999999999997</v>
      </c>
      <c r="F706">
        <v>16.329999999999998</v>
      </c>
      <c r="G706">
        <v>16.690000000000001</v>
      </c>
      <c r="H706">
        <v>1.41</v>
      </c>
      <c r="I706">
        <v>10.38</v>
      </c>
      <c r="J706">
        <v>4.9000000000000004</v>
      </c>
    </row>
    <row r="707" spans="1:10" x14ac:dyDescent="0.2">
      <c r="A707" t="s">
        <v>55</v>
      </c>
      <c r="B707" t="s">
        <v>8</v>
      </c>
      <c r="C707" t="s">
        <v>12</v>
      </c>
      <c r="D707">
        <v>11.42</v>
      </c>
      <c r="E707">
        <v>55.77</v>
      </c>
      <c r="F707">
        <v>13.91</v>
      </c>
      <c r="G707">
        <v>25.47</v>
      </c>
      <c r="H707">
        <v>4.57</v>
      </c>
      <c r="I707">
        <v>16.73</v>
      </c>
      <c r="J707">
        <v>4.17</v>
      </c>
    </row>
    <row r="708" spans="1:10" x14ac:dyDescent="0.2">
      <c r="A708" t="s">
        <v>55</v>
      </c>
      <c r="B708" t="s">
        <v>8</v>
      </c>
      <c r="C708" t="s">
        <v>13</v>
      </c>
      <c r="D708">
        <v>11.29</v>
      </c>
      <c r="E708">
        <v>28.85</v>
      </c>
      <c r="F708">
        <v>8.17</v>
      </c>
      <c r="G708">
        <v>15.62</v>
      </c>
      <c r="H708">
        <v>4.5199999999999996</v>
      </c>
      <c r="I708">
        <v>8.65</v>
      </c>
      <c r="J708">
        <v>2.4500000000000002</v>
      </c>
    </row>
    <row r="709" spans="1:10" x14ac:dyDescent="0.2">
      <c r="A709" t="s">
        <v>55</v>
      </c>
      <c r="B709" t="s">
        <v>8</v>
      </c>
      <c r="C709" t="s">
        <v>14</v>
      </c>
      <c r="D709">
        <v>15.57</v>
      </c>
      <c r="E709">
        <v>42.31</v>
      </c>
      <c r="F709">
        <v>14.74</v>
      </c>
      <c r="G709">
        <v>23.34</v>
      </c>
      <c r="H709">
        <v>6.23</v>
      </c>
      <c r="I709">
        <v>12.69</v>
      </c>
      <c r="J709">
        <v>4.42</v>
      </c>
    </row>
    <row r="710" spans="1:10" x14ac:dyDescent="0.2">
      <c r="A710" t="s">
        <v>55</v>
      </c>
      <c r="B710" t="s">
        <v>15</v>
      </c>
      <c r="C710" t="s">
        <v>9</v>
      </c>
      <c r="D710">
        <v>23.66</v>
      </c>
      <c r="E710">
        <v>32.69</v>
      </c>
      <c r="F710">
        <v>5.56</v>
      </c>
      <c r="G710">
        <v>20.94</v>
      </c>
      <c r="H710">
        <v>9.4700000000000006</v>
      </c>
      <c r="I710">
        <v>9.81</v>
      </c>
      <c r="J710">
        <v>1.67</v>
      </c>
    </row>
    <row r="711" spans="1:10" x14ac:dyDescent="0.2">
      <c r="A711" t="s">
        <v>55</v>
      </c>
      <c r="B711" t="s">
        <v>15</v>
      </c>
      <c r="C711" t="s">
        <v>10</v>
      </c>
      <c r="D711">
        <v>14.96</v>
      </c>
      <c r="E711">
        <v>30.77</v>
      </c>
      <c r="F711">
        <v>7.24</v>
      </c>
      <c r="G711">
        <v>17.39</v>
      </c>
      <c r="H711">
        <v>5.98</v>
      </c>
      <c r="I711">
        <v>9.23</v>
      </c>
      <c r="J711">
        <v>2.17</v>
      </c>
    </row>
    <row r="712" spans="1:10" x14ac:dyDescent="0.2">
      <c r="A712" t="s">
        <v>55</v>
      </c>
      <c r="B712" t="s">
        <v>15</v>
      </c>
      <c r="C712" t="s">
        <v>11</v>
      </c>
      <c r="D712">
        <v>6.59</v>
      </c>
      <c r="E712">
        <v>34.619999999999997</v>
      </c>
      <c r="F712">
        <v>10.99</v>
      </c>
      <c r="G712">
        <v>16.32</v>
      </c>
      <c r="H712">
        <v>2.64</v>
      </c>
      <c r="I712">
        <v>10.38</v>
      </c>
      <c r="J712">
        <v>3.3</v>
      </c>
    </row>
    <row r="713" spans="1:10" x14ac:dyDescent="0.2">
      <c r="A713" t="s">
        <v>55</v>
      </c>
      <c r="B713" t="s">
        <v>15</v>
      </c>
      <c r="C713" t="s">
        <v>12</v>
      </c>
      <c r="D713">
        <v>19.09</v>
      </c>
      <c r="E713">
        <v>55.77</v>
      </c>
      <c r="F713">
        <v>14.14</v>
      </c>
      <c r="G713">
        <v>28.61</v>
      </c>
      <c r="H713">
        <v>7.64</v>
      </c>
      <c r="I713">
        <v>16.73</v>
      </c>
      <c r="J713">
        <v>4.24</v>
      </c>
    </row>
    <row r="714" spans="1:10" x14ac:dyDescent="0.2">
      <c r="A714" t="s">
        <v>55</v>
      </c>
      <c r="B714" t="s">
        <v>15</v>
      </c>
      <c r="C714" t="s">
        <v>13</v>
      </c>
      <c r="D714">
        <v>17.95</v>
      </c>
      <c r="E714">
        <v>28.85</v>
      </c>
      <c r="F714">
        <v>6.46</v>
      </c>
      <c r="G714">
        <v>17.77</v>
      </c>
      <c r="H714">
        <v>7.18</v>
      </c>
      <c r="I714">
        <v>8.65</v>
      </c>
      <c r="J714">
        <v>1.94</v>
      </c>
    </row>
    <row r="715" spans="1:10" x14ac:dyDescent="0.2">
      <c r="A715" t="s">
        <v>55</v>
      </c>
      <c r="B715" t="s">
        <v>15</v>
      </c>
      <c r="C715" t="s">
        <v>14</v>
      </c>
      <c r="D715">
        <v>38.229999999999997</v>
      </c>
      <c r="E715">
        <v>42.31</v>
      </c>
      <c r="F715">
        <v>22.85</v>
      </c>
      <c r="G715">
        <v>34.840000000000003</v>
      </c>
      <c r="H715">
        <v>15.29</v>
      </c>
      <c r="I715">
        <v>12.69</v>
      </c>
      <c r="J715">
        <v>6.86</v>
      </c>
    </row>
    <row r="716" spans="1:10" x14ac:dyDescent="0.2">
      <c r="A716" t="s">
        <v>55</v>
      </c>
      <c r="B716" t="s">
        <v>16</v>
      </c>
      <c r="C716" t="s">
        <v>9</v>
      </c>
      <c r="D716">
        <v>21.7</v>
      </c>
      <c r="E716">
        <v>32.69</v>
      </c>
      <c r="F716">
        <v>4.6500000000000004</v>
      </c>
      <c r="G716">
        <v>19.88</v>
      </c>
      <c r="H716">
        <v>8.68</v>
      </c>
      <c r="I716">
        <v>9.81</v>
      </c>
      <c r="J716">
        <v>1.4</v>
      </c>
    </row>
    <row r="717" spans="1:10" x14ac:dyDescent="0.2">
      <c r="A717" t="s">
        <v>55</v>
      </c>
      <c r="B717" t="s">
        <v>16</v>
      </c>
      <c r="C717" t="s">
        <v>10</v>
      </c>
      <c r="D717">
        <v>11.8</v>
      </c>
      <c r="E717">
        <v>30.77</v>
      </c>
      <c r="F717">
        <v>10.02</v>
      </c>
      <c r="G717">
        <v>16.96</v>
      </c>
      <c r="H717">
        <v>4.72</v>
      </c>
      <c r="I717">
        <v>9.23</v>
      </c>
      <c r="J717">
        <v>3</v>
      </c>
    </row>
    <row r="718" spans="1:10" x14ac:dyDescent="0.2">
      <c r="A718" t="s">
        <v>55</v>
      </c>
      <c r="B718" t="s">
        <v>16</v>
      </c>
      <c r="C718" t="s">
        <v>11</v>
      </c>
      <c r="D718">
        <v>3.92</v>
      </c>
      <c r="E718">
        <v>34.619999999999997</v>
      </c>
      <c r="F718">
        <v>8.58</v>
      </c>
      <c r="G718">
        <v>14.53</v>
      </c>
      <c r="H718">
        <v>1.57</v>
      </c>
      <c r="I718">
        <v>10.38</v>
      </c>
      <c r="J718">
        <v>2.57</v>
      </c>
    </row>
    <row r="719" spans="1:10" x14ac:dyDescent="0.2">
      <c r="A719" t="s">
        <v>55</v>
      </c>
      <c r="B719" t="s">
        <v>16</v>
      </c>
      <c r="C719" t="s">
        <v>12</v>
      </c>
      <c r="D719">
        <v>15.83</v>
      </c>
      <c r="E719">
        <v>55.77</v>
      </c>
      <c r="F719">
        <v>13.21</v>
      </c>
      <c r="G719">
        <v>27.02</v>
      </c>
      <c r="H719">
        <v>6.33</v>
      </c>
      <c r="I719">
        <v>16.73</v>
      </c>
      <c r="J719">
        <v>3.96</v>
      </c>
    </row>
    <row r="720" spans="1:10" x14ac:dyDescent="0.2">
      <c r="A720" t="s">
        <v>55</v>
      </c>
      <c r="B720" t="s">
        <v>16</v>
      </c>
      <c r="C720" t="s">
        <v>13</v>
      </c>
      <c r="D720">
        <v>10</v>
      </c>
      <c r="E720">
        <v>28.85</v>
      </c>
      <c r="F720">
        <v>6.88</v>
      </c>
      <c r="G720">
        <v>14.72</v>
      </c>
      <c r="H720">
        <v>4</v>
      </c>
      <c r="I720">
        <v>8.65</v>
      </c>
      <c r="J720">
        <v>2.0699999999999998</v>
      </c>
    </row>
    <row r="721" spans="1:10" x14ac:dyDescent="0.2">
      <c r="A721" t="s">
        <v>55</v>
      </c>
      <c r="B721" t="s">
        <v>16</v>
      </c>
      <c r="C721" t="s">
        <v>14</v>
      </c>
      <c r="D721">
        <v>18.39</v>
      </c>
      <c r="E721">
        <v>42.31</v>
      </c>
      <c r="F721">
        <v>14.87</v>
      </c>
      <c r="G721">
        <v>24.51</v>
      </c>
      <c r="H721">
        <v>7.36</v>
      </c>
      <c r="I721">
        <v>12.69</v>
      </c>
      <c r="J721">
        <v>4.46</v>
      </c>
    </row>
    <row r="722" spans="1:10" x14ac:dyDescent="0.2">
      <c r="A722" t="s">
        <v>56</v>
      </c>
      <c r="B722" t="s">
        <v>8</v>
      </c>
      <c r="C722" t="s">
        <v>9</v>
      </c>
      <c r="D722">
        <v>14.88</v>
      </c>
      <c r="E722">
        <v>36.54</v>
      </c>
      <c r="F722">
        <v>4.04</v>
      </c>
      <c r="G722">
        <v>18.13</v>
      </c>
      <c r="H722">
        <v>5.95</v>
      </c>
      <c r="I722">
        <v>10.96</v>
      </c>
      <c r="J722">
        <v>1.21</v>
      </c>
    </row>
    <row r="723" spans="1:10" x14ac:dyDescent="0.2">
      <c r="A723" t="s">
        <v>56</v>
      </c>
      <c r="B723" t="s">
        <v>8</v>
      </c>
      <c r="C723" t="s">
        <v>10</v>
      </c>
      <c r="D723">
        <v>11.09</v>
      </c>
      <c r="E723">
        <v>28.85</v>
      </c>
      <c r="F723">
        <v>3.62</v>
      </c>
      <c r="G723">
        <v>14.18</v>
      </c>
      <c r="H723">
        <v>4.4400000000000004</v>
      </c>
      <c r="I723">
        <v>8.65</v>
      </c>
      <c r="J723">
        <v>1.0900000000000001</v>
      </c>
    </row>
    <row r="724" spans="1:10" x14ac:dyDescent="0.2">
      <c r="A724" t="s">
        <v>56</v>
      </c>
      <c r="B724" t="s">
        <v>8</v>
      </c>
      <c r="C724" t="s">
        <v>11</v>
      </c>
      <c r="D724">
        <v>4.09</v>
      </c>
      <c r="E724">
        <v>30.77</v>
      </c>
      <c r="F724">
        <v>5.87</v>
      </c>
      <c r="G724">
        <v>12.63</v>
      </c>
      <c r="H724">
        <v>1.64</v>
      </c>
      <c r="I724">
        <v>9.23</v>
      </c>
      <c r="J724">
        <v>1.76</v>
      </c>
    </row>
    <row r="725" spans="1:10" x14ac:dyDescent="0.2">
      <c r="A725" t="s">
        <v>56</v>
      </c>
      <c r="B725" t="s">
        <v>8</v>
      </c>
      <c r="C725" t="s">
        <v>12</v>
      </c>
      <c r="D725">
        <v>11.77</v>
      </c>
      <c r="E725">
        <v>53.85</v>
      </c>
      <c r="F725">
        <v>13.98</v>
      </c>
      <c r="G725">
        <v>25.05</v>
      </c>
      <c r="H725">
        <v>4.71</v>
      </c>
      <c r="I725">
        <v>16.149999999999999</v>
      </c>
      <c r="J725">
        <v>4.1900000000000004</v>
      </c>
    </row>
    <row r="726" spans="1:10" x14ac:dyDescent="0.2">
      <c r="A726" t="s">
        <v>56</v>
      </c>
      <c r="B726" t="s">
        <v>8</v>
      </c>
      <c r="C726" t="s">
        <v>13</v>
      </c>
      <c r="D726">
        <v>9.5299999999999994</v>
      </c>
      <c r="E726">
        <v>28.85</v>
      </c>
      <c r="F726">
        <v>4.7699999999999996</v>
      </c>
      <c r="G726">
        <v>13.9</v>
      </c>
      <c r="H726">
        <v>3.81</v>
      </c>
      <c r="I726">
        <v>8.65</v>
      </c>
      <c r="J726">
        <v>1.43</v>
      </c>
    </row>
    <row r="727" spans="1:10" x14ac:dyDescent="0.2">
      <c r="A727" t="s">
        <v>56</v>
      </c>
      <c r="B727" t="s">
        <v>8</v>
      </c>
      <c r="C727" t="s">
        <v>14</v>
      </c>
      <c r="D727">
        <v>14.38</v>
      </c>
      <c r="E727">
        <v>38.46</v>
      </c>
      <c r="F727">
        <v>28.5</v>
      </c>
      <c r="G727">
        <v>25.84</v>
      </c>
      <c r="H727">
        <v>5.75</v>
      </c>
      <c r="I727">
        <v>11.54</v>
      </c>
      <c r="J727">
        <v>8.5500000000000007</v>
      </c>
    </row>
    <row r="728" spans="1:10" x14ac:dyDescent="0.2">
      <c r="A728" t="s">
        <v>56</v>
      </c>
      <c r="B728" t="s">
        <v>15</v>
      </c>
      <c r="C728" t="s">
        <v>9</v>
      </c>
      <c r="D728">
        <v>20.58</v>
      </c>
      <c r="E728">
        <v>36.54</v>
      </c>
      <c r="F728">
        <v>5.31</v>
      </c>
      <c r="G728">
        <v>20.79</v>
      </c>
      <c r="H728">
        <v>8.23</v>
      </c>
      <c r="I728">
        <v>10.96</v>
      </c>
      <c r="J728">
        <v>1.59</v>
      </c>
    </row>
    <row r="729" spans="1:10" x14ac:dyDescent="0.2">
      <c r="A729" t="s">
        <v>56</v>
      </c>
      <c r="B729" t="s">
        <v>15</v>
      </c>
      <c r="C729" t="s">
        <v>10</v>
      </c>
      <c r="D729">
        <v>16.93</v>
      </c>
      <c r="E729">
        <v>28.85</v>
      </c>
      <c r="F729">
        <v>6.05</v>
      </c>
      <c r="G729">
        <v>17.239999999999998</v>
      </c>
      <c r="H729">
        <v>6.77</v>
      </c>
      <c r="I729">
        <v>8.65</v>
      </c>
      <c r="J729">
        <v>1.82</v>
      </c>
    </row>
    <row r="730" spans="1:10" x14ac:dyDescent="0.2">
      <c r="A730" t="s">
        <v>56</v>
      </c>
      <c r="B730" t="s">
        <v>15</v>
      </c>
      <c r="C730" t="s">
        <v>11</v>
      </c>
      <c r="D730">
        <v>7.82</v>
      </c>
      <c r="E730">
        <v>30.77</v>
      </c>
      <c r="F730">
        <v>6.82</v>
      </c>
      <c r="G730">
        <v>14.41</v>
      </c>
      <c r="H730">
        <v>3.13</v>
      </c>
      <c r="I730">
        <v>9.23</v>
      </c>
      <c r="J730">
        <v>2.0499999999999998</v>
      </c>
    </row>
    <row r="731" spans="1:10" x14ac:dyDescent="0.2">
      <c r="A731" t="s">
        <v>56</v>
      </c>
      <c r="B731" t="s">
        <v>15</v>
      </c>
      <c r="C731" t="s">
        <v>12</v>
      </c>
      <c r="D731">
        <v>19.66</v>
      </c>
      <c r="E731">
        <v>53.85</v>
      </c>
      <c r="F731">
        <v>21.06</v>
      </c>
      <c r="G731">
        <v>30.34</v>
      </c>
      <c r="H731">
        <v>7.87</v>
      </c>
      <c r="I731">
        <v>16.149999999999999</v>
      </c>
      <c r="J731">
        <v>6.32</v>
      </c>
    </row>
    <row r="732" spans="1:10" x14ac:dyDescent="0.2">
      <c r="A732" t="s">
        <v>56</v>
      </c>
      <c r="B732" t="s">
        <v>15</v>
      </c>
      <c r="C732" t="s">
        <v>13</v>
      </c>
      <c r="D732">
        <v>16.53</v>
      </c>
      <c r="E732">
        <v>28.85</v>
      </c>
      <c r="F732">
        <v>13.72</v>
      </c>
      <c r="G732">
        <v>19.38</v>
      </c>
      <c r="H732">
        <v>6.61</v>
      </c>
      <c r="I732">
        <v>8.65</v>
      </c>
      <c r="J732">
        <v>4.12</v>
      </c>
    </row>
    <row r="733" spans="1:10" x14ac:dyDescent="0.2">
      <c r="A733" t="s">
        <v>56</v>
      </c>
      <c r="B733" t="s">
        <v>15</v>
      </c>
      <c r="C733" t="s">
        <v>14</v>
      </c>
      <c r="D733">
        <v>33.07</v>
      </c>
      <c r="E733">
        <v>38.46</v>
      </c>
      <c r="F733">
        <v>28.21</v>
      </c>
      <c r="G733">
        <v>33.229999999999997</v>
      </c>
      <c r="H733">
        <v>13.23</v>
      </c>
      <c r="I733">
        <v>11.54</v>
      </c>
      <c r="J733">
        <v>8.4600000000000009</v>
      </c>
    </row>
    <row r="734" spans="1:10" x14ac:dyDescent="0.2">
      <c r="A734" t="s">
        <v>56</v>
      </c>
      <c r="B734" t="s">
        <v>16</v>
      </c>
      <c r="C734" t="s">
        <v>9</v>
      </c>
      <c r="D734">
        <v>21.15</v>
      </c>
      <c r="E734">
        <v>36.54</v>
      </c>
      <c r="F734">
        <v>4.63</v>
      </c>
      <c r="G734">
        <v>20.81</v>
      </c>
      <c r="H734">
        <v>8.4600000000000009</v>
      </c>
      <c r="I734">
        <v>10.96</v>
      </c>
      <c r="J734">
        <v>1.39</v>
      </c>
    </row>
    <row r="735" spans="1:10" x14ac:dyDescent="0.2">
      <c r="A735" t="s">
        <v>56</v>
      </c>
      <c r="B735" t="s">
        <v>16</v>
      </c>
      <c r="C735" t="s">
        <v>10</v>
      </c>
      <c r="D735">
        <v>12.08</v>
      </c>
      <c r="E735">
        <v>28.85</v>
      </c>
      <c r="F735">
        <v>11.53</v>
      </c>
      <c r="G735">
        <v>16.940000000000001</v>
      </c>
      <c r="H735">
        <v>4.83</v>
      </c>
      <c r="I735">
        <v>8.65</v>
      </c>
      <c r="J735">
        <v>3.46</v>
      </c>
    </row>
    <row r="736" spans="1:10" x14ac:dyDescent="0.2">
      <c r="A736" t="s">
        <v>56</v>
      </c>
      <c r="B736" t="s">
        <v>16</v>
      </c>
      <c r="C736" t="s">
        <v>11</v>
      </c>
      <c r="D736">
        <v>4.84</v>
      </c>
      <c r="E736">
        <v>30.77</v>
      </c>
      <c r="F736">
        <v>6.67</v>
      </c>
      <c r="G736">
        <v>13.17</v>
      </c>
      <c r="H736">
        <v>1.94</v>
      </c>
      <c r="I736">
        <v>9.23</v>
      </c>
      <c r="J736">
        <v>2</v>
      </c>
    </row>
    <row r="737" spans="1:10" x14ac:dyDescent="0.2">
      <c r="A737" t="s">
        <v>56</v>
      </c>
      <c r="B737" t="s">
        <v>16</v>
      </c>
      <c r="C737" t="s">
        <v>12</v>
      </c>
      <c r="D737">
        <v>14.88</v>
      </c>
      <c r="E737">
        <v>53.85</v>
      </c>
      <c r="F737">
        <v>19.5</v>
      </c>
      <c r="G737">
        <v>27.95</v>
      </c>
      <c r="H737">
        <v>5.95</v>
      </c>
      <c r="I737">
        <v>16.149999999999999</v>
      </c>
      <c r="J737">
        <v>5.85</v>
      </c>
    </row>
    <row r="738" spans="1:10" x14ac:dyDescent="0.2">
      <c r="A738" t="s">
        <v>56</v>
      </c>
      <c r="B738" t="s">
        <v>16</v>
      </c>
      <c r="C738" t="s">
        <v>13</v>
      </c>
      <c r="D738">
        <v>8.25</v>
      </c>
      <c r="E738">
        <v>28.85</v>
      </c>
      <c r="F738">
        <v>8.69</v>
      </c>
      <c r="G738">
        <v>14.56</v>
      </c>
      <c r="H738">
        <v>3.3</v>
      </c>
      <c r="I738">
        <v>8.65</v>
      </c>
      <c r="J738">
        <v>2.61</v>
      </c>
    </row>
    <row r="739" spans="1:10" x14ac:dyDescent="0.2">
      <c r="A739" t="s">
        <v>56</v>
      </c>
      <c r="B739" t="s">
        <v>16</v>
      </c>
      <c r="C739" t="s">
        <v>14</v>
      </c>
      <c r="D739">
        <v>19.850000000000001</v>
      </c>
      <c r="E739">
        <v>38.46</v>
      </c>
      <c r="F739">
        <v>13.87</v>
      </c>
      <c r="G739">
        <v>23.64</v>
      </c>
      <c r="H739">
        <v>7.94</v>
      </c>
      <c r="I739">
        <v>11.54</v>
      </c>
      <c r="J739">
        <v>4.16</v>
      </c>
    </row>
    <row r="740" spans="1:10" x14ac:dyDescent="0.2">
      <c r="A740" t="s">
        <v>57</v>
      </c>
      <c r="B740" t="s">
        <v>8</v>
      </c>
      <c r="C740" t="s">
        <v>9</v>
      </c>
      <c r="D740">
        <v>15.7</v>
      </c>
      <c r="E740">
        <v>36.54</v>
      </c>
      <c r="F740">
        <v>3.12</v>
      </c>
      <c r="G740">
        <v>18.18</v>
      </c>
      <c r="H740">
        <v>6.28</v>
      </c>
      <c r="I740">
        <v>10.96</v>
      </c>
      <c r="J740">
        <v>0.94</v>
      </c>
    </row>
    <row r="741" spans="1:10" x14ac:dyDescent="0.2">
      <c r="A741" t="s">
        <v>57</v>
      </c>
      <c r="B741" t="s">
        <v>8</v>
      </c>
      <c r="C741" t="s">
        <v>10</v>
      </c>
      <c r="D741">
        <v>10.59</v>
      </c>
      <c r="E741">
        <v>28.85</v>
      </c>
      <c r="F741">
        <v>3.94</v>
      </c>
      <c r="G741">
        <v>14.07</v>
      </c>
      <c r="H741">
        <v>4.2300000000000004</v>
      </c>
      <c r="I741">
        <v>8.65</v>
      </c>
      <c r="J741">
        <v>1.18</v>
      </c>
    </row>
    <row r="742" spans="1:10" x14ac:dyDescent="0.2">
      <c r="A742" t="s">
        <v>57</v>
      </c>
      <c r="B742" t="s">
        <v>8</v>
      </c>
      <c r="C742" t="s">
        <v>11</v>
      </c>
      <c r="D742">
        <v>4.67</v>
      </c>
      <c r="E742">
        <v>36.54</v>
      </c>
      <c r="F742">
        <v>2.82</v>
      </c>
      <c r="G742">
        <v>13.67</v>
      </c>
      <c r="H742">
        <v>1.87</v>
      </c>
      <c r="I742">
        <v>10.96</v>
      </c>
      <c r="J742">
        <v>0.85</v>
      </c>
    </row>
    <row r="743" spans="1:10" x14ac:dyDescent="0.2">
      <c r="A743" t="s">
        <v>57</v>
      </c>
      <c r="B743" t="s">
        <v>8</v>
      </c>
      <c r="C743" t="s">
        <v>12</v>
      </c>
      <c r="D743">
        <v>12.37</v>
      </c>
      <c r="E743">
        <v>51.92</v>
      </c>
      <c r="F743">
        <v>13.99</v>
      </c>
      <c r="G743">
        <v>24.72</v>
      </c>
      <c r="H743">
        <v>4.95</v>
      </c>
      <c r="I743">
        <v>15.58</v>
      </c>
      <c r="J743">
        <v>4.2</v>
      </c>
    </row>
    <row r="744" spans="1:10" x14ac:dyDescent="0.2">
      <c r="A744" t="s">
        <v>57</v>
      </c>
      <c r="B744" t="s">
        <v>8</v>
      </c>
      <c r="C744" t="s">
        <v>13</v>
      </c>
      <c r="D744">
        <v>10.28</v>
      </c>
      <c r="E744">
        <v>32.69</v>
      </c>
      <c r="F744">
        <v>8.59</v>
      </c>
      <c r="G744">
        <v>16.5</v>
      </c>
      <c r="H744">
        <v>4.1100000000000003</v>
      </c>
      <c r="I744">
        <v>9.81</v>
      </c>
      <c r="J744">
        <v>2.58</v>
      </c>
    </row>
    <row r="745" spans="1:10" x14ac:dyDescent="0.2">
      <c r="A745" t="s">
        <v>57</v>
      </c>
      <c r="B745" t="s">
        <v>8</v>
      </c>
      <c r="C745" t="s">
        <v>14</v>
      </c>
      <c r="D745">
        <v>15.93</v>
      </c>
      <c r="E745">
        <v>36.54</v>
      </c>
      <c r="F745">
        <v>13.36</v>
      </c>
      <c r="G745">
        <v>21.34</v>
      </c>
      <c r="H745">
        <v>6.37</v>
      </c>
      <c r="I745">
        <v>10.96</v>
      </c>
      <c r="J745">
        <v>4.01</v>
      </c>
    </row>
    <row r="746" spans="1:10" x14ac:dyDescent="0.2">
      <c r="A746" t="s">
        <v>57</v>
      </c>
      <c r="B746" t="s">
        <v>15</v>
      </c>
      <c r="C746" t="s">
        <v>9</v>
      </c>
      <c r="D746">
        <v>21.68</v>
      </c>
      <c r="E746">
        <v>36.54</v>
      </c>
      <c r="F746">
        <v>3.98</v>
      </c>
      <c r="G746">
        <v>20.83</v>
      </c>
      <c r="H746">
        <v>8.67</v>
      </c>
      <c r="I746">
        <v>10.96</v>
      </c>
      <c r="J746">
        <v>1.19</v>
      </c>
    </row>
    <row r="747" spans="1:10" x14ac:dyDescent="0.2">
      <c r="A747" t="s">
        <v>57</v>
      </c>
      <c r="B747" t="s">
        <v>15</v>
      </c>
      <c r="C747" t="s">
        <v>10</v>
      </c>
      <c r="D747">
        <v>16.670000000000002</v>
      </c>
      <c r="E747">
        <v>28.85</v>
      </c>
      <c r="F747">
        <v>5.72</v>
      </c>
      <c r="G747">
        <v>17.04</v>
      </c>
      <c r="H747">
        <v>6.67</v>
      </c>
      <c r="I747">
        <v>8.65</v>
      </c>
      <c r="J747">
        <v>1.72</v>
      </c>
    </row>
    <row r="748" spans="1:10" x14ac:dyDescent="0.2">
      <c r="A748" t="s">
        <v>57</v>
      </c>
      <c r="B748" t="s">
        <v>15</v>
      </c>
      <c r="C748" t="s">
        <v>11</v>
      </c>
      <c r="D748">
        <v>7.41</v>
      </c>
      <c r="E748">
        <v>36.54</v>
      </c>
      <c r="F748">
        <v>5.81</v>
      </c>
      <c r="G748">
        <v>15.67</v>
      </c>
      <c r="H748">
        <v>2.97</v>
      </c>
      <c r="I748">
        <v>10.96</v>
      </c>
      <c r="J748">
        <v>1.74</v>
      </c>
    </row>
    <row r="749" spans="1:10" x14ac:dyDescent="0.2">
      <c r="A749" t="s">
        <v>57</v>
      </c>
      <c r="B749" t="s">
        <v>15</v>
      </c>
      <c r="C749" t="s">
        <v>12</v>
      </c>
      <c r="D749">
        <v>21.45</v>
      </c>
      <c r="E749">
        <v>51.92</v>
      </c>
      <c r="F749">
        <v>18.97</v>
      </c>
      <c r="G749">
        <v>29.85</v>
      </c>
      <c r="H749">
        <v>8.58</v>
      </c>
      <c r="I749">
        <v>15.58</v>
      </c>
      <c r="J749">
        <v>5.69</v>
      </c>
    </row>
    <row r="750" spans="1:10" x14ac:dyDescent="0.2">
      <c r="A750" t="s">
        <v>57</v>
      </c>
      <c r="B750" t="s">
        <v>15</v>
      </c>
      <c r="C750" t="s">
        <v>13</v>
      </c>
      <c r="D750">
        <v>19.66</v>
      </c>
      <c r="E750">
        <v>32.69</v>
      </c>
      <c r="F750">
        <v>13.22</v>
      </c>
      <c r="G750">
        <v>21.64</v>
      </c>
      <c r="H750">
        <v>7.86</v>
      </c>
      <c r="I750">
        <v>9.81</v>
      </c>
      <c r="J750">
        <v>3.97</v>
      </c>
    </row>
    <row r="751" spans="1:10" x14ac:dyDescent="0.2">
      <c r="A751" t="s">
        <v>57</v>
      </c>
      <c r="B751" t="s">
        <v>15</v>
      </c>
      <c r="C751" t="s">
        <v>14</v>
      </c>
      <c r="D751">
        <v>34.729999999999997</v>
      </c>
      <c r="E751">
        <v>36.54</v>
      </c>
      <c r="F751">
        <v>30.33</v>
      </c>
      <c r="G751">
        <v>33.950000000000003</v>
      </c>
      <c r="H751">
        <v>13.89</v>
      </c>
      <c r="I751">
        <v>10.96</v>
      </c>
      <c r="J751">
        <v>9.1</v>
      </c>
    </row>
    <row r="752" spans="1:10" x14ac:dyDescent="0.2">
      <c r="A752" t="s">
        <v>57</v>
      </c>
      <c r="B752" t="s">
        <v>16</v>
      </c>
      <c r="C752" t="s">
        <v>9</v>
      </c>
      <c r="D752">
        <v>19.73</v>
      </c>
      <c r="E752">
        <v>36.54</v>
      </c>
      <c r="F752">
        <v>3.28</v>
      </c>
      <c r="G752">
        <v>19.84</v>
      </c>
      <c r="H752">
        <v>7.89</v>
      </c>
      <c r="I752">
        <v>10.96</v>
      </c>
      <c r="J752">
        <v>0.98</v>
      </c>
    </row>
    <row r="753" spans="1:10" x14ac:dyDescent="0.2">
      <c r="A753" t="s">
        <v>57</v>
      </c>
      <c r="B753" t="s">
        <v>16</v>
      </c>
      <c r="C753" t="s">
        <v>10</v>
      </c>
      <c r="D753">
        <v>13.24</v>
      </c>
      <c r="E753">
        <v>28.85</v>
      </c>
      <c r="F753">
        <v>7.97</v>
      </c>
      <c r="G753">
        <v>16.34</v>
      </c>
      <c r="H753">
        <v>5.29</v>
      </c>
      <c r="I753">
        <v>8.65</v>
      </c>
      <c r="J753">
        <v>2.39</v>
      </c>
    </row>
    <row r="754" spans="1:10" x14ac:dyDescent="0.2">
      <c r="A754" t="s">
        <v>57</v>
      </c>
      <c r="B754" t="s">
        <v>16</v>
      </c>
      <c r="C754" t="s">
        <v>11</v>
      </c>
      <c r="D754">
        <v>5.26</v>
      </c>
      <c r="E754">
        <v>36.54</v>
      </c>
      <c r="F754">
        <v>5.04</v>
      </c>
      <c r="G754">
        <v>14.58</v>
      </c>
      <c r="H754">
        <v>2.1</v>
      </c>
      <c r="I754">
        <v>10.96</v>
      </c>
      <c r="J754">
        <v>1.51</v>
      </c>
    </row>
    <row r="755" spans="1:10" x14ac:dyDescent="0.2">
      <c r="A755" t="s">
        <v>57</v>
      </c>
      <c r="B755" t="s">
        <v>16</v>
      </c>
      <c r="C755" t="s">
        <v>12</v>
      </c>
      <c r="D755">
        <v>15.4</v>
      </c>
      <c r="E755">
        <v>51.92</v>
      </c>
      <c r="F755">
        <v>22.87</v>
      </c>
      <c r="G755">
        <v>28.6</v>
      </c>
      <c r="H755">
        <v>6.16</v>
      </c>
      <c r="I755">
        <v>15.58</v>
      </c>
      <c r="J755">
        <v>6.86</v>
      </c>
    </row>
    <row r="756" spans="1:10" x14ac:dyDescent="0.2">
      <c r="A756" t="s">
        <v>57</v>
      </c>
      <c r="B756" t="s">
        <v>16</v>
      </c>
      <c r="C756" t="s">
        <v>13</v>
      </c>
      <c r="D756">
        <v>9.77</v>
      </c>
      <c r="E756">
        <v>32.69</v>
      </c>
      <c r="F756">
        <v>4.71</v>
      </c>
      <c r="G756">
        <v>15.13</v>
      </c>
      <c r="H756">
        <v>3.91</v>
      </c>
      <c r="I756">
        <v>9.81</v>
      </c>
      <c r="J756">
        <v>1.41</v>
      </c>
    </row>
    <row r="757" spans="1:10" x14ac:dyDescent="0.2">
      <c r="A757" t="s">
        <v>57</v>
      </c>
      <c r="B757" t="s">
        <v>16</v>
      </c>
      <c r="C757" t="s">
        <v>14</v>
      </c>
      <c r="D757">
        <v>21.88</v>
      </c>
      <c r="E757">
        <v>36.54</v>
      </c>
      <c r="F757">
        <v>12.28</v>
      </c>
      <c r="G757">
        <v>23.4</v>
      </c>
      <c r="H757">
        <v>8.75</v>
      </c>
      <c r="I757">
        <v>10.96</v>
      </c>
      <c r="J757">
        <v>3.68</v>
      </c>
    </row>
    <row r="758" spans="1:10" x14ac:dyDescent="0.2">
      <c r="A758" t="s">
        <v>58</v>
      </c>
      <c r="B758" t="s">
        <v>8</v>
      </c>
      <c r="C758" t="s">
        <v>9</v>
      </c>
      <c r="D758">
        <v>6.08</v>
      </c>
      <c r="E758">
        <v>30.77</v>
      </c>
      <c r="F758">
        <v>0</v>
      </c>
      <c r="G758">
        <v>11.66</v>
      </c>
      <c r="H758">
        <v>2.4300000000000002</v>
      </c>
      <c r="I758">
        <v>9.23</v>
      </c>
      <c r="J758">
        <v>0</v>
      </c>
    </row>
    <row r="759" spans="1:10" x14ac:dyDescent="0.2">
      <c r="A759" t="s">
        <v>58</v>
      </c>
      <c r="B759" t="s">
        <v>8</v>
      </c>
      <c r="C759" t="s">
        <v>10</v>
      </c>
      <c r="D759">
        <v>3.78</v>
      </c>
      <c r="E759">
        <v>9.6199999999999992</v>
      </c>
      <c r="F759">
        <v>2.11</v>
      </c>
      <c r="G759">
        <v>5.03</v>
      </c>
      <c r="H759">
        <v>1.51</v>
      </c>
      <c r="I759">
        <v>2.88</v>
      </c>
      <c r="J759">
        <v>0.63</v>
      </c>
    </row>
    <row r="760" spans="1:10" x14ac:dyDescent="0.2">
      <c r="A760" t="s">
        <v>58</v>
      </c>
      <c r="B760" t="s">
        <v>8</v>
      </c>
      <c r="C760" t="s">
        <v>11</v>
      </c>
      <c r="D760">
        <v>1.01</v>
      </c>
      <c r="E760">
        <v>38.46</v>
      </c>
      <c r="F760">
        <v>1.36</v>
      </c>
      <c r="G760">
        <v>12.35</v>
      </c>
      <c r="H760">
        <v>0.41</v>
      </c>
      <c r="I760">
        <v>11.54</v>
      </c>
      <c r="J760">
        <v>0.41</v>
      </c>
    </row>
    <row r="761" spans="1:10" x14ac:dyDescent="0.2">
      <c r="A761" t="s">
        <v>58</v>
      </c>
      <c r="B761" t="s">
        <v>8</v>
      </c>
      <c r="C761" t="s">
        <v>12</v>
      </c>
      <c r="D761">
        <v>8.3699999999999992</v>
      </c>
      <c r="E761">
        <v>40.380000000000003</v>
      </c>
      <c r="F761">
        <v>10.95</v>
      </c>
      <c r="G761">
        <v>18.75</v>
      </c>
      <c r="H761">
        <v>3.35</v>
      </c>
      <c r="I761">
        <v>12.12</v>
      </c>
      <c r="J761">
        <v>3.29</v>
      </c>
    </row>
    <row r="762" spans="1:10" x14ac:dyDescent="0.2">
      <c r="A762" t="s">
        <v>58</v>
      </c>
      <c r="B762" t="s">
        <v>8</v>
      </c>
      <c r="C762" t="s">
        <v>13</v>
      </c>
      <c r="D762">
        <v>6.51</v>
      </c>
      <c r="E762">
        <v>26.92</v>
      </c>
      <c r="F762">
        <v>1.88</v>
      </c>
      <c r="G762">
        <v>11.24</v>
      </c>
      <c r="H762">
        <v>2.6</v>
      </c>
      <c r="I762">
        <v>8.08</v>
      </c>
      <c r="J762">
        <v>0.56000000000000005</v>
      </c>
    </row>
    <row r="763" spans="1:10" x14ac:dyDescent="0.2">
      <c r="A763" t="s">
        <v>58</v>
      </c>
      <c r="B763" t="s">
        <v>8</v>
      </c>
      <c r="C763" t="s">
        <v>14</v>
      </c>
      <c r="D763">
        <v>7.64</v>
      </c>
      <c r="E763">
        <v>19.23</v>
      </c>
      <c r="F763">
        <v>3.22</v>
      </c>
      <c r="G763">
        <v>9.7899999999999991</v>
      </c>
      <c r="H763">
        <v>3.06</v>
      </c>
      <c r="I763">
        <v>5.77</v>
      </c>
      <c r="J763">
        <v>0.97</v>
      </c>
    </row>
    <row r="764" spans="1:10" x14ac:dyDescent="0.2">
      <c r="A764" t="s">
        <v>58</v>
      </c>
      <c r="B764" t="s">
        <v>15</v>
      </c>
      <c r="C764" t="s">
        <v>9</v>
      </c>
      <c r="D764">
        <v>8.6199999999999992</v>
      </c>
      <c r="E764">
        <v>30.77</v>
      </c>
      <c r="F764">
        <v>0.28999999999999998</v>
      </c>
      <c r="G764">
        <v>12.77</v>
      </c>
      <c r="H764">
        <v>3.45</v>
      </c>
      <c r="I764">
        <v>9.23</v>
      </c>
      <c r="J764">
        <v>0.09</v>
      </c>
    </row>
    <row r="765" spans="1:10" x14ac:dyDescent="0.2">
      <c r="A765" t="s">
        <v>58</v>
      </c>
      <c r="B765" t="s">
        <v>15</v>
      </c>
      <c r="C765" t="s">
        <v>10</v>
      </c>
      <c r="D765">
        <v>8.08</v>
      </c>
      <c r="E765">
        <v>9.6199999999999992</v>
      </c>
      <c r="F765">
        <v>2.36</v>
      </c>
      <c r="G765">
        <v>6.83</v>
      </c>
      <c r="H765">
        <v>3.23</v>
      </c>
      <c r="I765">
        <v>2.88</v>
      </c>
      <c r="J765">
        <v>0.71</v>
      </c>
    </row>
    <row r="766" spans="1:10" x14ac:dyDescent="0.2">
      <c r="A766" t="s">
        <v>58</v>
      </c>
      <c r="B766" t="s">
        <v>15</v>
      </c>
      <c r="C766" t="s">
        <v>11</v>
      </c>
      <c r="D766">
        <v>2.4700000000000002</v>
      </c>
      <c r="E766">
        <v>38.46</v>
      </c>
      <c r="F766">
        <v>2.0299999999999998</v>
      </c>
      <c r="G766">
        <v>13.14</v>
      </c>
      <c r="H766">
        <v>0.99</v>
      </c>
      <c r="I766">
        <v>11.54</v>
      </c>
      <c r="J766">
        <v>0.61</v>
      </c>
    </row>
    <row r="767" spans="1:10" x14ac:dyDescent="0.2">
      <c r="A767" t="s">
        <v>58</v>
      </c>
      <c r="B767" t="s">
        <v>15</v>
      </c>
      <c r="C767" t="s">
        <v>12</v>
      </c>
      <c r="D767">
        <v>13.95</v>
      </c>
      <c r="E767">
        <v>40.380000000000003</v>
      </c>
      <c r="F767">
        <v>16.34</v>
      </c>
      <c r="G767">
        <v>22.6</v>
      </c>
      <c r="H767">
        <v>5.58</v>
      </c>
      <c r="I767">
        <v>12.12</v>
      </c>
      <c r="J767">
        <v>4.9000000000000004</v>
      </c>
    </row>
    <row r="768" spans="1:10" x14ac:dyDescent="0.2">
      <c r="A768" t="s">
        <v>58</v>
      </c>
      <c r="B768" t="s">
        <v>15</v>
      </c>
      <c r="C768" t="s">
        <v>13</v>
      </c>
      <c r="D768">
        <v>9.85</v>
      </c>
      <c r="E768">
        <v>26.92</v>
      </c>
      <c r="F768">
        <v>3.35</v>
      </c>
      <c r="G768">
        <v>13.02</v>
      </c>
      <c r="H768">
        <v>3.94</v>
      </c>
      <c r="I768">
        <v>8.08</v>
      </c>
      <c r="J768">
        <v>1</v>
      </c>
    </row>
    <row r="769" spans="1:10" x14ac:dyDescent="0.2">
      <c r="A769" t="s">
        <v>58</v>
      </c>
      <c r="B769" t="s">
        <v>15</v>
      </c>
      <c r="C769" t="s">
        <v>14</v>
      </c>
      <c r="D769">
        <v>17.52</v>
      </c>
      <c r="E769">
        <v>19.23</v>
      </c>
      <c r="F769">
        <v>11.34</v>
      </c>
      <c r="G769">
        <v>16.18</v>
      </c>
      <c r="H769">
        <v>7.01</v>
      </c>
      <c r="I769">
        <v>5.77</v>
      </c>
      <c r="J769">
        <v>3.4</v>
      </c>
    </row>
    <row r="770" spans="1:10" x14ac:dyDescent="0.2">
      <c r="A770" t="s">
        <v>58</v>
      </c>
      <c r="B770" t="s">
        <v>16</v>
      </c>
      <c r="C770" t="s">
        <v>9</v>
      </c>
      <c r="D770">
        <v>8.6</v>
      </c>
      <c r="E770">
        <v>30.77</v>
      </c>
      <c r="F770">
        <v>0.3</v>
      </c>
      <c r="G770">
        <v>12.76</v>
      </c>
      <c r="H770">
        <v>3.44</v>
      </c>
      <c r="I770">
        <v>9.23</v>
      </c>
      <c r="J770">
        <v>0.09</v>
      </c>
    </row>
    <row r="771" spans="1:10" x14ac:dyDescent="0.2">
      <c r="A771" t="s">
        <v>58</v>
      </c>
      <c r="B771" t="s">
        <v>16</v>
      </c>
      <c r="C771" t="s">
        <v>10</v>
      </c>
      <c r="D771">
        <v>5.73</v>
      </c>
      <c r="E771">
        <v>9.6199999999999992</v>
      </c>
      <c r="F771">
        <v>2.15</v>
      </c>
      <c r="G771">
        <v>5.82</v>
      </c>
      <c r="H771">
        <v>2.29</v>
      </c>
      <c r="I771">
        <v>2.88</v>
      </c>
      <c r="J771">
        <v>0.65</v>
      </c>
    </row>
    <row r="772" spans="1:10" x14ac:dyDescent="0.2">
      <c r="A772" t="s">
        <v>58</v>
      </c>
      <c r="B772" t="s">
        <v>16</v>
      </c>
      <c r="C772" t="s">
        <v>11</v>
      </c>
      <c r="D772">
        <v>1.67</v>
      </c>
      <c r="E772">
        <v>38.46</v>
      </c>
      <c r="F772">
        <v>1.22</v>
      </c>
      <c r="G772">
        <v>12.57</v>
      </c>
      <c r="H772">
        <v>0.67</v>
      </c>
      <c r="I772">
        <v>11.54</v>
      </c>
      <c r="J772">
        <v>0.37</v>
      </c>
    </row>
    <row r="773" spans="1:10" x14ac:dyDescent="0.2">
      <c r="A773" t="s">
        <v>58</v>
      </c>
      <c r="B773" t="s">
        <v>16</v>
      </c>
      <c r="C773" t="s">
        <v>12</v>
      </c>
      <c r="D773">
        <v>9.49</v>
      </c>
      <c r="E773">
        <v>40.380000000000003</v>
      </c>
      <c r="F773">
        <v>8.99</v>
      </c>
      <c r="G773">
        <v>18.61</v>
      </c>
      <c r="H773">
        <v>3.79</v>
      </c>
      <c r="I773">
        <v>12.12</v>
      </c>
      <c r="J773">
        <v>2.7</v>
      </c>
    </row>
    <row r="774" spans="1:10" x14ac:dyDescent="0.2">
      <c r="A774" t="s">
        <v>58</v>
      </c>
      <c r="B774" t="s">
        <v>16</v>
      </c>
      <c r="C774" t="s">
        <v>13</v>
      </c>
      <c r="D774">
        <v>4.67</v>
      </c>
      <c r="E774">
        <v>26.92</v>
      </c>
      <c r="F774">
        <v>1.27</v>
      </c>
      <c r="G774">
        <v>10.33</v>
      </c>
      <c r="H774">
        <v>1.87</v>
      </c>
      <c r="I774">
        <v>8.08</v>
      </c>
      <c r="J774">
        <v>0.38</v>
      </c>
    </row>
    <row r="775" spans="1:10" x14ac:dyDescent="0.2">
      <c r="A775" t="s">
        <v>58</v>
      </c>
      <c r="B775" t="s">
        <v>16</v>
      </c>
      <c r="C775" t="s">
        <v>14</v>
      </c>
      <c r="D775">
        <v>9.92</v>
      </c>
      <c r="E775">
        <v>19.23</v>
      </c>
      <c r="F775">
        <v>4.8099999999999996</v>
      </c>
      <c r="G775">
        <v>11.18</v>
      </c>
      <c r="H775">
        <v>3.97</v>
      </c>
      <c r="I775">
        <v>5.77</v>
      </c>
      <c r="J775">
        <v>1.44</v>
      </c>
    </row>
    <row r="776" spans="1:10" x14ac:dyDescent="0.2">
      <c r="A776" t="s">
        <v>59</v>
      </c>
      <c r="B776" t="s">
        <v>8</v>
      </c>
      <c r="C776" t="s">
        <v>9</v>
      </c>
      <c r="D776">
        <v>16.21</v>
      </c>
      <c r="E776">
        <v>3.85</v>
      </c>
      <c r="F776">
        <v>1.72</v>
      </c>
      <c r="G776">
        <v>8.16</v>
      </c>
      <c r="H776">
        <v>6.49</v>
      </c>
      <c r="I776">
        <v>1.1499999999999999</v>
      </c>
      <c r="J776">
        <v>0.52</v>
      </c>
    </row>
    <row r="777" spans="1:10" x14ac:dyDescent="0.2">
      <c r="A777" t="s">
        <v>59</v>
      </c>
      <c r="B777" t="s">
        <v>8</v>
      </c>
      <c r="C777" t="s">
        <v>10</v>
      </c>
      <c r="D777">
        <v>9.5</v>
      </c>
      <c r="E777">
        <v>11.54</v>
      </c>
      <c r="F777">
        <v>3.17</v>
      </c>
      <c r="G777">
        <v>8.2100000000000009</v>
      </c>
      <c r="H777">
        <v>3.8</v>
      </c>
      <c r="I777">
        <v>3.46</v>
      </c>
      <c r="J777">
        <v>0.95</v>
      </c>
    </row>
    <row r="778" spans="1:10" x14ac:dyDescent="0.2">
      <c r="A778" t="s">
        <v>59</v>
      </c>
      <c r="B778" t="s">
        <v>8</v>
      </c>
      <c r="C778" t="s">
        <v>11</v>
      </c>
      <c r="D778">
        <v>3.19</v>
      </c>
      <c r="E778">
        <v>40.380000000000003</v>
      </c>
      <c r="F778">
        <v>4.3899999999999997</v>
      </c>
      <c r="G778">
        <v>14.71</v>
      </c>
      <c r="H778">
        <v>1.28</v>
      </c>
      <c r="I778">
        <v>12.12</v>
      </c>
      <c r="J778">
        <v>1.32</v>
      </c>
    </row>
    <row r="779" spans="1:10" x14ac:dyDescent="0.2">
      <c r="A779" t="s">
        <v>59</v>
      </c>
      <c r="B779" t="s">
        <v>8</v>
      </c>
      <c r="C779" t="s">
        <v>12</v>
      </c>
      <c r="D779">
        <v>12.82</v>
      </c>
      <c r="E779">
        <v>30.77</v>
      </c>
      <c r="F779">
        <v>9.0399999999999991</v>
      </c>
      <c r="G779">
        <v>17.07</v>
      </c>
      <c r="H779">
        <v>5.13</v>
      </c>
      <c r="I779">
        <v>9.23</v>
      </c>
      <c r="J779">
        <v>2.71</v>
      </c>
    </row>
    <row r="780" spans="1:10" x14ac:dyDescent="0.2">
      <c r="A780" t="s">
        <v>59</v>
      </c>
      <c r="B780" t="s">
        <v>8</v>
      </c>
      <c r="C780" t="s">
        <v>13</v>
      </c>
      <c r="D780">
        <v>13.48</v>
      </c>
      <c r="E780">
        <v>23.08</v>
      </c>
      <c r="F780">
        <v>4.7699999999999996</v>
      </c>
      <c r="G780">
        <v>13.75</v>
      </c>
      <c r="H780">
        <v>5.39</v>
      </c>
      <c r="I780">
        <v>6.92</v>
      </c>
      <c r="J780">
        <v>1.43</v>
      </c>
    </row>
    <row r="781" spans="1:10" x14ac:dyDescent="0.2">
      <c r="A781" t="s">
        <v>59</v>
      </c>
      <c r="B781" t="s">
        <v>8</v>
      </c>
      <c r="C781" t="s">
        <v>14</v>
      </c>
      <c r="D781">
        <v>14.85</v>
      </c>
      <c r="E781">
        <v>9.6199999999999992</v>
      </c>
      <c r="F781">
        <v>8.01</v>
      </c>
      <c r="G781">
        <v>11.23</v>
      </c>
      <c r="H781">
        <v>5.94</v>
      </c>
      <c r="I781">
        <v>2.88</v>
      </c>
      <c r="J781">
        <v>2.4</v>
      </c>
    </row>
    <row r="782" spans="1:10" x14ac:dyDescent="0.2">
      <c r="A782" t="s">
        <v>59</v>
      </c>
      <c r="B782" t="s">
        <v>15</v>
      </c>
      <c r="C782" t="s">
        <v>9</v>
      </c>
      <c r="D782">
        <v>25.49</v>
      </c>
      <c r="E782">
        <v>3.85</v>
      </c>
      <c r="F782">
        <v>3.36</v>
      </c>
      <c r="G782">
        <v>12.36</v>
      </c>
      <c r="H782">
        <v>10.19</v>
      </c>
      <c r="I782">
        <v>1.1499999999999999</v>
      </c>
      <c r="J782">
        <v>1.01</v>
      </c>
    </row>
    <row r="783" spans="1:10" x14ac:dyDescent="0.2">
      <c r="A783" t="s">
        <v>59</v>
      </c>
      <c r="B783" t="s">
        <v>15</v>
      </c>
      <c r="C783" t="s">
        <v>10</v>
      </c>
      <c r="D783">
        <v>18.18</v>
      </c>
      <c r="E783">
        <v>11.54</v>
      </c>
      <c r="F783">
        <v>5.0599999999999996</v>
      </c>
      <c r="G783">
        <v>12.25</v>
      </c>
      <c r="H783">
        <v>7.27</v>
      </c>
      <c r="I783">
        <v>3.46</v>
      </c>
      <c r="J783">
        <v>1.52</v>
      </c>
    </row>
    <row r="784" spans="1:10" x14ac:dyDescent="0.2">
      <c r="A784" t="s">
        <v>59</v>
      </c>
      <c r="B784" t="s">
        <v>15</v>
      </c>
      <c r="C784" t="s">
        <v>11</v>
      </c>
      <c r="D784">
        <v>5.71</v>
      </c>
      <c r="E784">
        <v>40.380000000000003</v>
      </c>
      <c r="F784">
        <v>4.03</v>
      </c>
      <c r="G784">
        <v>15.61</v>
      </c>
      <c r="H784">
        <v>2.2799999999999998</v>
      </c>
      <c r="I784">
        <v>12.12</v>
      </c>
      <c r="J784">
        <v>1.21</v>
      </c>
    </row>
    <row r="785" spans="1:10" x14ac:dyDescent="0.2">
      <c r="A785" t="s">
        <v>59</v>
      </c>
      <c r="B785" t="s">
        <v>15</v>
      </c>
      <c r="C785" t="s">
        <v>12</v>
      </c>
      <c r="D785">
        <v>18.88</v>
      </c>
      <c r="E785">
        <v>30.77</v>
      </c>
      <c r="F785">
        <v>14.69</v>
      </c>
      <c r="G785">
        <v>21.19</v>
      </c>
      <c r="H785">
        <v>7.55</v>
      </c>
      <c r="I785">
        <v>9.23</v>
      </c>
      <c r="J785">
        <v>4.41</v>
      </c>
    </row>
    <row r="786" spans="1:10" x14ac:dyDescent="0.2">
      <c r="A786" t="s">
        <v>59</v>
      </c>
      <c r="B786" t="s">
        <v>15</v>
      </c>
      <c r="C786" t="s">
        <v>13</v>
      </c>
      <c r="D786">
        <v>21.66</v>
      </c>
      <c r="E786">
        <v>23.08</v>
      </c>
      <c r="F786">
        <v>5.56</v>
      </c>
      <c r="G786">
        <v>17.25</v>
      </c>
      <c r="H786">
        <v>8.66</v>
      </c>
      <c r="I786">
        <v>6.92</v>
      </c>
      <c r="J786">
        <v>1.67</v>
      </c>
    </row>
    <row r="787" spans="1:10" x14ac:dyDescent="0.2">
      <c r="A787" t="s">
        <v>59</v>
      </c>
      <c r="B787" t="s">
        <v>15</v>
      </c>
      <c r="C787" t="s">
        <v>14</v>
      </c>
      <c r="D787">
        <v>36.15</v>
      </c>
      <c r="E787">
        <v>9.6199999999999992</v>
      </c>
      <c r="F787">
        <v>12.67</v>
      </c>
      <c r="G787">
        <v>21.15</v>
      </c>
      <c r="H787">
        <v>14.46</v>
      </c>
      <c r="I787">
        <v>2.88</v>
      </c>
      <c r="J787">
        <v>3.8</v>
      </c>
    </row>
    <row r="788" spans="1:10" x14ac:dyDescent="0.2">
      <c r="A788" t="s">
        <v>59</v>
      </c>
      <c r="B788" t="s">
        <v>16</v>
      </c>
      <c r="C788" t="s">
        <v>9</v>
      </c>
      <c r="D788">
        <v>26.35</v>
      </c>
      <c r="E788">
        <v>3.85</v>
      </c>
      <c r="F788">
        <v>1.99</v>
      </c>
      <c r="G788">
        <v>12.29</v>
      </c>
      <c r="H788">
        <v>10.54</v>
      </c>
      <c r="I788">
        <v>1.1499999999999999</v>
      </c>
      <c r="J788">
        <v>0.6</v>
      </c>
    </row>
    <row r="789" spans="1:10" x14ac:dyDescent="0.2">
      <c r="A789" t="s">
        <v>59</v>
      </c>
      <c r="B789" t="s">
        <v>16</v>
      </c>
      <c r="C789" t="s">
        <v>10</v>
      </c>
      <c r="D789">
        <v>13.36</v>
      </c>
      <c r="E789">
        <v>11.54</v>
      </c>
      <c r="F789">
        <v>4.84</v>
      </c>
      <c r="G789">
        <v>10.26</v>
      </c>
      <c r="H789">
        <v>5.34</v>
      </c>
      <c r="I789">
        <v>3.46</v>
      </c>
      <c r="J789">
        <v>1.45</v>
      </c>
    </row>
    <row r="790" spans="1:10" x14ac:dyDescent="0.2">
      <c r="A790" t="s">
        <v>59</v>
      </c>
      <c r="B790" t="s">
        <v>16</v>
      </c>
      <c r="C790" t="s">
        <v>11</v>
      </c>
      <c r="D790">
        <v>3.94</v>
      </c>
      <c r="E790">
        <v>40.380000000000003</v>
      </c>
      <c r="F790">
        <v>1.65</v>
      </c>
      <c r="G790">
        <v>14.19</v>
      </c>
      <c r="H790">
        <v>1.58</v>
      </c>
      <c r="I790">
        <v>12.12</v>
      </c>
      <c r="J790">
        <v>0.49</v>
      </c>
    </row>
    <row r="791" spans="1:10" x14ac:dyDescent="0.2">
      <c r="A791" t="s">
        <v>59</v>
      </c>
      <c r="B791" t="s">
        <v>16</v>
      </c>
      <c r="C791" t="s">
        <v>12</v>
      </c>
      <c r="D791">
        <v>15</v>
      </c>
      <c r="E791">
        <v>30.77</v>
      </c>
      <c r="F791">
        <v>12.47</v>
      </c>
      <c r="G791">
        <v>18.97</v>
      </c>
      <c r="H791">
        <v>6</v>
      </c>
      <c r="I791">
        <v>9.23</v>
      </c>
      <c r="J791">
        <v>3.74</v>
      </c>
    </row>
    <row r="792" spans="1:10" x14ac:dyDescent="0.2">
      <c r="A792" t="s">
        <v>59</v>
      </c>
      <c r="B792" t="s">
        <v>16</v>
      </c>
      <c r="C792" t="s">
        <v>13</v>
      </c>
      <c r="D792">
        <v>12.52</v>
      </c>
      <c r="E792">
        <v>23.08</v>
      </c>
      <c r="F792">
        <v>4.21</v>
      </c>
      <c r="G792">
        <v>13.19</v>
      </c>
      <c r="H792">
        <v>5.01</v>
      </c>
      <c r="I792">
        <v>6.92</v>
      </c>
      <c r="J792">
        <v>1.26</v>
      </c>
    </row>
    <row r="793" spans="1:10" x14ac:dyDescent="0.2">
      <c r="A793" t="s">
        <v>59</v>
      </c>
      <c r="B793" t="s">
        <v>16</v>
      </c>
      <c r="C793" t="s">
        <v>14</v>
      </c>
      <c r="D793">
        <v>19.77</v>
      </c>
      <c r="E793">
        <v>9.6199999999999992</v>
      </c>
      <c r="F793">
        <v>18.690000000000001</v>
      </c>
      <c r="G793">
        <v>16.399999999999999</v>
      </c>
      <c r="H793">
        <v>7.91</v>
      </c>
      <c r="I793">
        <v>2.88</v>
      </c>
      <c r="J793">
        <v>5.61</v>
      </c>
    </row>
    <row r="794" spans="1:10" x14ac:dyDescent="0.2">
      <c r="A794" t="s">
        <v>60</v>
      </c>
      <c r="B794" t="s">
        <v>8</v>
      </c>
      <c r="C794" t="s">
        <v>9</v>
      </c>
      <c r="D794">
        <v>28.82</v>
      </c>
      <c r="E794">
        <v>0</v>
      </c>
      <c r="F794">
        <v>5.44</v>
      </c>
      <c r="G794">
        <v>13.16</v>
      </c>
      <c r="H794">
        <v>11.53</v>
      </c>
      <c r="I794">
        <v>0</v>
      </c>
      <c r="J794">
        <v>1.63</v>
      </c>
    </row>
    <row r="795" spans="1:10" x14ac:dyDescent="0.2">
      <c r="A795" t="s">
        <v>60</v>
      </c>
      <c r="B795" t="s">
        <v>8</v>
      </c>
      <c r="C795" t="s">
        <v>10</v>
      </c>
      <c r="D795">
        <v>10.85</v>
      </c>
      <c r="E795">
        <v>15.38</v>
      </c>
      <c r="F795">
        <v>3.23</v>
      </c>
      <c r="G795">
        <v>9.92</v>
      </c>
      <c r="H795">
        <v>4.34</v>
      </c>
      <c r="I795">
        <v>4.62</v>
      </c>
      <c r="J795">
        <v>0.97</v>
      </c>
    </row>
    <row r="796" spans="1:10" x14ac:dyDescent="0.2">
      <c r="A796" t="s">
        <v>60</v>
      </c>
      <c r="B796" t="s">
        <v>8</v>
      </c>
      <c r="C796" t="s">
        <v>11</v>
      </c>
      <c r="D796">
        <v>3.19</v>
      </c>
      <c r="E796">
        <v>40.380000000000003</v>
      </c>
      <c r="F796">
        <v>3.29</v>
      </c>
      <c r="G796">
        <v>14.38</v>
      </c>
      <c r="H796">
        <v>1.28</v>
      </c>
      <c r="I796">
        <v>12.12</v>
      </c>
      <c r="J796">
        <v>0.99</v>
      </c>
    </row>
    <row r="797" spans="1:10" x14ac:dyDescent="0.2">
      <c r="A797" t="s">
        <v>60</v>
      </c>
      <c r="B797" t="s">
        <v>8</v>
      </c>
      <c r="C797" t="s">
        <v>12</v>
      </c>
      <c r="D797">
        <v>18.5</v>
      </c>
      <c r="E797">
        <v>25</v>
      </c>
      <c r="F797">
        <v>13.44</v>
      </c>
      <c r="G797">
        <v>18.93</v>
      </c>
      <c r="H797">
        <v>7.4</v>
      </c>
      <c r="I797">
        <v>7.5</v>
      </c>
      <c r="J797">
        <v>4.03</v>
      </c>
    </row>
    <row r="798" spans="1:10" x14ac:dyDescent="0.2">
      <c r="A798" t="s">
        <v>60</v>
      </c>
      <c r="B798" t="s">
        <v>8</v>
      </c>
      <c r="C798" t="s">
        <v>13</v>
      </c>
      <c r="D798">
        <v>16.3</v>
      </c>
      <c r="E798">
        <v>23.08</v>
      </c>
      <c r="F798">
        <v>7.81</v>
      </c>
      <c r="G798">
        <v>15.79</v>
      </c>
      <c r="H798">
        <v>6.52</v>
      </c>
      <c r="I798">
        <v>6.92</v>
      </c>
      <c r="J798">
        <v>2.34</v>
      </c>
    </row>
    <row r="799" spans="1:10" x14ac:dyDescent="0.2">
      <c r="A799" t="s">
        <v>60</v>
      </c>
      <c r="B799" t="s">
        <v>8</v>
      </c>
      <c r="C799" t="s">
        <v>14</v>
      </c>
      <c r="D799">
        <v>16.190000000000001</v>
      </c>
      <c r="E799">
        <v>23.08</v>
      </c>
      <c r="F799">
        <v>10.74</v>
      </c>
      <c r="G799">
        <v>16.62</v>
      </c>
      <c r="H799">
        <v>6.48</v>
      </c>
      <c r="I799">
        <v>6.92</v>
      </c>
      <c r="J799">
        <v>3.22</v>
      </c>
    </row>
    <row r="800" spans="1:10" x14ac:dyDescent="0.2">
      <c r="A800" t="s">
        <v>60</v>
      </c>
      <c r="B800" t="s">
        <v>15</v>
      </c>
      <c r="C800" t="s">
        <v>9</v>
      </c>
      <c r="D800">
        <v>40.68</v>
      </c>
      <c r="E800">
        <v>0</v>
      </c>
      <c r="F800">
        <v>8.01</v>
      </c>
      <c r="G800">
        <v>18.670000000000002</v>
      </c>
      <c r="H800">
        <v>16.27</v>
      </c>
      <c r="I800">
        <v>0</v>
      </c>
      <c r="J800">
        <v>2.4</v>
      </c>
    </row>
    <row r="801" spans="1:10" x14ac:dyDescent="0.2">
      <c r="A801" t="s">
        <v>60</v>
      </c>
      <c r="B801" t="s">
        <v>15</v>
      </c>
      <c r="C801" t="s">
        <v>10</v>
      </c>
      <c r="D801">
        <v>19.420000000000002</v>
      </c>
      <c r="E801">
        <v>15.38</v>
      </c>
      <c r="F801">
        <v>4.93</v>
      </c>
      <c r="G801">
        <v>13.86</v>
      </c>
      <c r="H801">
        <v>7.77</v>
      </c>
      <c r="I801">
        <v>4.62</v>
      </c>
      <c r="J801">
        <v>1.48</v>
      </c>
    </row>
    <row r="802" spans="1:10" x14ac:dyDescent="0.2">
      <c r="A802" t="s">
        <v>60</v>
      </c>
      <c r="B802" t="s">
        <v>15</v>
      </c>
      <c r="C802" t="s">
        <v>11</v>
      </c>
      <c r="D802">
        <v>7.28</v>
      </c>
      <c r="E802">
        <v>40.380000000000003</v>
      </c>
      <c r="F802">
        <v>4.99</v>
      </c>
      <c r="G802">
        <v>16.52</v>
      </c>
      <c r="H802">
        <v>2.91</v>
      </c>
      <c r="I802">
        <v>12.12</v>
      </c>
      <c r="J802">
        <v>1.5</v>
      </c>
    </row>
    <row r="803" spans="1:10" x14ac:dyDescent="0.2">
      <c r="A803" t="s">
        <v>60</v>
      </c>
      <c r="B803" t="s">
        <v>15</v>
      </c>
      <c r="C803" t="s">
        <v>12</v>
      </c>
      <c r="D803">
        <v>26.91</v>
      </c>
      <c r="E803">
        <v>25</v>
      </c>
      <c r="F803">
        <v>17.45</v>
      </c>
      <c r="G803">
        <v>23.5</v>
      </c>
      <c r="H803">
        <v>10.77</v>
      </c>
      <c r="I803">
        <v>7.5</v>
      </c>
      <c r="J803">
        <v>5.23</v>
      </c>
    </row>
    <row r="804" spans="1:10" x14ac:dyDescent="0.2">
      <c r="A804" t="s">
        <v>60</v>
      </c>
      <c r="B804" t="s">
        <v>15</v>
      </c>
      <c r="C804" t="s">
        <v>13</v>
      </c>
      <c r="D804">
        <v>22.72</v>
      </c>
      <c r="E804">
        <v>23.08</v>
      </c>
      <c r="F804">
        <v>9.0299999999999994</v>
      </c>
      <c r="G804">
        <v>18.72</v>
      </c>
      <c r="H804">
        <v>9.09</v>
      </c>
      <c r="I804">
        <v>6.92</v>
      </c>
      <c r="J804">
        <v>2.71</v>
      </c>
    </row>
    <row r="805" spans="1:10" x14ac:dyDescent="0.2">
      <c r="A805" t="s">
        <v>60</v>
      </c>
      <c r="B805" t="s">
        <v>15</v>
      </c>
      <c r="C805" t="s">
        <v>14</v>
      </c>
      <c r="D805">
        <v>40.74</v>
      </c>
      <c r="E805">
        <v>23.08</v>
      </c>
      <c r="F805">
        <v>19.38</v>
      </c>
      <c r="G805">
        <v>29.03</v>
      </c>
      <c r="H805">
        <v>16.3</v>
      </c>
      <c r="I805">
        <v>6.92</v>
      </c>
      <c r="J805">
        <v>5.81</v>
      </c>
    </row>
    <row r="806" spans="1:10" x14ac:dyDescent="0.2">
      <c r="A806" t="s">
        <v>60</v>
      </c>
      <c r="B806" t="s">
        <v>16</v>
      </c>
      <c r="C806" t="s">
        <v>9</v>
      </c>
      <c r="D806">
        <v>41.36</v>
      </c>
      <c r="E806">
        <v>0</v>
      </c>
      <c r="F806">
        <v>4.4000000000000004</v>
      </c>
      <c r="G806">
        <v>17.86</v>
      </c>
      <c r="H806">
        <v>16.55</v>
      </c>
      <c r="I806">
        <v>0</v>
      </c>
      <c r="J806">
        <v>1.32</v>
      </c>
    </row>
    <row r="807" spans="1:10" x14ac:dyDescent="0.2">
      <c r="A807" t="s">
        <v>60</v>
      </c>
      <c r="B807" t="s">
        <v>16</v>
      </c>
      <c r="C807" t="s">
        <v>10</v>
      </c>
      <c r="D807">
        <v>15.18</v>
      </c>
      <c r="E807">
        <v>15.38</v>
      </c>
      <c r="F807">
        <v>7.05</v>
      </c>
      <c r="G807">
        <v>12.8</v>
      </c>
      <c r="H807">
        <v>6.07</v>
      </c>
      <c r="I807">
        <v>4.62</v>
      </c>
      <c r="J807">
        <v>2.12</v>
      </c>
    </row>
    <row r="808" spans="1:10" x14ac:dyDescent="0.2">
      <c r="A808" t="s">
        <v>60</v>
      </c>
      <c r="B808" t="s">
        <v>16</v>
      </c>
      <c r="C808" t="s">
        <v>11</v>
      </c>
      <c r="D808">
        <v>4.05</v>
      </c>
      <c r="E808">
        <v>40.380000000000003</v>
      </c>
      <c r="F808">
        <v>1.27</v>
      </c>
      <c r="G808">
        <v>14.12</v>
      </c>
      <c r="H808">
        <v>1.62</v>
      </c>
      <c r="I808">
        <v>12.12</v>
      </c>
      <c r="J808">
        <v>0.38</v>
      </c>
    </row>
    <row r="809" spans="1:10" x14ac:dyDescent="0.2">
      <c r="A809" t="s">
        <v>60</v>
      </c>
      <c r="B809" t="s">
        <v>16</v>
      </c>
      <c r="C809" t="s">
        <v>12</v>
      </c>
      <c r="D809">
        <v>20.53</v>
      </c>
      <c r="E809">
        <v>25</v>
      </c>
      <c r="F809">
        <v>13.31</v>
      </c>
      <c r="G809">
        <v>19.71</v>
      </c>
      <c r="H809">
        <v>8.2100000000000009</v>
      </c>
      <c r="I809">
        <v>7.5</v>
      </c>
      <c r="J809">
        <v>3.99</v>
      </c>
    </row>
    <row r="810" spans="1:10" x14ac:dyDescent="0.2">
      <c r="A810" t="s">
        <v>60</v>
      </c>
      <c r="B810" t="s">
        <v>16</v>
      </c>
      <c r="C810" t="s">
        <v>13</v>
      </c>
      <c r="D810">
        <v>14.65</v>
      </c>
      <c r="E810">
        <v>23.08</v>
      </c>
      <c r="F810">
        <v>15.09</v>
      </c>
      <c r="G810">
        <v>17.309999999999999</v>
      </c>
      <c r="H810">
        <v>5.86</v>
      </c>
      <c r="I810">
        <v>6.92</v>
      </c>
      <c r="J810">
        <v>4.53</v>
      </c>
    </row>
    <row r="811" spans="1:10" x14ac:dyDescent="0.2">
      <c r="A811" t="s">
        <v>60</v>
      </c>
      <c r="B811" t="s">
        <v>16</v>
      </c>
      <c r="C811" t="s">
        <v>14</v>
      </c>
      <c r="D811">
        <v>21.95</v>
      </c>
      <c r="E811">
        <v>23.08</v>
      </c>
      <c r="F811">
        <v>9.41</v>
      </c>
      <c r="G811">
        <v>18.53</v>
      </c>
      <c r="H811">
        <v>8.7799999999999994</v>
      </c>
      <c r="I811">
        <v>6.92</v>
      </c>
      <c r="J811">
        <v>2.82</v>
      </c>
    </row>
    <row r="812" spans="1:10" x14ac:dyDescent="0.2">
      <c r="A812" t="s">
        <v>61</v>
      </c>
      <c r="B812" t="s">
        <v>8</v>
      </c>
      <c r="C812" t="s">
        <v>9</v>
      </c>
      <c r="D812">
        <v>34.619999999999997</v>
      </c>
      <c r="E812">
        <v>21.15</v>
      </c>
      <c r="F812">
        <v>6.43</v>
      </c>
      <c r="G812">
        <v>22.12</v>
      </c>
      <c r="H812">
        <v>13.85</v>
      </c>
      <c r="I812">
        <v>6.35</v>
      </c>
      <c r="J812">
        <v>1.93</v>
      </c>
    </row>
    <row r="813" spans="1:10" x14ac:dyDescent="0.2">
      <c r="A813" t="s">
        <v>61</v>
      </c>
      <c r="B813" t="s">
        <v>8</v>
      </c>
      <c r="C813" t="s">
        <v>10</v>
      </c>
      <c r="D813">
        <v>18.920000000000002</v>
      </c>
      <c r="E813">
        <v>19.23</v>
      </c>
      <c r="F813">
        <v>9.4600000000000009</v>
      </c>
      <c r="G813">
        <v>16.170000000000002</v>
      </c>
      <c r="H813">
        <v>7.57</v>
      </c>
      <c r="I813">
        <v>5.77</v>
      </c>
      <c r="J813">
        <v>2.84</v>
      </c>
    </row>
    <row r="814" spans="1:10" x14ac:dyDescent="0.2">
      <c r="A814" t="s">
        <v>61</v>
      </c>
      <c r="B814" t="s">
        <v>8</v>
      </c>
      <c r="C814" t="s">
        <v>11</v>
      </c>
      <c r="D814">
        <v>5.04</v>
      </c>
      <c r="E814">
        <v>36.54</v>
      </c>
      <c r="F814">
        <v>3.55</v>
      </c>
      <c r="G814">
        <v>14.05</v>
      </c>
      <c r="H814">
        <v>2.02</v>
      </c>
      <c r="I814">
        <v>10.96</v>
      </c>
      <c r="J814">
        <v>1.07</v>
      </c>
    </row>
    <row r="815" spans="1:10" x14ac:dyDescent="0.2">
      <c r="A815" t="s">
        <v>61</v>
      </c>
      <c r="B815" t="s">
        <v>8</v>
      </c>
      <c r="C815" t="s">
        <v>12</v>
      </c>
      <c r="D815">
        <v>18.7</v>
      </c>
      <c r="E815">
        <v>26.92</v>
      </c>
      <c r="F815">
        <v>19.87</v>
      </c>
      <c r="G815">
        <v>21.52</v>
      </c>
      <c r="H815">
        <v>7.48</v>
      </c>
      <c r="I815">
        <v>8.08</v>
      </c>
      <c r="J815">
        <v>5.96</v>
      </c>
    </row>
    <row r="816" spans="1:10" x14ac:dyDescent="0.2">
      <c r="A816" t="s">
        <v>61</v>
      </c>
      <c r="B816" t="s">
        <v>8</v>
      </c>
      <c r="C816" t="s">
        <v>13</v>
      </c>
      <c r="D816">
        <v>15.48</v>
      </c>
      <c r="E816">
        <v>23.08</v>
      </c>
      <c r="F816">
        <v>7.82</v>
      </c>
      <c r="G816">
        <v>15.46</v>
      </c>
      <c r="H816">
        <v>6.19</v>
      </c>
      <c r="I816">
        <v>6.92</v>
      </c>
      <c r="J816">
        <v>2.35</v>
      </c>
    </row>
    <row r="817" spans="1:10" x14ac:dyDescent="0.2">
      <c r="A817" t="s">
        <v>61</v>
      </c>
      <c r="B817" t="s">
        <v>8</v>
      </c>
      <c r="C817" t="s">
        <v>14</v>
      </c>
      <c r="D817">
        <v>18.22</v>
      </c>
      <c r="E817">
        <v>25</v>
      </c>
      <c r="F817">
        <v>11.12</v>
      </c>
      <c r="G817">
        <v>18.13</v>
      </c>
      <c r="H817">
        <v>7.29</v>
      </c>
      <c r="I817">
        <v>7.5</v>
      </c>
      <c r="J817">
        <v>3.34</v>
      </c>
    </row>
    <row r="818" spans="1:10" x14ac:dyDescent="0.2">
      <c r="A818" t="s">
        <v>61</v>
      </c>
      <c r="B818" t="s">
        <v>15</v>
      </c>
      <c r="C818" t="s">
        <v>9</v>
      </c>
      <c r="D818">
        <v>52.89</v>
      </c>
      <c r="E818">
        <v>21.15</v>
      </c>
      <c r="F818">
        <v>8.2100000000000009</v>
      </c>
      <c r="G818">
        <v>29.96</v>
      </c>
      <c r="H818">
        <v>21.15</v>
      </c>
      <c r="I818">
        <v>6.35</v>
      </c>
      <c r="J818">
        <v>2.46</v>
      </c>
    </row>
    <row r="819" spans="1:10" x14ac:dyDescent="0.2">
      <c r="A819" t="s">
        <v>61</v>
      </c>
      <c r="B819" t="s">
        <v>15</v>
      </c>
      <c r="C819" t="s">
        <v>10</v>
      </c>
      <c r="D819">
        <v>30.89</v>
      </c>
      <c r="E819">
        <v>19.23</v>
      </c>
      <c r="F819">
        <v>11.36</v>
      </c>
      <c r="G819">
        <v>21.53</v>
      </c>
      <c r="H819">
        <v>12.36</v>
      </c>
      <c r="I819">
        <v>5.77</v>
      </c>
      <c r="J819">
        <v>3.41</v>
      </c>
    </row>
    <row r="820" spans="1:10" x14ac:dyDescent="0.2">
      <c r="A820" t="s">
        <v>61</v>
      </c>
      <c r="B820" t="s">
        <v>15</v>
      </c>
      <c r="C820" t="s">
        <v>11</v>
      </c>
      <c r="D820">
        <v>10.039999999999999</v>
      </c>
      <c r="E820">
        <v>36.54</v>
      </c>
      <c r="F820">
        <v>3.73</v>
      </c>
      <c r="G820">
        <v>16.100000000000001</v>
      </c>
      <c r="H820">
        <v>4.0199999999999996</v>
      </c>
      <c r="I820">
        <v>10.96</v>
      </c>
      <c r="J820">
        <v>1.1200000000000001</v>
      </c>
    </row>
    <row r="821" spans="1:10" x14ac:dyDescent="0.2">
      <c r="A821" t="s">
        <v>61</v>
      </c>
      <c r="B821" t="s">
        <v>15</v>
      </c>
      <c r="C821" t="s">
        <v>12</v>
      </c>
      <c r="D821">
        <v>27.64</v>
      </c>
      <c r="E821">
        <v>26.92</v>
      </c>
      <c r="F821">
        <v>18.2</v>
      </c>
      <c r="G821">
        <v>24.59</v>
      </c>
      <c r="H821">
        <v>11.05</v>
      </c>
      <c r="I821">
        <v>8.08</v>
      </c>
      <c r="J821">
        <v>5.46</v>
      </c>
    </row>
    <row r="822" spans="1:10" x14ac:dyDescent="0.2">
      <c r="A822" t="s">
        <v>61</v>
      </c>
      <c r="B822" t="s">
        <v>15</v>
      </c>
      <c r="C822" t="s">
        <v>13</v>
      </c>
      <c r="D822">
        <v>24.64</v>
      </c>
      <c r="E822">
        <v>23.08</v>
      </c>
      <c r="F822">
        <v>9.3699999999999992</v>
      </c>
      <c r="G822">
        <v>19.59</v>
      </c>
      <c r="H822">
        <v>9.85</v>
      </c>
      <c r="I822">
        <v>6.92</v>
      </c>
      <c r="J822">
        <v>2.81</v>
      </c>
    </row>
    <row r="823" spans="1:10" x14ac:dyDescent="0.2">
      <c r="A823" t="s">
        <v>61</v>
      </c>
      <c r="B823" t="s">
        <v>15</v>
      </c>
      <c r="C823" t="s">
        <v>14</v>
      </c>
      <c r="D823">
        <v>41.95</v>
      </c>
      <c r="E823">
        <v>25</v>
      </c>
      <c r="F823">
        <v>21.62</v>
      </c>
      <c r="G823">
        <v>30.77</v>
      </c>
      <c r="H823">
        <v>16.78</v>
      </c>
      <c r="I823">
        <v>7.5</v>
      </c>
      <c r="J823">
        <v>6.49</v>
      </c>
    </row>
    <row r="824" spans="1:10" x14ac:dyDescent="0.2">
      <c r="A824" t="s">
        <v>61</v>
      </c>
      <c r="B824" t="s">
        <v>16</v>
      </c>
      <c r="C824" t="s">
        <v>9</v>
      </c>
      <c r="D824">
        <v>46.64</v>
      </c>
      <c r="E824">
        <v>21.15</v>
      </c>
      <c r="F824">
        <v>8.0299999999999994</v>
      </c>
      <c r="G824">
        <v>27.41</v>
      </c>
      <c r="H824">
        <v>18.66</v>
      </c>
      <c r="I824">
        <v>6.35</v>
      </c>
      <c r="J824">
        <v>2.41</v>
      </c>
    </row>
    <row r="825" spans="1:10" x14ac:dyDescent="0.2">
      <c r="A825" t="s">
        <v>61</v>
      </c>
      <c r="B825" t="s">
        <v>16</v>
      </c>
      <c r="C825" t="s">
        <v>10</v>
      </c>
      <c r="D825">
        <v>22.1</v>
      </c>
      <c r="E825">
        <v>19.23</v>
      </c>
      <c r="F825">
        <v>10.27</v>
      </c>
      <c r="G825">
        <v>17.690000000000001</v>
      </c>
      <c r="H825">
        <v>8.84</v>
      </c>
      <c r="I825">
        <v>5.77</v>
      </c>
      <c r="J825">
        <v>3.08</v>
      </c>
    </row>
    <row r="826" spans="1:10" x14ac:dyDescent="0.2">
      <c r="A826" t="s">
        <v>61</v>
      </c>
      <c r="B826" t="s">
        <v>16</v>
      </c>
      <c r="C826" t="s">
        <v>11</v>
      </c>
      <c r="D826">
        <v>6.45</v>
      </c>
      <c r="E826">
        <v>36.54</v>
      </c>
      <c r="F826">
        <v>1.77</v>
      </c>
      <c r="G826">
        <v>14.07</v>
      </c>
      <c r="H826">
        <v>2.58</v>
      </c>
      <c r="I826">
        <v>10.96</v>
      </c>
      <c r="J826">
        <v>0.53</v>
      </c>
    </row>
    <row r="827" spans="1:10" x14ac:dyDescent="0.2">
      <c r="A827" t="s">
        <v>61</v>
      </c>
      <c r="B827" t="s">
        <v>16</v>
      </c>
      <c r="C827" t="s">
        <v>12</v>
      </c>
      <c r="D827">
        <v>21.54</v>
      </c>
      <c r="E827">
        <v>26.92</v>
      </c>
      <c r="F827">
        <v>15.66</v>
      </c>
      <c r="G827">
        <v>21.39</v>
      </c>
      <c r="H827">
        <v>8.6199999999999992</v>
      </c>
      <c r="I827">
        <v>8.08</v>
      </c>
      <c r="J827">
        <v>4.7</v>
      </c>
    </row>
    <row r="828" spans="1:10" x14ac:dyDescent="0.2">
      <c r="A828" t="s">
        <v>61</v>
      </c>
      <c r="B828" t="s">
        <v>16</v>
      </c>
      <c r="C828" t="s">
        <v>13</v>
      </c>
      <c r="D828">
        <v>15.73</v>
      </c>
      <c r="E828">
        <v>23.08</v>
      </c>
      <c r="F828">
        <v>5.76</v>
      </c>
      <c r="G828">
        <v>14.94</v>
      </c>
      <c r="H828">
        <v>6.29</v>
      </c>
      <c r="I828">
        <v>6.92</v>
      </c>
      <c r="J828">
        <v>1.73</v>
      </c>
    </row>
    <row r="829" spans="1:10" x14ac:dyDescent="0.2">
      <c r="A829" t="s">
        <v>61</v>
      </c>
      <c r="B829" t="s">
        <v>16</v>
      </c>
      <c r="C829" t="s">
        <v>14</v>
      </c>
      <c r="D829">
        <v>25.28</v>
      </c>
      <c r="E829">
        <v>25</v>
      </c>
      <c r="F829">
        <v>26.17</v>
      </c>
      <c r="G829">
        <v>25.46</v>
      </c>
      <c r="H829">
        <v>10.11</v>
      </c>
      <c r="I829">
        <v>7.5</v>
      </c>
      <c r="J829">
        <v>7.85</v>
      </c>
    </row>
    <row r="830" spans="1:10" x14ac:dyDescent="0.2">
      <c r="A830" t="s">
        <v>62</v>
      </c>
      <c r="B830" t="s">
        <v>8</v>
      </c>
      <c r="C830" t="s">
        <v>9</v>
      </c>
      <c r="D830">
        <v>49.81</v>
      </c>
      <c r="E830">
        <v>26.92</v>
      </c>
      <c r="F830">
        <v>11.34</v>
      </c>
      <c r="G830">
        <v>31.4</v>
      </c>
      <c r="H830">
        <v>19.920000000000002</v>
      </c>
      <c r="I830">
        <v>8.08</v>
      </c>
      <c r="J830">
        <v>3.4</v>
      </c>
    </row>
    <row r="831" spans="1:10" x14ac:dyDescent="0.2">
      <c r="A831" t="s">
        <v>62</v>
      </c>
      <c r="B831" t="s">
        <v>8</v>
      </c>
      <c r="C831" t="s">
        <v>10</v>
      </c>
      <c r="D831">
        <v>22.55</v>
      </c>
      <c r="E831">
        <v>36.54</v>
      </c>
      <c r="F831">
        <v>12.22</v>
      </c>
      <c r="G831">
        <v>23.65</v>
      </c>
      <c r="H831">
        <v>9.02</v>
      </c>
      <c r="I831">
        <v>10.96</v>
      </c>
      <c r="J831">
        <v>3.67</v>
      </c>
    </row>
    <row r="832" spans="1:10" x14ac:dyDescent="0.2">
      <c r="A832" t="s">
        <v>62</v>
      </c>
      <c r="B832" t="s">
        <v>8</v>
      </c>
      <c r="C832" t="s">
        <v>11</v>
      </c>
      <c r="D832">
        <v>5.73</v>
      </c>
      <c r="E832">
        <v>30.77</v>
      </c>
      <c r="F832">
        <v>11.5</v>
      </c>
      <c r="G832">
        <v>14.97</v>
      </c>
      <c r="H832">
        <v>2.29</v>
      </c>
      <c r="I832">
        <v>9.23</v>
      </c>
      <c r="J832">
        <v>3.45</v>
      </c>
    </row>
    <row r="833" spans="1:10" x14ac:dyDescent="0.2">
      <c r="A833" t="s">
        <v>62</v>
      </c>
      <c r="B833" t="s">
        <v>8</v>
      </c>
      <c r="C833" t="s">
        <v>12</v>
      </c>
      <c r="D833">
        <v>21.75</v>
      </c>
      <c r="E833">
        <v>28.85</v>
      </c>
      <c r="F833">
        <v>28.46</v>
      </c>
      <c r="G833">
        <v>25.89</v>
      </c>
      <c r="H833">
        <v>8.6999999999999993</v>
      </c>
      <c r="I833">
        <v>8.65</v>
      </c>
      <c r="J833">
        <v>8.5399999999999991</v>
      </c>
    </row>
    <row r="834" spans="1:10" x14ac:dyDescent="0.2">
      <c r="A834" t="s">
        <v>62</v>
      </c>
      <c r="B834" t="s">
        <v>8</v>
      </c>
      <c r="C834" t="s">
        <v>13</v>
      </c>
      <c r="D834">
        <v>20.02</v>
      </c>
      <c r="E834">
        <v>26.92</v>
      </c>
      <c r="F834">
        <v>8.34</v>
      </c>
      <c r="G834">
        <v>18.59</v>
      </c>
      <c r="H834">
        <v>8.01</v>
      </c>
      <c r="I834">
        <v>8.08</v>
      </c>
      <c r="J834">
        <v>2.5</v>
      </c>
    </row>
    <row r="835" spans="1:10" x14ac:dyDescent="0.2">
      <c r="A835" t="s">
        <v>62</v>
      </c>
      <c r="B835" t="s">
        <v>8</v>
      </c>
      <c r="C835" t="s">
        <v>14</v>
      </c>
      <c r="D835">
        <v>18.72</v>
      </c>
      <c r="E835">
        <v>42.31</v>
      </c>
      <c r="F835">
        <v>16.489999999999998</v>
      </c>
      <c r="G835">
        <v>25.13</v>
      </c>
      <c r="H835">
        <v>7.49</v>
      </c>
      <c r="I835">
        <v>12.69</v>
      </c>
      <c r="J835">
        <v>4.95</v>
      </c>
    </row>
    <row r="836" spans="1:10" x14ac:dyDescent="0.2">
      <c r="A836" t="s">
        <v>62</v>
      </c>
      <c r="B836" t="s">
        <v>15</v>
      </c>
      <c r="C836" t="s">
        <v>9</v>
      </c>
      <c r="D836">
        <v>61.31</v>
      </c>
      <c r="E836">
        <v>26.92</v>
      </c>
      <c r="F836">
        <v>13.55</v>
      </c>
      <c r="G836">
        <v>36.67</v>
      </c>
      <c r="H836">
        <v>24.53</v>
      </c>
      <c r="I836">
        <v>8.08</v>
      </c>
      <c r="J836">
        <v>4.07</v>
      </c>
    </row>
    <row r="837" spans="1:10" x14ac:dyDescent="0.2">
      <c r="A837" t="s">
        <v>62</v>
      </c>
      <c r="B837" t="s">
        <v>15</v>
      </c>
      <c r="C837" t="s">
        <v>10</v>
      </c>
      <c r="D837">
        <v>34.85</v>
      </c>
      <c r="E837">
        <v>36.54</v>
      </c>
      <c r="F837">
        <v>18.8</v>
      </c>
      <c r="G837">
        <v>30.54</v>
      </c>
      <c r="H837">
        <v>13.94</v>
      </c>
      <c r="I837">
        <v>10.96</v>
      </c>
      <c r="J837">
        <v>5.64</v>
      </c>
    </row>
    <row r="838" spans="1:10" x14ac:dyDescent="0.2">
      <c r="A838" t="s">
        <v>62</v>
      </c>
      <c r="B838" t="s">
        <v>15</v>
      </c>
      <c r="C838" t="s">
        <v>11</v>
      </c>
      <c r="D838">
        <v>11.84</v>
      </c>
      <c r="E838">
        <v>30.77</v>
      </c>
      <c r="F838">
        <v>10.85</v>
      </c>
      <c r="G838">
        <v>17.22</v>
      </c>
      <c r="H838">
        <v>4.74</v>
      </c>
      <c r="I838">
        <v>9.23</v>
      </c>
      <c r="J838">
        <v>3.25</v>
      </c>
    </row>
    <row r="839" spans="1:10" x14ac:dyDescent="0.2">
      <c r="A839" t="s">
        <v>62</v>
      </c>
      <c r="B839" t="s">
        <v>15</v>
      </c>
      <c r="C839" t="s">
        <v>12</v>
      </c>
      <c r="D839">
        <v>33.65</v>
      </c>
      <c r="E839">
        <v>28.85</v>
      </c>
      <c r="F839">
        <v>34.39</v>
      </c>
      <c r="G839">
        <v>32.43</v>
      </c>
      <c r="H839">
        <v>13.46</v>
      </c>
      <c r="I839">
        <v>8.65</v>
      </c>
      <c r="J839">
        <v>10.32</v>
      </c>
    </row>
    <row r="840" spans="1:10" x14ac:dyDescent="0.2">
      <c r="A840" t="s">
        <v>62</v>
      </c>
      <c r="B840" t="s">
        <v>15</v>
      </c>
      <c r="C840" t="s">
        <v>13</v>
      </c>
      <c r="D840">
        <v>28.43</v>
      </c>
      <c r="E840">
        <v>26.92</v>
      </c>
      <c r="F840">
        <v>15.16</v>
      </c>
      <c r="G840">
        <v>23.99</v>
      </c>
      <c r="H840">
        <v>11.37</v>
      </c>
      <c r="I840">
        <v>8.08</v>
      </c>
      <c r="J840">
        <v>4.55</v>
      </c>
    </row>
    <row r="841" spans="1:10" x14ac:dyDescent="0.2">
      <c r="A841" t="s">
        <v>62</v>
      </c>
      <c r="B841" t="s">
        <v>15</v>
      </c>
      <c r="C841" t="s">
        <v>14</v>
      </c>
      <c r="D841">
        <v>43.8</v>
      </c>
      <c r="E841">
        <v>42.31</v>
      </c>
      <c r="F841">
        <v>36.08</v>
      </c>
      <c r="G841">
        <v>41.04</v>
      </c>
      <c r="H841">
        <v>17.52</v>
      </c>
      <c r="I841">
        <v>12.69</v>
      </c>
      <c r="J841">
        <v>10.82</v>
      </c>
    </row>
    <row r="842" spans="1:10" x14ac:dyDescent="0.2">
      <c r="A842" t="s">
        <v>62</v>
      </c>
      <c r="B842" t="s">
        <v>16</v>
      </c>
      <c r="C842" t="s">
        <v>9</v>
      </c>
      <c r="D842">
        <v>56.54</v>
      </c>
      <c r="E842">
        <v>26.92</v>
      </c>
      <c r="F842">
        <v>17.47</v>
      </c>
      <c r="G842">
        <v>35.93</v>
      </c>
      <c r="H842">
        <v>22.61</v>
      </c>
      <c r="I842">
        <v>8.08</v>
      </c>
      <c r="J842">
        <v>5.24</v>
      </c>
    </row>
    <row r="843" spans="1:10" x14ac:dyDescent="0.2">
      <c r="A843" t="s">
        <v>62</v>
      </c>
      <c r="B843" t="s">
        <v>16</v>
      </c>
      <c r="C843" t="s">
        <v>10</v>
      </c>
      <c r="D843">
        <v>25.07</v>
      </c>
      <c r="E843">
        <v>36.54</v>
      </c>
      <c r="F843">
        <v>16.36</v>
      </c>
      <c r="G843">
        <v>25.9</v>
      </c>
      <c r="H843">
        <v>10.029999999999999</v>
      </c>
      <c r="I843">
        <v>10.96</v>
      </c>
      <c r="J843">
        <v>4.91</v>
      </c>
    </row>
    <row r="844" spans="1:10" x14ac:dyDescent="0.2">
      <c r="A844" t="s">
        <v>62</v>
      </c>
      <c r="B844" t="s">
        <v>16</v>
      </c>
      <c r="C844" t="s">
        <v>11</v>
      </c>
      <c r="D844">
        <v>8.07</v>
      </c>
      <c r="E844">
        <v>30.77</v>
      </c>
      <c r="F844">
        <v>5.52</v>
      </c>
      <c r="G844">
        <v>14.11</v>
      </c>
      <c r="H844">
        <v>3.23</v>
      </c>
      <c r="I844">
        <v>9.23</v>
      </c>
      <c r="J844">
        <v>1.66</v>
      </c>
    </row>
    <row r="845" spans="1:10" x14ac:dyDescent="0.2">
      <c r="A845" t="s">
        <v>62</v>
      </c>
      <c r="B845" t="s">
        <v>16</v>
      </c>
      <c r="C845" t="s">
        <v>12</v>
      </c>
      <c r="D845">
        <v>26.83</v>
      </c>
      <c r="E845">
        <v>28.85</v>
      </c>
      <c r="F845">
        <v>31.86</v>
      </c>
      <c r="G845">
        <v>28.94</v>
      </c>
      <c r="H845">
        <v>10.73</v>
      </c>
      <c r="I845">
        <v>8.65</v>
      </c>
      <c r="J845">
        <v>9.56</v>
      </c>
    </row>
    <row r="846" spans="1:10" x14ac:dyDescent="0.2">
      <c r="A846" t="s">
        <v>62</v>
      </c>
      <c r="B846" t="s">
        <v>16</v>
      </c>
      <c r="C846" t="s">
        <v>13</v>
      </c>
      <c r="D846">
        <v>19.84</v>
      </c>
      <c r="E846">
        <v>26.92</v>
      </c>
      <c r="F846">
        <v>14.91</v>
      </c>
      <c r="G846">
        <v>20.48</v>
      </c>
      <c r="H846">
        <v>7.94</v>
      </c>
      <c r="I846">
        <v>8.08</v>
      </c>
      <c r="J846">
        <v>4.47</v>
      </c>
    </row>
    <row r="847" spans="1:10" x14ac:dyDescent="0.2">
      <c r="A847" t="s">
        <v>62</v>
      </c>
      <c r="B847" t="s">
        <v>16</v>
      </c>
      <c r="C847" t="s">
        <v>14</v>
      </c>
      <c r="D847">
        <v>25.07</v>
      </c>
      <c r="E847">
        <v>42.31</v>
      </c>
      <c r="F847">
        <v>37.4</v>
      </c>
      <c r="G847">
        <v>33.94</v>
      </c>
      <c r="H847">
        <v>10.029999999999999</v>
      </c>
      <c r="I847">
        <v>12.69</v>
      </c>
      <c r="J847">
        <v>11.22</v>
      </c>
    </row>
    <row r="848" spans="1:10" x14ac:dyDescent="0.2">
      <c r="A848" t="s">
        <v>63</v>
      </c>
      <c r="B848" t="s">
        <v>8</v>
      </c>
      <c r="C848" t="s">
        <v>9</v>
      </c>
      <c r="D848">
        <v>47.4</v>
      </c>
      <c r="E848">
        <v>42.31</v>
      </c>
      <c r="F848">
        <v>4.7300000000000004</v>
      </c>
      <c r="G848">
        <v>33.07</v>
      </c>
      <c r="H848">
        <v>18.96</v>
      </c>
      <c r="I848">
        <v>12.69</v>
      </c>
      <c r="J848">
        <v>1.42</v>
      </c>
    </row>
    <row r="849" spans="1:10" x14ac:dyDescent="0.2">
      <c r="A849" t="s">
        <v>63</v>
      </c>
      <c r="B849" t="s">
        <v>8</v>
      </c>
      <c r="C849" t="s">
        <v>10</v>
      </c>
      <c r="D849">
        <v>19.739999999999998</v>
      </c>
      <c r="E849">
        <v>44.23</v>
      </c>
      <c r="F849">
        <v>12.54</v>
      </c>
      <c r="G849">
        <v>24.93</v>
      </c>
      <c r="H849">
        <v>7.9</v>
      </c>
      <c r="I849">
        <v>13.27</v>
      </c>
      <c r="J849">
        <v>3.76</v>
      </c>
    </row>
    <row r="850" spans="1:10" x14ac:dyDescent="0.2">
      <c r="A850" t="s">
        <v>63</v>
      </c>
      <c r="B850" t="s">
        <v>8</v>
      </c>
      <c r="C850" t="s">
        <v>11</v>
      </c>
      <c r="D850">
        <v>5.71</v>
      </c>
      <c r="E850">
        <v>36.54</v>
      </c>
      <c r="F850">
        <v>5.37</v>
      </c>
      <c r="G850">
        <v>14.86</v>
      </c>
      <c r="H850">
        <v>2.2799999999999998</v>
      </c>
      <c r="I850">
        <v>10.96</v>
      </c>
      <c r="J850">
        <v>1.61</v>
      </c>
    </row>
    <row r="851" spans="1:10" x14ac:dyDescent="0.2">
      <c r="A851" t="s">
        <v>63</v>
      </c>
      <c r="B851" t="s">
        <v>8</v>
      </c>
      <c r="C851" t="s">
        <v>12</v>
      </c>
      <c r="D851">
        <v>23.49</v>
      </c>
      <c r="E851">
        <v>30.77</v>
      </c>
      <c r="F851">
        <v>22.47</v>
      </c>
      <c r="G851">
        <v>25.37</v>
      </c>
      <c r="H851">
        <v>9.4</v>
      </c>
      <c r="I851">
        <v>9.23</v>
      </c>
      <c r="J851">
        <v>6.74</v>
      </c>
    </row>
    <row r="852" spans="1:10" x14ac:dyDescent="0.2">
      <c r="A852" t="s">
        <v>63</v>
      </c>
      <c r="B852" t="s">
        <v>8</v>
      </c>
      <c r="C852" t="s">
        <v>13</v>
      </c>
      <c r="D852">
        <v>22.14</v>
      </c>
      <c r="E852">
        <v>32.69</v>
      </c>
      <c r="F852">
        <v>14.53</v>
      </c>
      <c r="G852">
        <v>23.02</v>
      </c>
      <c r="H852">
        <v>8.86</v>
      </c>
      <c r="I852">
        <v>9.81</v>
      </c>
      <c r="J852">
        <v>4.3600000000000003</v>
      </c>
    </row>
    <row r="853" spans="1:10" x14ac:dyDescent="0.2">
      <c r="A853" t="s">
        <v>63</v>
      </c>
      <c r="B853" t="s">
        <v>8</v>
      </c>
      <c r="C853" t="s">
        <v>14</v>
      </c>
      <c r="D853">
        <v>19.68</v>
      </c>
      <c r="E853">
        <v>59.62</v>
      </c>
      <c r="F853">
        <v>15.52</v>
      </c>
      <c r="G853">
        <v>30.41</v>
      </c>
      <c r="H853">
        <v>7.87</v>
      </c>
      <c r="I853">
        <v>17.88</v>
      </c>
      <c r="J853">
        <v>4.66</v>
      </c>
    </row>
    <row r="854" spans="1:10" x14ac:dyDescent="0.2">
      <c r="A854" t="s">
        <v>63</v>
      </c>
      <c r="B854" t="s">
        <v>15</v>
      </c>
      <c r="C854" t="s">
        <v>9</v>
      </c>
      <c r="D854">
        <v>44.85</v>
      </c>
      <c r="E854">
        <v>42.31</v>
      </c>
      <c r="F854">
        <v>9.9499999999999993</v>
      </c>
      <c r="G854">
        <v>33.619999999999997</v>
      </c>
      <c r="H854">
        <v>17.940000000000001</v>
      </c>
      <c r="I854">
        <v>12.69</v>
      </c>
      <c r="J854">
        <v>2.98</v>
      </c>
    </row>
    <row r="855" spans="1:10" x14ac:dyDescent="0.2">
      <c r="A855" t="s">
        <v>63</v>
      </c>
      <c r="B855" t="s">
        <v>15</v>
      </c>
      <c r="C855" t="s">
        <v>10</v>
      </c>
      <c r="D855">
        <v>25.61</v>
      </c>
      <c r="E855">
        <v>44.23</v>
      </c>
      <c r="F855">
        <v>12.07</v>
      </c>
      <c r="G855">
        <v>27.14</v>
      </c>
      <c r="H855">
        <v>10.25</v>
      </c>
      <c r="I855">
        <v>13.27</v>
      </c>
      <c r="J855">
        <v>3.62</v>
      </c>
    </row>
    <row r="856" spans="1:10" x14ac:dyDescent="0.2">
      <c r="A856" t="s">
        <v>63</v>
      </c>
      <c r="B856" t="s">
        <v>15</v>
      </c>
      <c r="C856" t="s">
        <v>11</v>
      </c>
      <c r="D856">
        <v>10.67</v>
      </c>
      <c r="E856">
        <v>36.54</v>
      </c>
      <c r="F856">
        <v>17.53</v>
      </c>
      <c r="G856">
        <v>20.49</v>
      </c>
      <c r="H856">
        <v>4.2699999999999996</v>
      </c>
      <c r="I856">
        <v>10.96</v>
      </c>
      <c r="J856">
        <v>5.26</v>
      </c>
    </row>
    <row r="857" spans="1:10" x14ac:dyDescent="0.2">
      <c r="A857" t="s">
        <v>63</v>
      </c>
      <c r="B857" t="s">
        <v>15</v>
      </c>
      <c r="C857" t="s">
        <v>12</v>
      </c>
      <c r="D857">
        <v>35.42</v>
      </c>
      <c r="E857">
        <v>30.77</v>
      </c>
      <c r="F857">
        <v>32.97</v>
      </c>
      <c r="G857">
        <v>33.29</v>
      </c>
      <c r="H857">
        <v>14.17</v>
      </c>
      <c r="I857">
        <v>9.23</v>
      </c>
      <c r="J857">
        <v>9.89</v>
      </c>
    </row>
    <row r="858" spans="1:10" x14ac:dyDescent="0.2">
      <c r="A858" t="s">
        <v>63</v>
      </c>
      <c r="B858" t="s">
        <v>15</v>
      </c>
      <c r="C858" t="s">
        <v>13</v>
      </c>
      <c r="D858">
        <v>30.54</v>
      </c>
      <c r="E858">
        <v>32.69</v>
      </c>
      <c r="F858">
        <v>14.4</v>
      </c>
      <c r="G858">
        <v>26.34</v>
      </c>
      <c r="H858">
        <v>12.22</v>
      </c>
      <c r="I858">
        <v>9.81</v>
      </c>
      <c r="J858">
        <v>4.32</v>
      </c>
    </row>
    <row r="859" spans="1:10" x14ac:dyDescent="0.2">
      <c r="A859" t="s">
        <v>63</v>
      </c>
      <c r="B859" t="s">
        <v>15</v>
      </c>
      <c r="C859" t="s">
        <v>14</v>
      </c>
      <c r="D859">
        <v>44.97</v>
      </c>
      <c r="E859">
        <v>59.62</v>
      </c>
      <c r="F859">
        <v>25.52</v>
      </c>
      <c r="G859">
        <v>43.53</v>
      </c>
      <c r="H859">
        <v>17.989999999999998</v>
      </c>
      <c r="I859">
        <v>17.88</v>
      </c>
      <c r="J859">
        <v>7.66</v>
      </c>
    </row>
    <row r="860" spans="1:10" x14ac:dyDescent="0.2">
      <c r="A860" t="s">
        <v>63</v>
      </c>
      <c r="B860" t="s">
        <v>16</v>
      </c>
      <c r="C860" t="s">
        <v>9</v>
      </c>
      <c r="D860">
        <v>42.37</v>
      </c>
      <c r="E860">
        <v>42.31</v>
      </c>
      <c r="F860">
        <v>11.17</v>
      </c>
      <c r="G860">
        <v>32.99</v>
      </c>
      <c r="H860">
        <v>16.95</v>
      </c>
      <c r="I860">
        <v>12.69</v>
      </c>
      <c r="J860">
        <v>3.35</v>
      </c>
    </row>
    <row r="861" spans="1:10" x14ac:dyDescent="0.2">
      <c r="A861" t="s">
        <v>63</v>
      </c>
      <c r="B861" t="s">
        <v>16</v>
      </c>
      <c r="C861" t="s">
        <v>10</v>
      </c>
      <c r="D861">
        <v>18.760000000000002</v>
      </c>
      <c r="E861">
        <v>44.23</v>
      </c>
      <c r="F861">
        <v>17.940000000000001</v>
      </c>
      <c r="G861">
        <v>26.16</v>
      </c>
      <c r="H861">
        <v>7.51</v>
      </c>
      <c r="I861">
        <v>13.27</v>
      </c>
      <c r="J861">
        <v>5.38</v>
      </c>
    </row>
    <row r="862" spans="1:10" x14ac:dyDescent="0.2">
      <c r="A862" t="s">
        <v>63</v>
      </c>
      <c r="B862" t="s">
        <v>16</v>
      </c>
      <c r="C862" t="s">
        <v>11</v>
      </c>
      <c r="D862">
        <v>7.64</v>
      </c>
      <c r="E862">
        <v>36.54</v>
      </c>
      <c r="F862">
        <v>10.31</v>
      </c>
      <c r="G862">
        <v>17.11</v>
      </c>
      <c r="H862">
        <v>3.06</v>
      </c>
      <c r="I862">
        <v>10.96</v>
      </c>
      <c r="J862">
        <v>3.09</v>
      </c>
    </row>
    <row r="863" spans="1:10" x14ac:dyDescent="0.2">
      <c r="A863" t="s">
        <v>63</v>
      </c>
      <c r="B863" t="s">
        <v>16</v>
      </c>
      <c r="C863" t="s">
        <v>12</v>
      </c>
      <c r="D863">
        <v>27.65</v>
      </c>
      <c r="E863">
        <v>30.77</v>
      </c>
      <c r="F863">
        <v>38.380000000000003</v>
      </c>
      <c r="G863">
        <v>31.8</v>
      </c>
      <c r="H863">
        <v>11.06</v>
      </c>
      <c r="I863">
        <v>9.23</v>
      </c>
      <c r="J863">
        <v>11.51</v>
      </c>
    </row>
    <row r="864" spans="1:10" x14ac:dyDescent="0.2">
      <c r="A864" t="s">
        <v>63</v>
      </c>
      <c r="B864" t="s">
        <v>16</v>
      </c>
      <c r="C864" t="s">
        <v>13</v>
      </c>
      <c r="D864">
        <v>21.03</v>
      </c>
      <c r="E864">
        <v>32.69</v>
      </c>
      <c r="F864">
        <v>24.63</v>
      </c>
      <c r="G864">
        <v>25.61</v>
      </c>
      <c r="H864">
        <v>8.41</v>
      </c>
      <c r="I864">
        <v>9.81</v>
      </c>
      <c r="J864">
        <v>7.39</v>
      </c>
    </row>
    <row r="865" spans="1:10" x14ac:dyDescent="0.2">
      <c r="A865" t="s">
        <v>63</v>
      </c>
      <c r="B865" t="s">
        <v>16</v>
      </c>
      <c r="C865" t="s">
        <v>14</v>
      </c>
      <c r="D865">
        <v>25.73</v>
      </c>
      <c r="E865">
        <v>59.62</v>
      </c>
      <c r="F865">
        <v>38.380000000000003</v>
      </c>
      <c r="G865">
        <v>39.69</v>
      </c>
      <c r="H865">
        <v>10.29</v>
      </c>
      <c r="I865">
        <v>17.88</v>
      </c>
      <c r="J865">
        <v>11.51</v>
      </c>
    </row>
    <row r="866" spans="1:10" x14ac:dyDescent="0.2">
      <c r="A866" t="s">
        <v>64</v>
      </c>
      <c r="B866" t="s">
        <v>8</v>
      </c>
      <c r="C866" t="s">
        <v>9</v>
      </c>
      <c r="D866">
        <v>63.41</v>
      </c>
      <c r="E866">
        <v>61.54</v>
      </c>
      <c r="F866">
        <v>12.43</v>
      </c>
      <c r="G866">
        <v>47.56</v>
      </c>
      <c r="H866">
        <v>25.37</v>
      </c>
      <c r="I866">
        <v>18.46</v>
      </c>
      <c r="J866">
        <v>3.73</v>
      </c>
    </row>
    <row r="867" spans="1:10" x14ac:dyDescent="0.2">
      <c r="A867" t="s">
        <v>64</v>
      </c>
      <c r="B867" t="s">
        <v>8</v>
      </c>
      <c r="C867" t="s">
        <v>10</v>
      </c>
      <c r="D867">
        <v>23.26</v>
      </c>
      <c r="E867">
        <v>40.380000000000003</v>
      </c>
      <c r="F867">
        <v>17.02</v>
      </c>
      <c r="G867">
        <v>26.53</v>
      </c>
      <c r="H867">
        <v>9.31</v>
      </c>
      <c r="I867">
        <v>12.12</v>
      </c>
      <c r="J867">
        <v>5.1100000000000003</v>
      </c>
    </row>
    <row r="868" spans="1:10" x14ac:dyDescent="0.2">
      <c r="A868" t="s">
        <v>64</v>
      </c>
      <c r="B868" t="s">
        <v>8</v>
      </c>
      <c r="C868" t="s">
        <v>11</v>
      </c>
      <c r="D868">
        <v>5.9</v>
      </c>
      <c r="E868">
        <v>34.619999999999997</v>
      </c>
      <c r="F868">
        <v>5.91</v>
      </c>
      <c r="G868">
        <v>14.52</v>
      </c>
      <c r="H868">
        <v>2.36</v>
      </c>
      <c r="I868">
        <v>10.38</v>
      </c>
      <c r="J868">
        <v>1.77</v>
      </c>
    </row>
    <row r="869" spans="1:10" x14ac:dyDescent="0.2">
      <c r="A869" t="s">
        <v>64</v>
      </c>
      <c r="B869" t="s">
        <v>8</v>
      </c>
      <c r="C869" t="s">
        <v>12</v>
      </c>
      <c r="D869">
        <v>27.9</v>
      </c>
      <c r="E869">
        <v>40.380000000000003</v>
      </c>
      <c r="F869">
        <v>26.52</v>
      </c>
      <c r="G869">
        <v>31.23</v>
      </c>
      <c r="H869">
        <v>11.16</v>
      </c>
      <c r="I869">
        <v>12.12</v>
      </c>
      <c r="J869">
        <v>7.96</v>
      </c>
    </row>
    <row r="870" spans="1:10" x14ac:dyDescent="0.2">
      <c r="A870" t="s">
        <v>64</v>
      </c>
      <c r="B870" t="s">
        <v>8</v>
      </c>
      <c r="C870" t="s">
        <v>13</v>
      </c>
      <c r="D870">
        <v>34.29</v>
      </c>
      <c r="E870">
        <v>42.31</v>
      </c>
      <c r="F870">
        <v>16.350000000000001</v>
      </c>
      <c r="G870">
        <v>31.31</v>
      </c>
      <c r="H870">
        <v>13.72</v>
      </c>
      <c r="I870">
        <v>12.69</v>
      </c>
      <c r="J870">
        <v>4.9000000000000004</v>
      </c>
    </row>
    <row r="871" spans="1:10" x14ac:dyDescent="0.2">
      <c r="A871" t="s">
        <v>64</v>
      </c>
      <c r="B871" t="s">
        <v>8</v>
      </c>
      <c r="C871" t="s">
        <v>14</v>
      </c>
      <c r="D871">
        <v>23.53</v>
      </c>
      <c r="E871">
        <v>42.31</v>
      </c>
      <c r="F871">
        <v>18.32</v>
      </c>
      <c r="G871">
        <v>27.6</v>
      </c>
      <c r="H871">
        <v>9.41</v>
      </c>
      <c r="I871">
        <v>12.69</v>
      </c>
      <c r="J871">
        <v>5.49</v>
      </c>
    </row>
    <row r="872" spans="1:10" x14ac:dyDescent="0.2">
      <c r="A872" t="s">
        <v>64</v>
      </c>
      <c r="B872" t="s">
        <v>15</v>
      </c>
      <c r="C872" t="s">
        <v>9</v>
      </c>
      <c r="D872">
        <v>72.87</v>
      </c>
      <c r="E872">
        <v>61.54</v>
      </c>
      <c r="F872">
        <v>19.489999999999998</v>
      </c>
      <c r="G872">
        <v>53.45</v>
      </c>
      <c r="H872">
        <v>29.15</v>
      </c>
      <c r="I872">
        <v>18.46</v>
      </c>
      <c r="J872">
        <v>5.85</v>
      </c>
    </row>
    <row r="873" spans="1:10" x14ac:dyDescent="0.2">
      <c r="A873" t="s">
        <v>64</v>
      </c>
      <c r="B873" t="s">
        <v>15</v>
      </c>
      <c r="C873" t="s">
        <v>10</v>
      </c>
      <c r="D873">
        <v>34.840000000000003</v>
      </c>
      <c r="E873">
        <v>40.380000000000003</v>
      </c>
      <c r="F873">
        <v>30.12</v>
      </c>
      <c r="G873">
        <v>35.090000000000003</v>
      </c>
      <c r="H873">
        <v>13.94</v>
      </c>
      <c r="I873">
        <v>12.12</v>
      </c>
      <c r="J873">
        <v>9.0299999999999994</v>
      </c>
    </row>
    <row r="874" spans="1:10" x14ac:dyDescent="0.2">
      <c r="A874" t="s">
        <v>64</v>
      </c>
      <c r="B874" t="s">
        <v>15</v>
      </c>
      <c r="C874" t="s">
        <v>11</v>
      </c>
      <c r="D874">
        <v>10.48</v>
      </c>
      <c r="E874">
        <v>34.619999999999997</v>
      </c>
      <c r="F874">
        <v>27.17</v>
      </c>
      <c r="G874">
        <v>22.73</v>
      </c>
      <c r="H874">
        <v>4.1900000000000004</v>
      </c>
      <c r="I874">
        <v>10.38</v>
      </c>
      <c r="J874">
        <v>8.15</v>
      </c>
    </row>
    <row r="875" spans="1:10" x14ac:dyDescent="0.2">
      <c r="A875" t="s">
        <v>64</v>
      </c>
      <c r="B875" t="s">
        <v>15</v>
      </c>
      <c r="C875" t="s">
        <v>12</v>
      </c>
      <c r="D875">
        <v>41.05</v>
      </c>
      <c r="E875">
        <v>40.380000000000003</v>
      </c>
      <c r="F875">
        <v>62.18</v>
      </c>
      <c r="G875">
        <v>47.19</v>
      </c>
      <c r="H875">
        <v>16.420000000000002</v>
      </c>
      <c r="I875">
        <v>12.12</v>
      </c>
      <c r="J875">
        <v>18.649999999999999</v>
      </c>
    </row>
    <row r="876" spans="1:10" x14ac:dyDescent="0.2">
      <c r="A876" t="s">
        <v>64</v>
      </c>
      <c r="B876" t="s">
        <v>15</v>
      </c>
      <c r="C876" t="s">
        <v>13</v>
      </c>
      <c r="D876">
        <v>44.73</v>
      </c>
      <c r="E876">
        <v>42.31</v>
      </c>
      <c r="F876">
        <v>36.520000000000003</v>
      </c>
      <c r="G876">
        <v>41.54</v>
      </c>
      <c r="H876">
        <v>17.89</v>
      </c>
      <c r="I876">
        <v>12.69</v>
      </c>
      <c r="J876">
        <v>10.96</v>
      </c>
    </row>
    <row r="877" spans="1:10" x14ac:dyDescent="0.2">
      <c r="A877" t="s">
        <v>64</v>
      </c>
      <c r="B877" t="s">
        <v>15</v>
      </c>
      <c r="C877" t="s">
        <v>14</v>
      </c>
      <c r="D877">
        <v>48.08</v>
      </c>
      <c r="E877">
        <v>42.31</v>
      </c>
      <c r="F877">
        <v>44.54</v>
      </c>
      <c r="G877">
        <v>45.29</v>
      </c>
      <c r="H877">
        <v>19.23</v>
      </c>
      <c r="I877">
        <v>12.69</v>
      </c>
      <c r="J877">
        <v>13.36</v>
      </c>
    </row>
    <row r="878" spans="1:10" x14ac:dyDescent="0.2">
      <c r="A878" t="s">
        <v>64</v>
      </c>
      <c r="B878" t="s">
        <v>16</v>
      </c>
      <c r="C878" t="s">
        <v>9</v>
      </c>
      <c r="D878">
        <v>73.09</v>
      </c>
      <c r="E878">
        <v>61.54</v>
      </c>
      <c r="F878">
        <v>12.39</v>
      </c>
      <c r="G878">
        <v>51.41</v>
      </c>
      <c r="H878">
        <v>29.23</v>
      </c>
      <c r="I878">
        <v>18.46</v>
      </c>
      <c r="J878">
        <v>3.72</v>
      </c>
    </row>
    <row r="879" spans="1:10" x14ac:dyDescent="0.2">
      <c r="A879" t="s">
        <v>64</v>
      </c>
      <c r="B879" t="s">
        <v>16</v>
      </c>
      <c r="C879" t="s">
        <v>10</v>
      </c>
      <c r="D879">
        <v>24.95</v>
      </c>
      <c r="E879">
        <v>40.380000000000003</v>
      </c>
      <c r="F879">
        <v>21.5</v>
      </c>
      <c r="G879">
        <v>28.55</v>
      </c>
      <c r="H879">
        <v>9.98</v>
      </c>
      <c r="I879">
        <v>12.12</v>
      </c>
      <c r="J879">
        <v>6.45</v>
      </c>
    </row>
    <row r="880" spans="1:10" x14ac:dyDescent="0.2">
      <c r="A880" t="s">
        <v>64</v>
      </c>
      <c r="B880" t="s">
        <v>16</v>
      </c>
      <c r="C880" t="s">
        <v>11</v>
      </c>
      <c r="D880">
        <v>7.55</v>
      </c>
      <c r="E880">
        <v>34.619999999999997</v>
      </c>
      <c r="F880">
        <v>14.25</v>
      </c>
      <c r="G880">
        <v>17.68</v>
      </c>
      <c r="H880">
        <v>3.02</v>
      </c>
      <c r="I880">
        <v>10.38</v>
      </c>
      <c r="J880">
        <v>4.28</v>
      </c>
    </row>
    <row r="881" spans="1:10" x14ac:dyDescent="0.2">
      <c r="A881" t="s">
        <v>64</v>
      </c>
      <c r="B881" t="s">
        <v>16</v>
      </c>
      <c r="C881" t="s">
        <v>12</v>
      </c>
      <c r="D881">
        <v>32.33</v>
      </c>
      <c r="E881">
        <v>40.380000000000003</v>
      </c>
      <c r="F881">
        <v>46.4</v>
      </c>
      <c r="G881">
        <v>38.97</v>
      </c>
      <c r="H881">
        <v>12.93</v>
      </c>
      <c r="I881">
        <v>12.12</v>
      </c>
      <c r="J881">
        <v>13.92</v>
      </c>
    </row>
    <row r="882" spans="1:10" x14ac:dyDescent="0.2">
      <c r="A882" t="s">
        <v>64</v>
      </c>
      <c r="B882" t="s">
        <v>16</v>
      </c>
      <c r="C882" t="s">
        <v>13</v>
      </c>
      <c r="D882">
        <v>30.34</v>
      </c>
      <c r="E882">
        <v>42.31</v>
      </c>
      <c r="F882">
        <v>36.43</v>
      </c>
      <c r="G882">
        <v>35.76</v>
      </c>
      <c r="H882">
        <v>12.14</v>
      </c>
      <c r="I882">
        <v>12.69</v>
      </c>
      <c r="J882">
        <v>10.93</v>
      </c>
    </row>
    <row r="883" spans="1:10" x14ac:dyDescent="0.2">
      <c r="A883" t="s">
        <v>64</v>
      </c>
      <c r="B883" t="s">
        <v>16</v>
      </c>
      <c r="C883" t="s">
        <v>14</v>
      </c>
      <c r="D883">
        <v>29.77</v>
      </c>
      <c r="E883">
        <v>42.31</v>
      </c>
      <c r="F883">
        <v>16.84</v>
      </c>
      <c r="G883">
        <v>29.65</v>
      </c>
      <c r="H883">
        <v>11.91</v>
      </c>
      <c r="I883">
        <v>12.69</v>
      </c>
      <c r="J883">
        <v>5.05</v>
      </c>
    </row>
    <row r="884" spans="1:10" x14ac:dyDescent="0.2">
      <c r="A884" t="s">
        <v>65</v>
      </c>
      <c r="B884" t="s">
        <v>8</v>
      </c>
      <c r="C884" t="s">
        <v>9</v>
      </c>
      <c r="D884">
        <v>58.9</v>
      </c>
      <c r="E884">
        <v>44.23</v>
      </c>
      <c r="F884">
        <v>16.87</v>
      </c>
      <c r="G884">
        <v>41.89</v>
      </c>
      <c r="H884">
        <v>23.56</v>
      </c>
      <c r="I884">
        <v>13.27</v>
      </c>
      <c r="J884">
        <v>5.0599999999999996</v>
      </c>
    </row>
    <row r="885" spans="1:10" x14ac:dyDescent="0.2">
      <c r="A885" t="s">
        <v>65</v>
      </c>
      <c r="B885" t="s">
        <v>8</v>
      </c>
      <c r="C885" t="s">
        <v>10</v>
      </c>
      <c r="D885">
        <v>25.95</v>
      </c>
      <c r="E885">
        <v>42.31</v>
      </c>
      <c r="F885">
        <v>17.79</v>
      </c>
      <c r="G885">
        <v>28.41</v>
      </c>
      <c r="H885">
        <v>10.38</v>
      </c>
      <c r="I885">
        <v>12.69</v>
      </c>
      <c r="J885">
        <v>5.34</v>
      </c>
    </row>
    <row r="886" spans="1:10" x14ac:dyDescent="0.2">
      <c r="A886" t="s">
        <v>65</v>
      </c>
      <c r="B886" t="s">
        <v>8</v>
      </c>
      <c r="C886" t="s">
        <v>11</v>
      </c>
      <c r="D886">
        <v>7.81</v>
      </c>
      <c r="E886">
        <v>36.54</v>
      </c>
      <c r="F886">
        <v>6.56</v>
      </c>
      <c r="G886">
        <v>16.05</v>
      </c>
      <c r="H886">
        <v>3.12</v>
      </c>
      <c r="I886">
        <v>10.96</v>
      </c>
      <c r="J886">
        <v>1.97</v>
      </c>
    </row>
    <row r="887" spans="1:10" x14ac:dyDescent="0.2">
      <c r="A887" t="s">
        <v>65</v>
      </c>
      <c r="B887" t="s">
        <v>8</v>
      </c>
      <c r="C887" t="s">
        <v>12</v>
      </c>
      <c r="D887">
        <v>25.51</v>
      </c>
      <c r="E887">
        <v>34.619999999999997</v>
      </c>
      <c r="F887">
        <v>27.61</v>
      </c>
      <c r="G887">
        <v>28.87</v>
      </c>
      <c r="H887">
        <v>10.199999999999999</v>
      </c>
      <c r="I887">
        <v>10.38</v>
      </c>
      <c r="J887">
        <v>8.2799999999999994</v>
      </c>
    </row>
    <row r="888" spans="1:10" x14ac:dyDescent="0.2">
      <c r="A888" t="s">
        <v>65</v>
      </c>
      <c r="B888" t="s">
        <v>8</v>
      </c>
      <c r="C888" t="s">
        <v>13</v>
      </c>
      <c r="D888">
        <v>35.729999999999997</v>
      </c>
      <c r="E888">
        <v>46.15</v>
      </c>
      <c r="F888">
        <v>38.76</v>
      </c>
      <c r="G888">
        <v>39.770000000000003</v>
      </c>
      <c r="H888">
        <v>14.29</v>
      </c>
      <c r="I888">
        <v>13.85</v>
      </c>
      <c r="J888">
        <v>11.63</v>
      </c>
    </row>
    <row r="889" spans="1:10" x14ac:dyDescent="0.2">
      <c r="A889" t="s">
        <v>65</v>
      </c>
      <c r="B889" t="s">
        <v>8</v>
      </c>
      <c r="C889" t="s">
        <v>14</v>
      </c>
      <c r="D889">
        <v>26.96</v>
      </c>
      <c r="E889">
        <v>46.15</v>
      </c>
      <c r="F889">
        <v>53.84</v>
      </c>
      <c r="G889">
        <v>40.78</v>
      </c>
      <c r="H889">
        <v>10.78</v>
      </c>
      <c r="I889">
        <v>13.85</v>
      </c>
      <c r="J889">
        <v>16.149999999999999</v>
      </c>
    </row>
    <row r="890" spans="1:10" x14ac:dyDescent="0.2">
      <c r="A890" t="s">
        <v>65</v>
      </c>
      <c r="B890" t="s">
        <v>15</v>
      </c>
      <c r="C890" t="s">
        <v>9</v>
      </c>
      <c r="D890">
        <v>72.23</v>
      </c>
      <c r="E890">
        <v>44.23</v>
      </c>
      <c r="F890">
        <v>23.95</v>
      </c>
      <c r="G890">
        <v>49.35</v>
      </c>
      <c r="H890">
        <v>28.89</v>
      </c>
      <c r="I890">
        <v>13.27</v>
      </c>
      <c r="J890">
        <v>7.19</v>
      </c>
    </row>
    <row r="891" spans="1:10" x14ac:dyDescent="0.2">
      <c r="A891" t="s">
        <v>65</v>
      </c>
      <c r="B891" t="s">
        <v>15</v>
      </c>
      <c r="C891" t="s">
        <v>10</v>
      </c>
      <c r="D891">
        <v>40</v>
      </c>
      <c r="E891">
        <v>42.31</v>
      </c>
      <c r="F891">
        <v>23.32</v>
      </c>
      <c r="G891">
        <v>35.69</v>
      </c>
      <c r="H891">
        <v>16</v>
      </c>
      <c r="I891">
        <v>12.69</v>
      </c>
      <c r="J891">
        <v>7</v>
      </c>
    </row>
    <row r="892" spans="1:10" x14ac:dyDescent="0.2">
      <c r="A892" t="s">
        <v>65</v>
      </c>
      <c r="B892" t="s">
        <v>15</v>
      </c>
      <c r="C892" t="s">
        <v>11</v>
      </c>
      <c r="D892">
        <v>11.66</v>
      </c>
      <c r="E892">
        <v>36.54</v>
      </c>
      <c r="F892">
        <v>6.25</v>
      </c>
      <c r="G892">
        <v>17.5</v>
      </c>
      <c r="H892">
        <v>4.66</v>
      </c>
      <c r="I892">
        <v>10.96</v>
      </c>
      <c r="J892">
        <v>1.88</v>
      </c>
    </row>
    <row r="893" spans="1:10" x14ac:dyDescent="0.2">
      <c r="A893" t="s">
        <v>65</v>
      </c>
      <c r="B893" t="s">
        <v>15</v>
      </c>
      <c r="C893" t="s">
        <v>12</v>
      </c>
      <c r="D893">
        <v>36.9</v>
      </c>
      <c r="E893">
        <v>34.619999999999997</v>
      </c>
      <c r="F893">
        <v>46.07</v>
      </c>
      <c r="G893">
        <v>38.97</v>
      </c>
      <c r="H893">
        <v>14.76</v>
      </c>
      <c r="I893">
        <v>10.38</v>
      </c>
      <c r="J893">
        <v>13.82</v>
      </c>
    </row>
    <row r="894" spans="1:10" x14ac:dyDescent="0.2">
      <c r="A894" t="s">
        <v>65</v>
      </c>
      <c r="B894" t="s">
        <v>15</v>
      </c>
      <c r="C894" t="s">
        <v>13</v>
      </c>
      <c r="D894">
        <v>44.43</v>
      </c>
      <c r="E894">
        <v>46.15</v>
      </c>
      <c r="F894">
        <v>24.7</v>
      </c>
      <c r="G894">
        <v>39.03</v>
      </c>
      <c r="H894">
        <v>17.77</v>
      </c>
      <c r="I894">
        <v>13.85</v>
      </c>
      <c r="J894">
        <v>7.41</v>
      </c>
    </row>
    <row r="895" spans="1:10" x14ac:dyDescent="0.2">
      <c r="A895" t="s">
        <v>65</v>
      </c>
      <c r="B895" t="s">
        <v>15</v>
      </c>
      <c r="C895" t="s">
        <v>14</v>
      </c>
      <c r="D895">
        <v>52.67</v>
      </c>
      <c r="E895">
        <v>46.15</v>
      </c>
      <c r="F895">
        <v>65.44</v>
      </c>
      <c r="G895">
        <v>54.55</v>
      </c>
      <c r="H895">
        <v>21.07</v>
      </c>
      <c r="I895">
        <v>13.85</v>
      </c>
      <c r="J895">
        <v>19.63</v>
      </c>
    </row>
    <row r="896" spans="1:10" x14ac:dyDescent="0.2">
      <c r="A896" t="s">
        <v>65</v>
      </c>
      <c r="B896" t="s">
        <v>16</v>
      </c>
      <c r="C896" t="s">
        <v>9</v>
      </c>
      <c r="D896">
        <v>73.61</v>
      </c>
      <c r="E896">
        <v>44.23</v>
      </c>
      <c r="F896">
        <v>19.12</v>
      </c>
      <c r="G896">
        <v>48.45</v>
      </c>
      <c r="H896">
        <v>29.44</v>
      </c>
      <c r="I896">
        <v>13.27</v>
      </c>
      <c r="J896">
        <v>5.74</v>
      </c>
    </row>
    <row r="897" spans="1:10" x14ac:dyDescent="0.2">
      <c r="A897" t="s">
        <v>65</v>
      </c>
      <c r="B897" t="s">
        <v>16</v>
      </c>
      <c r="C897" t="s">
        <v>10</v>
      </c>
      <c r="D897">
        <v>30.99</v>
      </c>
      <c r="E897">
        <v>42.31</v>
      </c>
      <c r="F897">
        <v>31.07</v>
      </c>
      <c r="G897">
        <v>34.409999999999997</v>
      </c>
      <c r="H897">
        <v>12.39</v>
      </c>
      <c r="I897">
        <v>12.69</v>
      </c>
      <c r="J897">
        <v>9.32</v>
      </c>
    </row>
    <row r="898" spans="1:10" x14ac:dyDescent="0.2">
      <c r="A898" t="s">
        <v>65</v>
      </c>
      <c r="B898" t="s">
        <v>16</v>
      </c>
      <c r="C898" t="s">
        <v>11</v>
      </c>
      <c r="D898">
        <v>8.68</v>
      </c>
      <c r="E898">
        <v>36.54</v>
      </c>
      <c r="F898">
        <v>7.06</v>
      </c>
      <c r="G898">
        <v>16.55</v>
      </c>
      <c r="H898">
        <v>3.47</v>
      </c>
      <c r="I898">
        <v>10.96</v>
      </c>
      <c r="J898">
        <v>2.12</v>
      </c>
    </row>
    <row r="899" spans="1:10" x14ac:dyDescent="0.2">
      <c r="A899" t="s">
        <v>65</v>
      </c>
      <c r="B899" t="s">
        <v>16</v>
      </c>
      <c r="C899" t="s">
        <v>12</v>
      </c>
      <c r="D899">
        <v>31.15</v>
      </c>
      <c r="E899">
        <v>34.619999999999997</v>
      </c>
      <c r="F899">
        <v>31.64</v>
      </c>
      <c r="G899">
        <v>32.33</v>
      </c>
      <c r="H899">
        <v>12.46</v>
      </c>
      <c r="I899">
        <v>10.38</v>
      </c>
      <c r="J899">
        <v>9.49</v>
      </c>
    </row>
    <row r="900" spans="1:10" x14ac:dyDescent="0.2">
      <c r="A900" t="s">
        <v>65</v>
      </c>
      <c r="B900" t="s">
        <v>16</v>
      </c>
      <c r="C900" t="s">
        <v>13</v>
      </c>
      <c r="D900">
        <v>31.72</v>
      </c>
      <c r="E900">
        <v>46.15</v>
      </c>
      <c r="F900">
        <v>22.29</v>
      </c>
      <c r="G900">
        <v>33.22</v>
      </c>
      <c r="H900">
        <v>12.69</v>
      </c>
      <c r="I900">
        <v>13.85</v>
      </c>
      <c r="J900">
        <v>6.69</v>
      </c>
    </row>
    <row r="901" spans="1:10" x14ac:dyDescent="0.2">
      <c r="A901" t="s">
        <v>65</v>
      </c>
      <c r="B901" t="s">
        <v>16</v>
      </c>
      <c r="C901" t="s">
        <v>14</v>
      </c>
      <c r="D901">
        <v>29.97</v>
      </c>
      <c r="E901">
        <v>46.15</v>
      </c>
      <c r="F901">
        <v>22.6</v>
      </c>
      <c r="G901">
        <v>32.61</v>
      </c>
      <c r="H901">
        <v>11.99</v>
      </c>
      <c r="I901">
        <v>13.85</v>
      </c>
      <c r="J901">
        <v>6.78</v>
      </c>
    </row>
    <row r="902" spans="1:10" x14ac:dyDescent="0.2">
      <c r="A902" t="s">
        <v>66</v>
      </c>
      <c r="B902" t="s">
        <v>8</v>
      </c>
      <c r="C902" t="s">
        <v>9</v>
      </c>
      <c r="D902">
        <v>65.599999999999994</v>
      </c>
      <c r="E902">
        <v>40.380000000000003</v>
      </c>
      <c r="F902">
        <v>15.41</v>
      </c>
      <c r="G902">
        <v>42.98</v>
      </c>
      <c r="H902">
        <v>26.24</v>
      </c>
      <c r="I902">
        <v>12.12</v>
      </c>
      <c r="J902">
        <v>4.62</v>
      </c>
    </row>
    <row r="903" spans="1:10" x14ac:dyDescent="0.2">
      <c r="A903" t="s">
        <v>66</v>
      </c>
      <c r="B903" t="s">
        <v>8</v>
      </c>
      <c r="C903" t="s">
        <v>10</v>
      </c>
      <c r="D903">
        <v>29.03</v>
      </c>
      <c r="E903">
        <v>59.62</v>
      </c>
      <c r="F903">
        <v>22.41</v>
      </c>
      <c r="G903">
        <v>36.22</v>
      </c>
      <c r="H903">
        <v>11.61</v>
      </c>
      <c r="I903">
        <v>17.88</v>
      </c>
      <c r="J903">
        <v>6.72</v>
      </c>
    </row>
    <row r="904" spans="1:10" x14ac:dyDescent="0.2">
      <c r="A904" t="s">
        <v>66</v>
      </c>
      <c r="B904" t="s">
        <v>8</v>
      </c>
      <c r="C904" t="s">
        <v>11</v>
      </c>
      <c r="D904">
        <v>8.57</v>
      </c>
      <c r="E904">
        <v>38.46</v>
      </c>
      <c r="F904">
        <v>7.67</v>
      </c>
      <c r="G904">
        <v>17.27</v>
      </c>
      <c r="H904">
        <v>3.43</v>
      </c>
      <c r="I904">
        <v>11.54</v>
      </c>
      <c r="J904">
        <v>2.2999999999999998</v>
      </c>
    </row>
    <row r="905" spans="1:10" x14ac:dyDescent="0.2">
      <c r="A905" t="s">
        <v>66</v>
      </c>
      <c r="B905" t="s">
        <v>8</v>
      </c>
      <c r="C905" t="s">
        <v>12</v>
      </c>
      <c r="D905">
        <v>30.93</v>
      </c>
      <c r="E905">
        <v>38.46</v>
      </c>
      <c r="F905">
        <v>28.5</v>
      </c>
      <c r="G905">
        <v>32.46</v>
      </c>
      <c r="H905">
        <v>12.37</v>
      </c>
      <c r="I905">
        <v>11.54</v>
      </c>
      <c r="J905">
        <v>8.5500000000000007</v>
      </c>
    </row>
    <row r="906" spans="1:10" x14ac:dyDescent="0.2">
      <c r="A906" t="s">
        <v>66</v>
      </c>
      <c r="B906" t="s">
        <v>8</v>
      </c>
      <c r="C906" t="s">
        <v>13</v>
      </c>
      <c r="D906">
        <v>32.28</v>
      </c>
      <c r="E906">
        <v>53.85</v>
      </c>
      <c r="F906">
        <v>18.2</v>
      </c>
      <c r="G906">
        <v>34.520000000000003</v>
      </c>
      <c r="H906">
        <v>12.91</v>
      </c>
      <c r="I906">
        <v>16.149999999999999</v>
      </c>
      <c r="J906">
        <v>5.46</v>
      </c>
    </row>
    <row r="907" spans="1:10" x14ac:dyDescent="0.2">
      <c r="A907" t="s">
        <v>66</v>
      </c>
      <c r="B907" t="s">
        <v>8</v>
      </c>
      <c r="C907" t="s">
        <v>14</v>
      </c>
      <c r="D907">
        <v>25.79</v>
      </c>
      <c r="E907">
        <v>50</v>
      </c>
      <c r="F907">
        <v>26.91</v>
      </c>
      <c r="G907">
        <v>33.39</v>
      </c>
      <c r="H907">
        <v>10.31</v>
      </c>
      <c r="I907">
        <v>15</v>
      </c>
      <c r="J907">
        <v>8.07</v>
      </c>
    </row>
    <row r="908" spans="1:10" x14ac:dyDescent="0.2">
      <c r="A908" t="s">
        <v>66</v>
      </c>
      <c r="B908" t="s">
        <v>15</v>
      </c>
      <c r="C908" t="s">
        <v>9</v>
      </c>
      <c r="D908">
        <v>81.569999999999993</v>
      </c>
      <c r="E908">
        <v>40.380000000000003</v>
      </c>
      <c r="F908">
        <v>17.75</v>
      </c>
      <c r="G908">
        <v>50.07</v>
      </c>
      <c r="H908">
        <v>32.630000000000003</v>
      </c>
      <c r="I908">
        <v>12.12</v>
      </c>
      <c r="J908">
        <v>5.33</v>
      </c>
    </row>
    <row r="909" spans="1:10" x14ac:dyDescent="0.2">
      <c r="A909" t="s">
        <v>66</v>
      </c>
      <c r="B909" t="s">
        <v>15</v>
      </c>
      <c r="C909" t="s">
        <v>10</v>
      </c>
      <c r="D909">
        <v>46.44</v>
      </c>
      <c r="E909">
        <v>59.62</v>
      </c>
      <c r="F909">
        <v>30.58</v>
      </c>
      <c r="G909">
        <v>45.64</v>
      </c>
      <c r="H909">
        <v>18.579999999999998</v>
      </c>
      <c r="I909">
        <v>17.88</v>
      </c>
      <c r="J909">
        <v>9.17</v>
      </c>
    </row>
    <row r="910" spans="1:10" x14ac:dyDescent="0.2">
      <c r="A910" t="s">
        <v>66</v>
      </c>
      <c r="B910" t="s">
        <v>15</v>
      </c>
      <c r="C910" t="s">
        <v>11</v>
      </c>
      <c r="D910">
        <v>12.47</v>
      </c>
      <c r="E910">
        <v>38.46</v>
      </c>
      <c r="F910">
        <v>17.11</v>
      </c>
      <c r="G910">
        <v>21.66</v>
      </c>
      <c r="H910">
        <v>4.99</v>
      </c>
      <c r="I910">
        <v>11.54</v>
      </c>
      <c r="J910">
        <v>5.13</v>
      </c>
    </row>
    <row r="911" spans="1:10" x14ac:dyDescent="0.2">
      <c r="A911" t="s">
        <v>66</v>
      </c>
      <c r="B911" t="s">
        <v>15</v>
      </c>
      <c r="C911" t="s">
        <v>12</v>
      </c>
      <c r="D911">
        <v>39.43</v>
      </c>
      <c r="E911">
        <v>38.46</v>
      </c>
      <c r="F911">
        <v>60.92</v>
      </c>
      <c r="G911">
        <v>45.59</v>
      </c>
      <c r="H911">
        <v>15.77</v>
      </c>
      <c r="I911">
        <v>11.54</v>
      </c>
      <c r="J911">
        <v>18.28</v>
      </c>
    </row>
    <row r="912" spans="1:10" x14ac:dyDescent="0.2">
      <c r="A912" t="s">
        <v>66</v>
      </c>
      <c r="B912" t="s">
        <v>15</v>
      </c>
      <c r="C912" t="s">
        <v>13</v>
      </c>
      <c r="D912">
        <v>46.51</v>
      </c>
      <c r="E912">
        <v>53.85</v>
      </c>
      <c r="F912">
        <v>21.7</v>
      </c>
      <c r="G912">
        <v>41.27</v>
      </c>
      <c r="H912">
        <v>18.61</v>
      </c>
      <c r="I912">
        <v>16.149999999999999</v>
      </c>
      <c r="J912">
        <v>6.51</v>
      </c>
    </row>
    <row r="913" spans="1:10" x14ac:dyDescent="0.2">
      <c r="A913" t="s">
        <v>66</v>
      </c>
      <c r="B913" t="s">
        <v>15</v>
      </c>
      <c r="C913" t="s">
        <v>14</v>
      </c>
      <c r="D913">
        <v>54.42</v>
      </c>
      <c r="E913">
        <v>50</v>
      </c>
      <c r="F913">
        <v>69.94</v>
      </c>
      <c r="G913">
        <v>57.75</v>
      </c>
      <c r="H913">
        <v>21.77</v>
      </c>
      <c r="I913">
        <v>15</v>
      </c>
      <c r="J913">
        <v>20.98</v>
      </c>
    </row>
    <row r="914" spans="1:10" x14ac:dyDescent="0.2">
      <c r="A914" t="s">
        <v>66</v>
      </c>
      <c r="B914" t="s">
        <v>16</v>
      </c>
      <c r="C914" t="s">
        <v>9</v>
      </c>
      <c r="D914">
        <v>77.31</v>
      </c>
      <c r="E914">
        <v>40.380000000000003</v>
      </c>
      <c r="F914">
        <v>26.16</v>
      </c>
      <c r="G914">
        <v>50.89</v>
      </c>
      <c r="H914">
        <v>30.92</v>
      </c>
      <c r="I914">
        <v>12.12</v>
      </c>
      <c r="J914">
        <v>7.85</v>
      </c>
    </row>
    <row r="915" spans="1:10" x14ac:dyDescent="0.2">
      <c r="A915" t="s">
        <v>66</v>
      </c>
      <c r="B915" t="s">
        <v>16</v>
      </c>
      <c r="C915" t="s">
        <v>10</v>
      </c>
      <c r="D915">
        <v>32.82</v>
      </c>
      <c r="E915">
        <v>59.62</v>
      </c>
      <c r="F915">
        <v>35.9</v>
      </c>
      <c r="G915">
        <v>41.78</v>
      </c>
      <c r="H915">
        <v>13.13</v>
      </c>
      <c r="I915">
        <v>17.88</v>
      </c>
      <c r="J915">
        <v>10.77</v>
      </c>
    </row>
    <row r="916" spans="1:10" x14ac:dyDescent="0.2">
      <c r="A916" t="s">
        <v>66</v>
      </c>
      <c r="B916" t="s">
        <v>16</v>
      </c>
      <c r="C916" t="s">
        <v>11</v>
      </c>
      <c r="D916">
        <v>9.9600000000000009</v>
      </c>
      <c r="E916">
        <v>38.46</v>
      </c>
      <c r="F916">
        <v>25.58</v>
      </c>
      <c r="G916">
        <v>23.2</v>
      </c>
      <c r="H916">
        <v>3.99</v>
      </c>
      <c r="I916">
        <v>11.54</v>
      </c>
      <c r="J916">
        <v>7.67</v>
      </c>
    </row>
    <row r="917" spans="1:10" x14ac:dyDescent="0.2">
      <c r="A917" t="s">
        <v>66</v>
      </c>
      <c r="B917" t="s">
        <v>16</v>
      </c>
      <c r="C917" t="s">
        <v>12</v>
      </c>
      <c r="D917">
        <v>36.51</v>
      </c>
      <c r="E917">
        <v>38.46</v>
      </c>
      <c r="F917">
        <v>26.57</v>
      </c>
      <c r="G917">
        <v>34.11</v>
      </c>
      <c r="H917">
        <v>14.6</v>
      </c>
      <c r="I917">
        <v>11.54</v>
      </c>
      <c r="J917">
        <v>7.97</v>
      </c>
    </row>
    <row r="918" spans="1:10" x14ac:dyDescent="0.2">
      <c r="A918" t="s">
        <v>66</v>
      </c>
      <c r="B918" t="s">
        <v>16</v>
      </c>
      <c r="C918" t="s">
        <v>13</v>
      </c>
      <c r="D918">
        <v>31.79</v>
      </c>
      <c r="E918">
        <v>53.85</v>
      </c>
      <c r="F918">
        <v>19.62</v>
      </c>
      <c r="G918">
        <v>34.76</v>
      </c>
      <c r="H918">
        <v>12.72</v>
      </c>
      <c r="I918">
        <v>16.149999999999999</v>
      </c>
      <c r="J918">
        <v>5.89</v>
      </c>
    </row>
    <row r="919" spans="1:10" x14ac:dyDescent="0.2">
      <c r="A919" t="s">
        <v>66</v>
      </c>
      <c r="B919" t="s">
        <v>16</v>
      </c>
      <c r="C919" t="s">
        <v>14</v>
      </c>
      <c r="D919">
        <v>31.81</v>
      </c>
      <c r="E919">
        <v>50</v>
      </c>
      <c r="F919">
        <v>56.27</v>
      </c>
      <c r="G919">
        <v>44.61</v>
      </c>
      <c r="H919">
        <v>12.72</v>
      </c>
      <c r="I919">
        <v>15</v>
      </c>
      <c r="J919">
        <v>16.88</v>
      </c>
    </row>
    <row r="920" spans="1:10" x14ac:dyDescent="0.2">
      <c r="A920" t="s">
        <v>67</v>
      </c>
      <c r="B920" t="s">
        <v>8</v>
      </c>
      <c r="C920" t="s">
        <v>9</v>
      </c>
      <c r="D920">
        <v>73.91</v>
      </c>
      <c r="E920">
        <v>46.15</v>
      </c>
      <c r="F920">
        <v>14.84</v>
      </c>
      <c r="G920">
        <v>47.86</v>
      </c>
      <c r="H920">
        <v>29.56</v>
      </c>
      <c r="I920">
        <v>13.85</v>
      </c>
      <c r="J920">
        <v>4.45</v>
      </c>
    </row>
    <row r="921" spans="1:10" x14ac:dyDescent="0.2">
      <c r="A921" t="s">
        <v>67</v>
      </c>
      <c r="B921" t="s">
        <v>8</v>
      </c>
      <c r="C921" t="s">
        <v>10</v>
      </c>
      <c r="D921">
        <v>22.7</v>
      </c>
      <c r="E921">
        <v>59.62</v>
      </c>
      <c r="F921">
        <v>17.309999999999999</v>
      </c>
      <c r="G921">
        <v>32.159999999999997</v>
      </c>
      <c r="H921">
        <v>9.08</v>
      </c>
      <c r="I921">
        <v>17.88</v>
      </c>
      <c r="J921">
        <v>5.19</v>
      </c>
    </row>
    <row r="922" spans="1:10" x14ac:dyDescent="0.2">
      <c r="A922" t="s">
        <v>67</v>
      </c>
      <c r="B922" t="s">
        <v>8</v>
      </c>
      <c r="C922" t="s">
        <v>11</v>
      </c>
      <c r="D922">
        <v>7.17</v>
      </c>
      <c r="E922">
        <v>36.54</v>
      </c>
      <c r="F922">
        <v>18.75</v>
      </c>
      <c r="G922">
        <v>19.45</v>
      </c>
      <c r="H922">
        <v>2.87</v>
      </c>
      <c r="I922">
        <v>10.96</v>
      </c>
      <c r="J922">
        <v>5.63</v>
      </c>
    </row>
    <row r="923" spans="1:10" x14ac:dyDescent="0.2">
      <c r="A923" t="s">
        <v>67</v>
      </c>
      <c r="B923" t="s">
        <v>8</v>
      </c>
      <c r="C923" t="s">
        <v>12</v>
      </c>
      <c r="D923">
        <v>32.25</v>
      </c>
      <c r="E923">
        <v>50</v>
      </c>
      <c r="F923">
        <v>33.31</v>
      </c>
      <c r="G923">
        <v>37.89</v>
      </c>
      <c r="H923">
        <v>12.9</v>
      </c>
      <c r="I923">
        <v>15</v>
      </c>
      <c r="J923">
        <v>9.99</v>
      </c>
    </row>
    <row r="924" spans="1:10" x14ac:dyDescent="0.2">
      <c r="A924" t="s">
        <v>67</v>
      </c>
      <c r="B924" t="s">
        <v>8</v>
      </c>
      <c r="C924" t="s">
        <v>13</v>
      </c>
      <c r="D924">
        <v>32.26</v>
      </c>
      <c r="E924">
        <v>63.46</v>
      </c>
      <c r="F924">
        <v>36.299999999999997</v>
      </c>
      <c r="G924">
        <v>42.83</v>
      </c>
      <c r="H924">
        <v>12.9</v>
      </c>
      <c r="I924">
        <v>19.04</v>
      </c>
      <c r="J924">
        <v>10.89</v>
      </c>
    </row>
    <row r="925" spans="1:10" x14ac:dyDescent="0.2">
      <c r="A925" t="s">
        <v>67</v>
      </c>
      <c r="B925" t="s">
        <v>8</v>
      </c>
      <c r="C925" t="s">
        <v>14</v>
      </c>
      <c r="D925">
        <v>26.57</v>
      </c>
      <c r="E925">
        <v>57.69</v>
      </c>
      <c r="F925">
        <v>35.14</v>
      </c>
      <c r="G925">
        <v>38.479999999999997</v>
      </c>
      <c r="H925">
        <v>10.63</v>
      </c>
      <c r="I925">
        <v>17.309999999999999</v>
      </c>
      <c r="J925">
        <v>10.54</v>
      </c>
    </row>
    <row r="926" spans="1:10" x14ac:dyDescent="0.2">
      <c r="A926" t="s">
        <v>67</v>
      </c>
      <c r="B926" t="s">
        <v>15</v>
      </c>
      <c r="C926" t="s">
        <v>9</v>
      </c>
      <c r="D926">
        <v>92.54</v>
      </c>
      <c r="E926">
        <v>46.15</v>
      </c>
      <c r="F926">
        <v>30.06</v>
      </c>
      <c r="G926">
        <v>59.88</v>
      </c>
      <c r="H926">
        <v>37.020000000000003</v>
      </c>
      <c r="I926">
        <v>13.85</v>
      </c>
      <c r="J926">
        <v>9.02</v>
      </c>
    </row>
    <row r="927" spans="1:10" x14ac:dyDescent="0.2">
      <c r="A927" t="s">
        <v>67</v>
      </c>
      <c r="B927" t="s">
        <v>15</v>
      </c>
      <c r="C927" t="s">
        <v>10</v>
      </c>
      <c r="D927">
        <v>35.07</v>
      </c>
      <c r="E927">
        <v>59.62</v>
      </c>
      <c r="F927">
        <v>32.28</v>
      </c>
      <c r="G927">
        <v>41.6</v>
      </c>
      <c r="H927">
        <v>14.03</v>
      </c>
      <c r="I927">
        <v>17.88</v>
      </c>
      <c r="J927">
        <v>9.68</v>
      </c>
    </row>
    <row r="928" spans="1:10" x14ac:dyDescent="0.2">
      <c r="A928" t="s">
        <v>67</v>
      </c>
      <c r="B928" t="s">
        <v>15</v>
      </c>
      <c r="C928" t="s">
        <v>11</v>
      </c>
      <c r="D928">
        <v>10.94</v>
      </c>
      <c r="E928">
        <v>36.54</v>
      </c>
      <c r="F928">
        <v>29.34</v>
      </c>
      <c r="G928">
        <v>24.14</v>
      </c>
      <c r="H928">
        <v>4.38</v>
      </c>
      <c r="I928">
        <v>10.96</v>
      </c>
      <c r="J928">
        <v>8.8000000000000007</v>
      </c>
    </row>
    <row r="929" spans="1:10" x14ac:dyDescent="0.2">
      <c r="A929" t="s">
        <v>67</v>
      </c>
      <c r="B929" t="s">
        <v>15</v>
      </c>
      <c r="C929" t="s">
        <v>12</v>
      </c>
      <c r="D929">
        <v>43.88</v>
      </c>
      <c r="E929">
        <v>50</v>
      </c>
      <c r="F929">
        <v>58.37</v>
      </c>
      <c r="G929">
        <v>50.07</v>
      </c>
      <c r="H929">
        <v>17.55</v>
      </c>
      <c r="I929">
        <v>15</v>
      </c>
      <c r="J929">
        <v>17.510000000000002</v>
      </c>
    </row>
    <row r="930" spans="1:10" x14ac:dyDescent="0.2">
      <c r="A930" t="s">
        <v>67</v>
      </c>
      <c r="B930" t="s">
        <v>15</v>
      </c>
      <c r="C930" t="s">
        <v>13</v>
      </c>
      <c r="D930">
        <v>46.3</v>
      </c>
      <c r="E930">
        <v>63.46</v>
      </c>
      <c r="F930">
        <v>34.89</v>
      </c>
      <c r="G930">
        <v>48.02</v>
      </c>
      <c r="H930">
        <v>18.52</v>
      </c>
      <c r="I930">
        <v>19.04</v>
      </c>
      <c r="J930">
        <v>10.47</v>
      </c>
    </row>
    <row r="931" spans="1:10" x14ac:dyDescent="0.2">
      <c r="A931" t="s">
        <v>67</v>
      </c>
      <c r="B931" t="s">
        <v>16</v>
      </c>
      <c r="C931" t="s">
        <v>9</v>
      </c>
      <c r="D931">
        <v>89.35</v>
      </c>
      <c r="E931">
        <v>46.15</v>
      </c>
      <c r="F931">
        <v>24.77</v>
      </c>
      <c r="G931">
        <v>57.01</v>
      </c>
      <c r="H931">
        <v>35.74</v>
      </c>
      <c r="I931">
        <v>13.85</v>
      </c>
      <c r="J931">
        <v>7.43</v>
      </c>
    </row>
    <row r="932" spans="1:10" x14ac:dyDescent="0.2">
      <c r="A932" t="s">
        <v>67</v>
      </c>
      <c r="B932" t="s">
        <v>16</v>
      </c>
      <c r="C932" t="s">
        <v>10</v>
      </c>
      <c r="D932">
        <v>26.35</v>
      </c>
      <c r="E932">
        <v>59.62</v>
      </c>
      <c r="F932">
        <v>32.119999999999997</v>
      </c>
      <c r="G932">
        <v>38.06</v>
      </c>
      <c r="H932">
        <v>10.54</v>
      </c>
      <c r="I932">
        <v>17.88</v>
      </c>
      <c r="J932">
        <v>9.64</v>
      </c>
    </row>
    <row r="933" spans="1:10" x14ac:dyDescent="0.2">
      <c r="A933" t="s">
        <v>67</v>
      </c>
      <c r="B933" t="s">
        <v>16</v>
      </c>
      <c r="C933" t="s">
        <v>11</v>
      </c>
      <c r="D933">
        <v>8.56</v>
      </c>
      <c r="E933">
        <v>36.54</v>
      </c>
      <c r="F933">
        <v>18.61</v>
      </c>
      <c r="G933">
        <v>19.97</v>
      </c>
      <c r="H933">
        <v>3.42</v>
      </c>
      <c r="I933">
        <v>10.96</v>
      </c>
      <c r="J933">
        <v>5.58</v>
      </c>
    </row>
    <row r="934" spans="1:10" x14ac:dyDescent="0.2">
      <c r="A934" t="s">
        <v>67</v>
      </c>
      <c r="B934" t="s">
        <v>16</v>
      </c>
      <c r="C934" t="s">
        <v>12</v>
      </c>
      <c r="D934">
        <v>36.94</v>
      </c>
      <c r="E934">
        <v>50</v>
      </c>
      <c r="F934">
        <v>34.71</v>
      </c>
      <c r="G934">
        <v>40.19</v>
      </c>
      <c r="H934">
        <v>14.77</v>
      </c>
      <c r="I934">
        <v>15</v>
      </c>
      <c r="J934">
        <v>10.41</v>
      </c>
    </row>
    <row r="935" spans="1:10" x14ac:dyDescent="0.2">
      <c r="A935" t="s">
        <v>67</v>
      </c>
      <c r="B935" t="s">
        <v>16</v>
      </c>
      <c r="C935" t="s">
        <v>13</v>
      </c>
      <c r="D935">
        <v>29.61</v>
      </c>
      <c r="E935">
        <v>63.46</v>
      </c>
      <c r="F935">
        <v>17.78</v>
      </c>
      <c r="G935">
        <v>36.21</v>
      </c>
      <c r="H935">
        <v>11.84</v>
      </c>
      <c r="I935">
        <v>19.04</v>
      </c>
      <c r="J935">
        <v>5.33</v>
      </c>
    </row>
    <row r="936" spans="1:10" x14ac:dyDescent="0.2">
      <c r="A936" t="s">
        <v>67</v>
      </c>
      <c r="B936" t="s">
        <v>16</v>
      </c>
      <c r="C936" t="s">
        <v>14</v>
      </c>
      <c r="D936">
        <v>33.92</v>
      </c>
      <c r="E936">
        <v>57.69</v>
      </c>
      <c r="F936">
        <v>45.3</v>
      </c>
      <c r="G936">
        <v>44.47</v>
      </c>
      <c r="H936">
        <v>13.57</v>
      </c>
      <c r="I936">
        <v>17.309999999999999</v>
      </c>
      <c r="J936">
        <v>13.59</v>
      </c>
    </row>
    <row r="937" spans="1:10" x14ac:dyDescent="0.2">
      <c r="A937" t="s">
        <v>68</v>
      </c>
      <c r="B937" t="s">
        <v>8</v>
      </c>
      <c r="C937" t="s">
        <v>9</v>
      </c>
      <c r="D937">
        <v>64.11</v>
      </c>
      <c r="E937">
        <v>61.54</v>
      </c>
      <c r="F937">
        <v>24.84</v>
      </c>
      <c r="G937">
        <v>51.55</v>
      </c>
      <c r="H937">
        <v>25.64</v>
      </c>
      <c r="I937">
        <v>18.46</v>
      </c>
      <c r="J937">
        <v>7.45</v>
      </c>
    </row>
    <row r="938" spans="1:10" x14ac:dyDescent="0.2">
      <c r="A938" t="s">
        <v>68</v>
      </c>
      <c r="B938" t="s">
        <v>8</v>
      </c>
      <c r="C938" t="s">
        <v>10</v>
      </c>
      <c r="D938">
        <v>19.48</v>
      </c>
      <c r="E938">
        <v>67.31</v>
      </c>
      <c r="F938">
        <v>19.13</v>
      </c>
      <c r="G938">
        <v>33.72</v>
      </c>
      <c r="H938">
        <v>7.79</v>
      </c>
      <c r="I938">
        <v>20.190000000000001</v>
      </c>
      <c r="J938">
        <v>5.74</v>
      </c>
    </row>
    <row r="939" spans="1:10" x14ac:dyDescent="0.2">
      <c r="A939" t="s">
        <v>68</v>
      </c>
      <c r="B939" t="s">
        <v>8</v>
      </c>
      <c r="C939" t="s">
        <v>11</v>
      </c>
      <c r="D939">
        <v>6.76</v>
      </c>
      <c r="E939">
        <v>40.380000000000003</v>
      </c>
      <c r="F939">
        <v>18.670000000000002</v>
      </c>
      <c r="G939">
        <v>20.420000000000002</v>
      </c>
      <c r="H939">
        <v>2.7</v>
      </c>
      <c r="I939">
        <v>12.12</v>
      </c>
      <c r="J939">
        <v>5.6</v>
      </c>
    </row>
    <row r="940" spans="1:10" x14ac:dyDescent="0.2">
      <c r="A940" t="s">
        <v>68</v>
      </c>
      <c r="B940" t="s">
        <v>8</v>
      </c>
      <c r="C940" t="s">
        <v>12</v>
      </c>
      <c r="D940">
        <v>25.86</v>
      </c>
      <c r="E940">
        <v>51.92</v>
      </c>
      <c r="F940">
        <v>46.03</v>
      </c>
      <c r="G940">
        <v>39.729999999999997</v>
      </c>
      <c r="H940">
        <v>10.34</v>
      </c>
      <c r="I940">
        <v>15.58</v>
      </c>
      <c r="J940">
        <v>13.81</v>
      </c>
    </row>
    <row r="941" spans="1:10" x14ac:dyDescent="0.2">
      <c r="A941" t="s">
        <v>68</v>
      </c>
      <c r="B941" t="s">
        <v>8</v>
      </c>
      <c r="C941" t="s">
        <v>13</v>
      </c>
      <c r="D941">
        <v>26.38</v>
      </c>
      <c r="E941">
        <v>71.150000000000006</v>
      </c>
      <c r="F941">
        <v>27.52</v>
      </c>
      <c r="G941">
        <v>40.15</v>
      </c>
      <c r="H941">
        <v>10.55</v>
      </c>
      <c r="I941">
        <v>21.35</v>
      </c>
      <c r="J941">
        <v>8.26</v>
      </c>
    </row>
    <row r="942" spans="1:10" x14ac:dyDescent="0.2">
      <c r="A942" t="s">
        <v>68</v>
      </c>
      <c r="B942" t="s">
        <v>8</v>
      </c>
      <c r="C942" t="s">
        <v>14</v>
      </c>
      <c r="D942">
        <v>23.93</v>
      </c>
      <c r="E942">
        <v>63.46</v>
      </c>
      <c r="F942">
        <v>40.270000000000003</v>
      </c>
      <c r="G942">
        <v>40.69</v>
      </c>
      <c r="H942">
        <v>9.57</v>
      </c>
      <c r="I942">
        <v>19.04</v>
      </c>
      <c r="J942">
        <v>12.08</v>
      </c>
    </row>
    <row r="943" spans="1:10" x14ac:dyDescent="0.2">
      <c r="A943" t="s">
        <v>68</v>
      </c>
      <c r="B943" t="s">
        <v>15</v>
      </c>
      <c r="C943" t="s">
        <v>9</v>
      </c>
      <c r="D943">
        <v>87.84</v>
      </c>
      <c r="E943">
        <v>61.54</v>
      </c>
      <c r="F943">
        <v>26.96</v>
      </c>
      <c r="G943">
        <v>61.69</v>
      </c>
      <c r="H943">
        <v>35.130000000000003</v>
      </c>
      <c r="I943">
        <v>18.46</v>
      </c>
      <c r="J943">
        <v>8.09</v>
      </c>
    </row>
    <row r="944" spans="1:10" x14ac:dyDescent="0.2">
      <c r="A944" t="s">
        <v>68</v>
      </c>
      <c r="B944" t="s">
        <v>15</v>
      </c>
      <c r="C944" t="s">
        <v>10</v>
      </c>
      <c r="D944">
        <v>30.91</v>
      </c>
      <c r="E944">
        <v>67.31</v>
      </c>
      <c r="F944">
        <v>48.75</v>
      </c>
      <c r="G944">
        <v>47.18</v>
      </c>
      <c r="H944">
        <v>12.37</v>
      </c>
      <c r="I944">
        <v>20.190000000000001</v>
      </c>
      <c r="J944">
        <v>14.63</v>
      </c>
    </row>
    <row r="945" spans="1:10" x14ac:dyDescent="0.2">
      <c r="A945" t="s">
        <v>68</v>
      </c>
      <c r="B945" t="s">
        <v>15</v>
      </c>
      <c r="C945" t="s">
        <v>11</v>
      </c>
      <c r="D945">
        <v>11.08</v>
      </c>
      <c r="E945">
        <v>40.380000000000003</v>
      </c>
      <c r="F945">
        <v>12.47</v>
      </c>
      <c r="G945">
        <v>20.29</v>
      </c>
      <c r="H945">
        <v>4.43</v>
      </c>
      <c r="I945">
        <v>12.12</v>
      </c>
      <c r="J945">
        <v>3.74</v>
      </c>
    </row>
    <row r="946" spans="1:10" x14ac:dyDescent="0.2">
      <c r="A946" t="s">
        <v>68</v>
      </c>
      <c r="B946" t="s">
        <v>15</v>
      </c>
      <c r="C946" t="s">
        <v>12</v>
      </c>
      <c r="D946">
        <v>37.659999999999997</v>
      </c>
      <c r="E946">
        <v>51.92</v>
      </c>
      <c r="F946">
        <v>81.16</v>
      </c>
      <c r="G946">
        <v>54.99</v>
      </c>
      <c r="H946">
        <v>15.06</v>
      </c>
      <c r="I946">
        <v>15.58</v>
      </c>
      <c r="J946">
        <v>24.35</v>
      </c>
    </row>
    <row r="947" spans="1:10" x14ac:dyDescent="0.2">
      <c r="A947" t="s">
        <v>68</v>
      </c>
      <c r="B947" t="s">
        <v>15</v>
      </c>
      <c r="C947" t="s">
        <v>13</v>
      </c>
      <c r="D947">
        <v>40.14</v>
      </c>
      <c r="E947">
        <v>71.150000000000006</v>
      </c>
      <c r="F947">
        <v>71.83</v>
      </c>
      <c r="G947">
        <v>58.95</v>
      </c>
      <c r="H947">
        <v>16.059999999999999</v>
      </c>
      <c r="I947">
        <v>21.35</v>
      </c>
      <c r="J947">
        <v>21.55</v>
      </c>
    </row>
    <row r="948" spans="1:10" x14ac:dyDescent="0.2">
      <c r="A948" t="s">
        <v>68</v>
      </c>
      <c r="B948" t="s">
        <v>15</v>
      </c>
      <c r="C948" t="s">
        <v>14</v>
      </c>
      <c r="D948">
        <v>51.19</v>
      </c>
      <c r="E948">
        <v>63.46</v>
      </c>
      <c r="F948">
        <v>82.97</v>
      </c>
      <c r="G948">
        <v>64.400000000000006</v>
      </c>
      <c r="H948">
        <v>20.47</v>
      </c>
      <c r="I948">
        <v>19.04</v>
      </c>
      <c r="J948">
        <v>24.89</v>
      </c>
    </row>
    <row r="949" spans="1:10" x14ac:dyDescent="0.2">
      <c r="A949" t="s">
        <v>68</v>
      </c>
      <c r="B949" t="s">
        <v>16</v>
      </c>
      <c r="C949" t="s">
        <v>9</v>
      </c>
      <c r="D949">
        <v>85.48</v>
      </c>
      <c r="E949">
        <v>61.54</v>
      </c>
      <c r="F949">
        <v>31.45</v>
      </c>
      <c r="G949">
        <v>62.09</v>
      </c>
      <c r="H949">
        <v>34.19</v>
      </c>
      <c r="I949">
        <v>18.46</v>
      </c>
      <c r="J949">
        <v>9.44</v>
      </c>
    </row>
    <row r="950" spans="1:10" x14ac:dyDescent="0.2">
      <c r="A950" t="s">
        <v>68</v>
      </c>
      <c r="B950" t="s">
        <v>16</v>
      </c>
      <c r="C950" t="s">
        <v>10</v>
      </c>
      <c r="D950">
        <v>21.96</v>
      </c>
      <c r="E950">
        <v>67.31</v>
      </c>
      <c r="F950">
        <v>30.2</v>
      </c>
      <c r="G950">
        <v>38.04</v>
      </c>
      <c r="H950">
        <v>8.7799999999999994</v>
      </c>
      <c r="I950">
        <v>20.190000000000001</v>
      </c>
      <c r="J950">
        <v>9.06</v>
      </c>
    </row>
    <row r="951" spans="1:10" x14ac:dyDescent="0.2">
      <c r="A951" t="s">
        <v>68</v>
      </c>
      <c r="B951" t="s">
        <v>16</v>
      </c>
      <c r="C951" t="s">
        <v>11</v>
      </c>
      <c r="D951">
        <v>7.9</v>
      </c>
      <c r="E951">
        <v>40.380000000000003</v>
      </c>
      <c r="F951">
        <v>51.4</v>
      </c>
      <c r="G951">
        <v>30.7</v>
      </c>
      <c r="H951">
        <v>3.16</v>
      </c>
      <c r="I951">
        <v>12.12</v>
      </c>
      <c r="J951">
        <v>15.42</v>
      </c>
    </row>
    <row r="952" spans="1:10" x14ac:dyDescent="0.2">
      <c r="A952" t="s">
        <v>68</v>
      </c>
      <c r="B952" t="s">
        <v>16</v>
      </c>
      <c r="C952" t="s">
        <v>12</v>
      </c>
      <c r="D952">
        <v>30.77</v>
      </c>
      <c r="E952">
        <v>51.92</v>
      </c>
      <c r="F952">
        <v>47.08</v>
      </c>
      <c r="G952">
        <v>42.01</v>
      </c>
      <c r="H952">
        <v>12.31</v>
      </c>
      <c r="I952">
        <v>15.58</v>
      </c>
      <c r="J952">
        <v>14.13</v>
      </c>
    </row>
    <row r="953" spans="1:10" x14ac:dyDescent="0.2">
      <c r="A953" t="s">
        <v>68</v>
      </c>
      <c r="B953" t="s">
        <v>16</v>
      </c>
      <c r="C953" t="s">
        <v>13</v>
      </c>
      <c r="D953">
        <v>26.42</v>
      </c>
      <c r="E953">
        <v>71.150000000000006</v>
      </c>
      <c r="F953">
        <v>23.28</v>
      </c>
      <c r="G953">
        <v>38.9</v>
      </c>
      <c r="H953">
        <v>10.57</v>
      </c>
      <c r="I953">
        <v>21.35</v>
      </c>
      <c r="J953">
        <v>6.98</v>
      </c>
    </row>
    <row r="954" spans="1:10" x14ac:dyDescent="0.2">
      <c r="A954" t="s">
        <v>68</v>
      </c>
      <c r="B954" t="s">
        <v>16</v>
      </c>
      <c r="C954" t="s">
        <v>14</v>
      </c>
      <c r="D954">
        <v>31.7</v>
      </c>
      <c r="E954">
        <v>63.46</v>
      </c>
      <c r="F954">
        <v>35.79</v>
      </c>
      <c r="G954">
        <v>42.45</v>
      </c>
      <c r="H954">
        <v>12.68</v>
      </c>
      <c r="I954">
        <v>19.04</v>
      </c>
      <c r="J954">
        <v>10.74</v>
      </c>
    </row>
    <row r="955" spans="1:10" x14ac:dyDescent="0.2">
      <c r="A955" t="s">
        <v>69</v>
      </c>
      <c r="B955" t="s">
        <v>8</v>
      </c>
      <c r="C955" t="s">
        <v>9</v>
      </c>
      <c r="D955">
        <v>64.77</v>
      </c>
      <c r="E955">
        <v>57.69</v>
      </c>
      <c r="F955">
        <v>26.88</v>
      </c>
      <c r="G955">
        <v>51.28</v>
      </c>
      <c r="H955">
        <v>25.91</v>
      </c>
      <c r="I955">
        <v>17.309999999999999</v>
      </c>
      <c r="J955">
        <v>8.07</v>
      </c>
    </row>
    <row r="956" spans="1:10" x14ac:dyDescent="0.2">
      <c r="A956" t="s">
        <v>69</v>
      </c>
      <c r="B956" t="s">
        <v>8</v>
      </c>
      <c r="C956" t="s">
        <v>10</v>
      </c>
      <c r="D956">
        <v>20.149999999999999</v>
      </c>
      <c r="E956">
        <v>69.23</v>
      </c>
      <c r="F956">
        <v>14.43</v>
      </c>
      <c r="G956">
        <v>33.159999999999997</v>
      </c>
      <c r="H956">
        <v>8.06</v>
      </c>
      <c r="I956">
        <v>20.77</v>
      </c>
      <c r="J956">
        <v>4.33</v>
      </c>
    </row>
    <row r="957" spans="1:10" x14ac:dyDescent="0.2">
      <c r="A957" t="s">
        <v>69</v>
      </c>
      <c r="B957" t="s">
        <v>8</v>
      </c>
      <c r="C957" t="s">
        <v>11</v>
      </c>
      <c r="D957">
        <v>9.02</v>
      </c>
      <c r="E957">
        <v>53.85</v>
      </c>
      <c r="F957">
        <v>12.72</v>
      </c>
      <c r="G957">
        <v>23.58</v>
      </c>
      <c r="H957">
        <v>3.61</v>
      </c>
      <c r="I957">
        <v>16.149999999999999</v>
      </c>
      <c r="J957">
        <v>3.82</v>
      </c>
    </row>
    <row r="958" spans="1:10" x14ac:dyDescent="0.2">
      <c r="A958" t="s">
        <v>69</v>
      </c>
      <c r="B958" t="s">
        <v>8</v>
      </c>
      <c r="C958" t="s">
        <v>12</v>
      </c>
      <c r="D958">
        <v>29.72</v>
      </c>
      <c r="E958">
        <v>55.77</v>
      </c>
      <c r="F958">
        <v>46.87</v>
      </c>
      <c r="G958">
        <v>42.68</v>
      </c>
      <c r="H958">
        <v>11.89</v>
      </c>
      <c r="I958">
        <v>16.73</v>
      </c>
      <c r="J958">
        <v>14.06</v>
      </c>
    </row>
    <row r="959" spans="1:10" x14ac:dyDescent="0.2">
      <c r="A959" t="s">
        <v>69</v>
      </c>
      <c r="B959" t="s">
        <v>8</v>
      </c>
      <c r="C959" t="s">
        <v>13</v>
      </c>
      <c r="D959">
        <v>28.24</v>
      </c>
      <c r="E959">
        <v>75</v>
      </c>
      <c r="F959">
        <v>33.49</v>
      </c>
      <c r="G959">
        <v>43.85</v>
      </c>
      <c r="H959">
        <v>11.3</v>
      </c>
      <c r="I959">
        <v>22.5</v>
      </c>
      <c r="J959">
        <v>10.050000000000001</v>
      </c>
    </row>
    <row r="960" spans="1:10" x14ac:dyDescent="0.2">
      <c r="A960" t="s">
        <v>69</v>
      </c>
      <c r="B960" t="s">
        <v>8</v>
      </c>
      <c r="C960" t="s">
        <v>14</v>
      </c>
      <c r="D960">
        <v>28.05</v>
      </c>
      <c r="E960">
        <v>69.23</v>
      </c>
      <c r="F960">
        <v>25.63</v>
      </c>
      <c r="G960">
        <v>39.68</v>
      </c>
      <c r="H960">
        <v>11.22</v>
      </c>
      <c r="I960">
        <v>20.77</v>
      </c>
      <c r="J960">
        <v>7.69</v>
      </c>
    </row>
    <row r="961" spans="1:10" x14ac:dyDescent="0.2">
      <c r="A961" t="s">
        <v>69</v>
      </c>
      <c r="B961" t="s">
        <v>15</v>
      </c>
      <c r="C961" t="s">
        <v>9</v>
      </c>
      <c r="D961">
        <v>100</v>
      </c>
      <c r="E961">
        <v>57.69</v>
      </c>
      <c r="F961">
        <v>25.72</v>
      </c>
      <c r="G961">
        <v>65.02</v>
      </c>
      <c r="H961">
        <v>40</v>
      </c>
      <c r="I961">
        <v>17.309999999999999</v>
      </c>
      <c r="J961">
        <v>7.72</v>
      </c>
    </row>
    <row r="962" spans="1:10" x14ac:dyDescent="0.2">
      <c r="A962" t="s">
        <v>69</v>
      </c>
      <c r="B962" t="s">
        <v>15</v>
      </c>
      <c r="C962" t="s">
        <v>10</v>
      </c>
      <c r="D962">
        <v>32.049999999999997</v>
      </c>
      <c r="E962">
        <v>69.23</v>
      </c>
      <c r="F962">
        <v>29.19</v>
      </c>
      <c r="G962">
        <v>42.35</v>
      </c>
      <c r="H962">
        <v>12.82</v>
      </c>
      <c r="I962">
        <v>20.77</v>
      </c>
      <c r="J962">
        <v>8.76</v>
      </c>
    </row>
    <row r="963" spans="1:10" x14ac:dyDescent="0.2">
      <c r="A963" t="s">
        <v>69</v>
      </c>
      <c r="B963" t="s">
        <v>15</v>
      </c>
      <c r="C963" t="s">
        <v>11</v>
      </c>
      <c r="D963">
        <v>13.55</v>
      </c>
      <c r="E963">
        <v>53.85</v>
      </c>
      <c r="F963">
        <v>11.28</v>
      </c>
      <c r="G963">
        <v>24.96</v>
      </c>
      <c r="H963">
        <v>5.42</v>
      </c>
      <c r="I963">
        <v>16.149999999999999</v>
      </c>
      <c r="J963">
        <v>3.38</v>
      </c>
    </row>
    <row r="964" spans="1:10" x14ac:dyDescent="0.2">
      <c r="A964" t="s">
        <v>69</v>
      </c>
      <c r="B964" t="s">
        <v>15</v>
      </c>
      <c r="C964" t="s">
        <v>12</v>
      </c>
      <c r="D964">
        <v>42.65</v>
      </c>
      <c r="E964">
        <v>55.77</v>
      </c>
      <c r="F964">
        <v>56.45</v>
      </c>
      <c r="G964">
        <v>50.72</v>
      </c>
      <c r="H964">
        <v>17.059999999999999</v>
      </c>
      <c r="I964">
        <v>16.73</v>
      </c>
      <c r="J964">
        <v>16.93</v>
      </c>
    </row>
    <row r="965" spans="1:10" x14ac:dyDescent="0.2">
      <c r="A965" t="s">
        <v>69</v>
      </c>
      <c r="B965" t="s">
        <v>15</v>
      </c>
      <c r="C965" t="s">
        <v>13</v>
      </c>
      <c r="D965">
        <v>37.44</v>
      </c>
      <c r="E965">
        <v>75</v>
      </c>
      <c r="F965">
        <v>27.1</v>
      </c>
      <c r="G965">
        <v>45.6</v>
      </c>
      <c r="H965">
        <v>14.97</v>
      </c>
      <c r="I965">
        <v>22.5</v>
      </c>
      <c r="J965">
        <v>8.1300000000000008</v>
      </c>
    </row>
    <row r="966" spans="1:10" x14ac:dyDescent="0.2">
      <c r="A966" t="s">
        <v>69</v>
      </c>
      <c r="B966" t="s">
        <v>15</v>
      </c>
      <c r="C966" t="s">
        <v>14</v>
      </c>
      <c r="D966">
        <v>62.56</v>
      </c>
      <c r="E966">
        <v>69.23</v>
      </c>
      <c r="F966">
        <v>66.81</v>
      </c>
      <c r="G966">
        <v>65.84</v>
      </c>
      <c r="H966">
        <v>25.03</v>
      </c>
      <c r="I966">
        <v>20.77</v>
      </c>
      <c r="J966">
        <v>20.04</v>
      </c>
    </row>
    <row r="967" spans="1:10" x14ac:dyDescent="0.2">
      <c r="A967" t="s">
        <v>69</v>
      </c>
      <c r="B967" t="s">
        <v>16</v>
      </c>
      <c r="C967" t="s">
        <v>9</v>
      </c>
      <c r="D967">
        <v>80.790000000000006</v>
      </c>
      <c r="E967">
        <v>57.69</v>
      </c>
      <c r="F967">
        <v>21.55</v>
      </c>
      <c r="G967">
        <v>56.09</v>
      </c>
      <c r="H967">
        <v>32.31</v>
      </c>
      <c r="I967">
        <v>17.309999999999999</v>
      </c>
      <c r="J967">
        <v>6.46</v>
      </c>
    </row>
    <row r="968" spans="1:10" x14ac:dyDescent="0.2">
      <c r="A968" t="s">
        <v>69</v>
      </c>
      <c r="B968" t="s">
        <v>16</v>
      </c>
      <c r="C968" t="s">
        <v>10</v>
      </c>
      <c r="D968">
        <v>22.06</v>
      </c>
      <c r="E968">
        <v>69.23</v>
      </c>
      <c r="F968">
        <v>27.04</v>
      </c>
      <c r="G968">
        <v>37.700000000000003</v>
      </c>
      <c r="H968">
        <v>8.82</v>
      </c>
      <c r="I968">
        <v>20.77</v>
      </c>
      <c r="J968">
        <v>8.11</v>
      </c>
    </row>
    <row r="969" spans="1:10" x14ac:dyDescent="0.2">
      <c r="A969" t="s">
        <v>69</v>
      </c>
      <c r="B969" t="s">
        <v>16</v>
      </c>
      <c r="C969" t="s">
        <v>11</v>
      </c>
      <c r="D969">
        <v>10.98</v>
      </c>
      <c r="E969">
        <v>53.85</v>
      </c>
      <c r="F969">
        <v>8.6</v>
      </c>
      <c r="G969">
        <v>23.12</v>
      </c>
      <c r="H969">
        <v>4.3899999999999997</v>
      </c>
      <c r="I969">
        <v>16.149999999999999</v>
      </c>
      <c r="J969">
        <v>2.58</v>
      </c>
    </row>
    <row r="970" spans="1:10" x14ac:dyDescent="0.2">
      <c r="A970" t="s">
        <v>69</v>
      </c>
      <c r="B970" t="s">
        <v>16</v>
      </c>
      <c r="C970" t="s">
        <v>12</v>
      </c>
      <c r="D970">
        <v>34.700000000000003</v>
      </c>
      <c r="E970">
        <v>55.77</v>
      </c>
      <c r="F970">
        <v>42.36</v>
      </c>
      <c r="G970">
        <v>43.32</v>
      </c>
      <c r="H970">
        <v>13.88</v>
      </c>
      <c r="I970">
        <v>16.73</v>
      </c>
      <c r="J970">
        <v>12.71</v>
      </c>
    </row>
    <row r="971" spans="1:10" x14ac:dyDescent="0.2">
      <c r="A971" t="s">
        <v>69</v>
      </c>
      <c r="B971" t="s">
        <v>16</v>
      </c>
      <c r="C971" t="s">
        <v>13</v>
      </c>
      <c r="D971">
        <v>25.92</v>
      </c>
      <c r="E971">
        <v>75</v>
      </c>
      <c r="F971">
        <v>21.87</v>
      </c>
      <c r="G971">
        <v>39.43</v>
      </c>
      <c r="H971">
        <v>10.37</v>
      </c>
      <c r="I971">
        <v>22.5</v>
      </c>
      <c r="J971">
        <v>6.56</v>
      </c>
    </row>
    <row r="972" spans="1:10" x14ac:dyDescent="0.2">
      <c r="A972" t="s">
        <v>69</v>
      </c>
      <c r="B972" t="s">
        <v>16</v>
      </c>
      <c r="C972" t="s">
        <v>14</v>
      </c>
      <c r="D972">
        <v>35.31</v>
      </c>
      <c r="E972">
        <v>69.23</v>
      </c>
      <c r="F972">
        <v>30.27</v>
      </c>
      <c r="G972">
        <v>43.97</v>
      </c>
      <c r="H972">
        <v>14.13</v>
      </c>
      <c r="I972">
        <v>20.77</v>
      </c>
      <c r="J972">
        <v>9.08</v>
      </c>
    </row>
    <row r="973" spans="1:10" x14ac:dyDescent="0.2">
      <c r="A973" t="s">
        <v>70</v>
      </c>
      <c r="B973" t="s">
        <v>8</v>
      </c>
      <c r="C973" t="s">
        <v>9</v>
      </c>
      <c r="D973">
        <v>45.54</v>
      </c>
      <c r="E973">
        <v>63.46</v>
      </c>
      <c r="F973">
        <v>15.84</v>
      </c>
      <c r="G973">
        <v>42</v>
      </c>
      <c r="H973">
        <v>18.21</v>
      </c>
      <c r="I973">
        <v>19.04</v>
      </c>
      <c r="J973">
        <v>4.75</v>
      </c>
    </row>
    <row r="974" spans="1:10" x14ac:dyDescent="0.2">
      <c r="A974" t="s">
        <v>70</v>
      </c>
      <c r="B974" t="s">
        <v>8</v>
      </c>
      <c r="C974" t="s">
        <v>10</v>
      </c>
      <c r="D974">
        <v>20.100000000000001</v>
      </c>
      <c r="E974">
        <v>69.23</v>
      </c>
      <c r="F974">
        <v>31.58</v>
      </c>
      <c r="G974">
        <v>38.28</v>
      </c>
      <c r="H974">
        <v>8.0399999999999991</v>
      </c>
      <c r="I974">
        <v>20.77</v>
      </c>
      <c r="J974">
        <v>9.48</v>
      </c>
    </row>
    <row r="975" spans="1:10" x14ac:dyDescent="0.2">
      <c r="A975" t="s">
        <v>70</v>
      </c>
      <c r="B975" t="s">
        <v>8</v>
      </c>
      <c r="C975" t="s">
        <v>11</v>
      </c>
      <c r="D975">
        <v>11.07</v>
      </c>
      <c r="E975">
        <v>55.77</v>
      </c>
      <c r="F975">
        <v>17.13</v>
      </c>
      <c r="G975">
        <v>26.3</v>
      </c>
      <c r="H975">
        <v>4.43</v>
      </c>
      <c r="I975">
        <v>16.73</v>
      </c>
      <c r="J975">
        <v>5.14</v>
      </c>
    </row>
    <row r="976" spans="1:10" x14ac:dyDescent="0.2">
      <c r="A976" t="s">
        <v>70</v>
      </c>
      <c r="B976" t="s">
        <v>8</v>
      </c>
      <c r="C976" t="s">
        <v>12</v>
      </c>
      <c r="D976">
        <v>29.59</v>
      </c>
      <c r="E976">
        <v>57.69</v>
      </c>
      <c r="F976">
        <v>34.03</v>
      </c>
      <c r="G976">
        <v>39.35</v>
      </c>
      <c r="H976">
        <v>11.84</v>
      </c>
      <c r="I976">
        <v>17.309999999999999</v>
      </c>
      <c r="J976">
        <v>10.210000000000001</v>
      </c>
    </row>
    <row r="977" spans="1:10" x14ac:dyDescent="0.2">
      <c r="A977" t="s">
        <v>70</v>
      </c>
      <c r="B977" t="s">
        <v>8</v>
      </c>
      <c r="C977" t="s">
        <v>13</v>
      </c>
      <c r="D977">
        <v>23.68</v>
      </c>
      <c r="E977">
        <v>73.08</v>
      </c>
      <c r="F977">
        <v>49.67</v>
      </c>
      <c r="G977">
        <v>46.3</v>
      </c>
      <c r="H977">
        <v>9.4700000000000006</v>
      </c>
      <c r="I977">
        <v>21.92</v>
      </c>
      <c r="J977">
        <v>14.9</v>
      </c>
    </row>
    <row r="978" spans="1:10" x14ac:dyDescent="0.2">
      <c r="A978" t="s">
        <v>70</v>
      </c>
      <c r="B978" t="s">
        <v>8</v>
      </c>
      <c r="C978" t="s">
        <v>14</v>
      </c>
      <c r="D978">
        <v>25.9</v>
      </c>
      <c r="E978">
        <v>71.150000000000006</v>
      </c>
      <c r="F978">
        <v>29.86</v>
      </c>
      <c r="G978">
        <v>40.659999999999997</v>
      </c>
      <c r="H978">
        <v>10.36</v>
      </c>
      <c r="I978">
        <v>21.35</v>
      </c>
      <c r="J978">
        <v>8.9600000000000009</v>
      </c>
    </row>
    <row r="979" spans="1:10" x14ac:dyDescent="0.2">
      <c r="A979" t="s">
        <v>70</v>
      </c>
      <c r="B979" t="s">
        <v>15</v>
      </c>
      <c r="C979" t="s">
        <v>9</v>
      </c>
      <c r="D979">
        <v>66.52</v>
      </c>
      <c r="E979">
        <v>63.46</v>
      </c>
      <c r="F979">
        <v>10.14</v>
      </c>
      <c r="G979">
        <v>48.69</v>
      </c>
      <c r="H979">
        <v>26.61</v>
      </c>
      <c r="I979">
        <v>19.04</v>
      </c>
      <c r="J979">
        <v>3.04</v>
      </c>
    </row>
    <row r="980" spans="1:10" x14ac:dyDescent="0.2">
      <c r="A980" t="s">
        <v>70</v>
      </c>
      <c r="B980" t="s">
        <v>15</v>
      </c>
      <c r="C980" t="s">
        <v>10</v>
      </c>
      <c r="D980">
        <v>32.270000000000003</v>
      </c>
      <c r="E980">
        <v>69.23</v>
      </c>
      <c r="F980">
        <v>22.82</v>
      </c>
      <c r="G980">
        <v>40.520000000000003</v>
      </c>
      <c r="H980">
        <v>12.91</v>
      </c>
      <c r="I980">
        <v>20.77</v>
      </c>
      <c r="J980">
        <v>6.85</v>
      </c>
    </row>
    <row r="981" spans="1:10" x14ac:dyDescent="0.2">
      <c r="A981" t="s">
        <v>70</v>
      </c>
      <c r="B981" t="s">
        <v>15</v>
      </c>
      <c r="C981" t="s">
        <v>11</v>
      </c>
      <c r="D981">
        <v>14.36</v>
      </c>
      <c r="E981">
        <v>55.77</v>
      </c>
      <c r="F981">
        <v>17.66</v>
      </c>
      <c r="G981">
        <v>27.77</v>
      </c>
      <c r="H981">
        <v>5.74</v>
      </c>
      <c r="I981">
        <v>16.73</v>
      </c>
      <c r="J981">
        <v>5.3</v>
      </c>
    </row>
    <row r="982" spans="1:10" x14ac:dyDescent="0.2">
      <c r="A982" t="s">
        <v>70</v>
      </c>
      <c r="B982" t="s">
        <v>15</v>
      </c>
      <c r="C982" t="s">
        <v>12</v>
      </c>
      <c r="D982">
        <v>42.14</v>
      </c>
      <c r="E982">
        <v>57.69</v>
      </c>
      <c r="F982">
        <v>57.71</v>
      </c>
      <c r="G982">
        <v>51.48</v>
      </c>
      <c r="H982">
        <v>16.850000000000001</v>
      </c>
      <c r="I982">
        <v>17.309999999999999</v>
      </c>
      <c r="J982">
        <v>17.309999999999999</v>
      </c>
    </row>
    <row r="983" spans="1:10" x14ac:dyDescent="0.2">
      <c r="A983" t="s">
        <v>70</v>
      </c>
      <c r="B983" t="s">
        <v>15</v>
      </c>
      <c r="C983" t="s">
        <v>13</v>
      </c>
      <c r="D983">
        <v>34.01</v>
      </c>
      <c r="E983">
        <v>73.08</v>
      </c>
      <c r="F983">
        <v>19.34</v>
      </c>
      <c r="G983">
        <v>41.33</v>
      </c>
      <c r="H983">
        <v>13.6</v>
      </c>
      <c r="I983">
        <v>21.92</v>
      </c>
      <c r="J983">
        <v>5.8</v>
      </c>
    </row>
    <row r="984" spans="1:10" x14ac:dyDescent="0.2">
      <c r="A984" t="s">
        <v>70</v>
      </c>
      <c r="B984" t="s">
        <v>15</v>
      </c>
      <c r="C984" t="s">
        <v>14</v>
      </c>
      <c r="D984">
        <v>53.2</v>
      </c>
      <c r="E984">
        <v>71.150000000000006</v>
      </c>
      <c r="F984">
        <v>48.78</v>
      </c>
      <c r="G984">
        <v>57.26</v>
      </c>
      <c r="H984">
        <v>21.28</v>
      </c>
      <c r="I984">
        <v>21.35</v>
      </c>
      <c r="J984">
        <v>14.64</v>
      </c>
    </row>
    <row r="985" spans="1:10" x14ac:dyDescent="0.2">
      <c r="A985" t="s">
        <v>70</v>
      </c>
      <c r="B985" t="s">
        <v>16</v>
      </c>
      <c r="C985" t="s">
        <v>9</v>
      </c>
      <c r="D985">
        <v>58.06</v>
      </c>
      <c r="E985">
        <v>63.46</v>
      </c>
      <c r="F985">
        <v>16.12</v>
      </c>
      <c r="G985">
        <v>47.1</v>
      </c>
      <c r="H985">
        <v>23.22</v>
      </c>
      <c r="I985">
        <v>19.04</v>
      </c>
      <c r="J985">
        <v>4.84</v>
      </c>
    </row>
    <row r="986" spans="1:10" x14ac:dyDescent="0.2">
      <c r="A986" t="s">
        <v>70</v>
      </c>
      <c r="B986" t="s">
        <v>16</v>
      </c>
      <c r="C986" t="s">
        <v>10</v>
      </c>
      <c r="D986">
        <v>25.2</v>
      </c>
      <c r="E986">
        <v>69.23</v>
      </c>
      <c r="F986">
        <v>23.46</v>
      </c>
      <c r="G986">
        <v>37.89</v>
      </c>
      <c r="H986">
        <v>10.08</v>
      </c>
      <c r="I986">
        <v>20.77</v>
      </c>
      <c r="J986">
        <v>7.04</v>
      </c>
    </row>
    <row r="987" spans="1:10" x14ac:dyDescent="0.2">
      <c r="A987" t="s">
        <v>70</v>
      </c>
      <c r="B987" t="s">
        <v>16</v>
      </c>
      <c r="C987" t="s">
        <v>11</v>
      </c>
      <c r="D987">
        <v>13.22</v>
      </c>
      <c r="E987">
        <v>55.77</v>
      </c>
      <c r="F987">
        <v>11.3</v>
      </c>
      <c r="G987">
        <v>25.41</v>
      </c>
      <c r="H987">
        <v>5.29</v>
      </c>
      <c r="I987">
        <v>16.73</v>
      </c>
      <c r="J987">
        <v>3.39</v>
      </c>
    </row>
    <row r="988" spans="1:10" x14ac:dyDescent="0.2">
      <c r="A988" t="s">
        <v>70</v>
      </c>
      <c r="B988" t="s">
        <v>16</v>
      </c>
      <c r="C988" t="s">
        <v>12</v>
      </c>
      <c r="D988">
        <v>34.85</v>
      </c>
      <c r="E988">
        <v>57.69</v>
      </c>
      <c r="F988">
        <v>49.46</v>
      </c>
      <c r="G988">
        <v>46.08</v>
      </c>
      <c r="H988">
        <v>13.94</v>
      </c>
      <c r="I988">
        <v>17.309999999999999</v>
      </c>
      <c r="J988">
        <v>14.84</v>
      </c>
    </row>
    <row r="989" spans="1:10" x14ac:dyDescent="0.2">
      <c r="A989" t="s">
        <v>70</v>
      </c>
      <c r="B989" t="s">
        <v>16</v>
      </c>
      <c r="C989" t="s">
        <v>13</v>
      </c>
      <c r="D989">
        <v>20.72</v>
      </c>
      <c r="E989">
        <v>73.08</v>
      </c>
      <c r="F989">
        <v>9.17</v>
      </c>
      <c r="G989">
        <v>32.96</v>
      </c>
      <c r="H989">
        <v>8.2899999999999991</v>
      </c>
      <c r="I989">
        <v>21.92</v>
      </c>
      <c r="J989">
        <v>2.75</v>
      </c>
    </row>
    <row r="990" spans="1:10" x14ac:dyDescent="0.2">
      <c r="A990" t="s">
        <v>70</v>
      </c>
      <c r="B990" t="s">
        <v>16</v>
      </c>
      <c r="C990" t="s">
        <v>14</v>
      </c>
      <c r="D990">
        <v>29.27</v>
      </c>
      <c r="E990">
        <v>71.150000000000006</v>
      </c>
      <c r="F990">
        <v>52.14</v>
      </c>
      <c r="G990">
        <v>48.7</v>
      </c>
      <c r="H990">
        <v>11.71</v>
      </c>
      <c r="I990">
        <v>21.35</v>
      </c>
      <c r="J990">
        <v>15.64</v>
      </c>
    </row>
    <row r="991" spans="1:10" x14ac:dyDescent="0.2">
      <c r="A991" t="s">
        <v>71</v>
      </c>
      <c r="B991" t="s">
        <v>8</v>
      </c>
      <c r="C991" t="s">
        <v>9</v>
      </c>
      <c r="D991">
        <v>49.16</v>
      </c>
      <c r="E991">
        <v>100</v>
      </c>
      <c r="F991">
        <v>20.6</v>
      </c>
      <c r="G991">
        <v>55.84</v>
      </c>
      <c r="H991">
        <v>19.66</v>
      </c>
      <c r="I991">
        <v>30</v>
      </c>
      <c r="J991">
        <v>6.18</v>
      </c>
    </row>
    <row r="992" spans="1:10" x14ac:dyDescent="0.2">
      <c r="A992" t="s">
        <v>71</v>
      </c>
      <c r="B992" t="s">
        <v>8</v>
      </c>
      <c r="C992" t="s">
        <v>10</v>
      </c>
      <c r="D992">
        <v>18.350000000000001</v>
      </c>
      <c r="E992">
        <v>76.92</v>
      </c>
      <c r="F992">
        <v>19.41</v>
      </c>
      <c r="G992">
        <v>36.24</v>
      </c>
      <c r="H992">
        <v>7.34</v>
      </c>
      <c r="I992">
        <v>23.08</v>
      </c>
      <c r="J992">
        <v>5.82</v>
      </c>
    </row>
    <row r="993" spans="1:10" x14ac:dyDescent="0.2">
      <c r="A993" t="s">
        <v>71</v>
      </c>
      <c r="B993" t="s">
        <v>8</v>
      </c>
      <c r="C993" t="s">
        <v>11</v>
      </c>
      <c r="D993">
        <v>10.43</v>
      </c>
      <c r="E993">
        <v>63.46</v>
      </c>
      <c r="F993">
        <v>20.89</v>
      </c>
      <c r="G993">
        <v>29.48</v>
      </c>
      <c r="H993">
        <v>4.17</v>
      </c>
      <c r="I993">
        <v>19.04</v>
      </c>
      <c r="J993">
        <v>6.27</v>
      </c>
    </row>
    <row r="994" spans="1:10" x14ac:dyDescent="0.2">
      <c r="A994" t="s">
        <v>71</v>
      </c>
      <c r="B994" t="s">
        <v>8</v>
      </c>
      <c r="C994" t="s">
        <v>12</v>
      </c>
      <c r="D994">
        <v>28.27</v>
      </c>
      <c r="E994">
        <v>88.46</v>
      </c>
      <c r="F994">
        <v>31.04</v>
      </c>
      <c r="G994">
        <v>47.16</v>
      </c>
      <c r="H994">
        <v>11.31</v>
      </c>
      <c r="I994">
        <v>26.54</v>
      </c>
      <c r="J994">
        <v>9.31</v>
      </c>
    </row>
    <row r="995" spans="1:10" x14ac:dyDescent="0.2">
      <c r="A995" t="s">
        <v>71</v>
      </c>
      <c r="B995" t="s">
        <v>8</v>
      </c>
      <c r="C995" t="s">
        <v>13</v>
      </c>
      <c r="D995">
        <v>24.73</v>
      </c>
      <c r="E995">
        <v>78.849999999999994</v>
      </c>
      <c r="F995">
        <v>40.880000000000003</v>
      </c>
      <c r="G995">
        <v>45.81</v>
      </c>
      <c r="H995">
        <v>9.89</v>
      </c>
      <c r="I995">
        <v>23.65</v>
      </c>
      <c r="J995">
        <v>12.26</v>
      </c>
    </row>
    <row r="996" spans="1:10" x14ac:dyDescent="0.2">
      <c r="A996" t="s">
        <v>71</v>
      </c>
      <c r="B996" t="s">
        <v>8</v>
      </c>
      <c r="C996" t="s">
        <v>14</v>
      </c>
      <c r="D996">
        <v>24.79</v>
      </c>
      <c r="E996">
        <v>67.31</v>
      </c>
      <c r="F996">
        <v>18.600000000000001</v>
      </c>
      <c r="G996">
        <v>35.69</v>
      </c>
      <c r="H996">
        <v>9.92</v>
      </c>
      <c r="I996">
        <v>20.190000000000001</v>
      </c>
      <c r="J996">
        <v>5.58</v>
      </c>
    </row>
    <row r="997" spans="1:10" x14ac:dyDescent="0.2">
      <c r="A997" t="s">
        <v>71</v>
      </c>
      <c r="B997" t="s">
        <v>15</v>
      </c>
      <c r="C997" t="s">
        <v>9</v>
      </c>
      <c r="D997">
        <v>69.680000000000007</v>
      </c>
      <c r="E997">
        <v>100</v>
      </c>
      <c r="F997">
        <v>17.72</v>
      </c>
      <c r="G997">
        <v>63.19</v>
      </c>
      <c r="H997">
        <v>27.87</v>
      </c>
      <c r="I997">
        <v>30</v>
      </c>
      <c r="J997">
        <v>5.32</v>
      </c>
    </row>
    <row r="998" spans="1:10" x14ac:dyDescent="0.2">
      <c r="A998" t="s">
        <v>71</v>
      </c>
      <c r="B998" t="s">
        <v>15</v>
      </c>
      <c r="C998" t="s">
        <v>10</v>
      </c>
      <c r="D998">
        <v>26.49</v>
      </c>
      <c r="E998">
        <v>76.92</v>
      </c>
      <c r="F998">
        <v>18.73</v>
      </c>
      <c r="G998">
        <v>39.29</v>
      </c>
      <c r="H998">
        <v>10.6</v>
      </c>
      <c r="I998">
        <v>23.08</v>
      </c>
      <c r="J998">
        <v>5.62</v>
      </c>
    </row>
    <row r="999" spans="1:10" x14ac:dyDescent="0.2">
      <c r="A999" t="s">
        <v>71</v>
      </c>
      <c r="B999" t="s">
        <v>15</v>
      </c>
      <c r="C999" t="s">
        <v>11</v>
      </c>
      <c r="D999">
        <v>16.149999999999999</v>
      </c>
      <c r="E999">
        <v>63.46</v>
      </c>
      <c r="F999">
        <v>23.32</v>
      </c>
      <c r="G999">
        <v>32.5</v>
      </c>
      <c r="H999">
        <v>6.46</v>
      </c>
      <c r="I999">
        <v>19.04</v>
      </c>
      <c r="J999">
        <v>7</v>
      </c>
    </row>
    <row r="1000" spans="1:10" x14ac:dyDescent="0.2">
      <c r="A1000" t="s">
        <v>71</v>
      </c>
      <c r="B1000" t="s">
        <v>15</v>
      </c>
      <c r="C1000" t="s">
        <v>12</v>
      </c>
      <c r="D1000">
        <v>40.770000000000003</v>
      </c>
      <c r="E1000">
        <v>88.46</v>
      </c>
      <c r="F1000">
        <v>36.26</v>
      </c>
      <c r="G1000">
        <v>53.72</v>
      </c>
      <c r="H1000">
        <v>16.309999999999999</v>
      </c>
      <c r="I1000">
        <v>26.54</v>
      </c>
      <c r="J1000">
        <v>10.88</v>
      </c>
    </row>
    <row r="1001" spans="1:10" x14ac:dyDescent="0.2">
      <c r="A1001" t="s">
        <v>71</v>
      </c>
      <c r="B1001" t="s">
        <v>15</v>
      </c>
      <c r="C1001" t="s">
        <v>13</v>
      </c>
      <c r="D1001">
        <v>42.59</v>
      </c>
      <c r="E1001">
        <v>78.849999999999994</v>
      </c>
      <c r="F1001">
        <v>37.42</v>
      </c>
      <c r="G1001">
        <v>51.92</v>
      </c>
      <c r="H1001">
        <v>17.04</v>
      </c>
      <c r="I1001">
        <v>23.65</v>
      </c>
      <c r="J1001">
        <v>11.23</v>
      </c>
    </row>
    <row r="1002" spans="1:10" x14ac:dyDescent="0.2">
      <c r="A1002" t="s">
        <v>71</v>
      </c>
      <c r="B1002" t="s">
        <v>15</v>
      </c>
      <c r="C1002" t="s">
        <v>14</v>
      </c>
      <c r="D1002">
        <v>53.75</v>
      </c>
      <c r="E1002">
        <v>67.31</v>
      </c>
      <c r="F1002">
        <v>28.49</v>
      </c>
      <c r="G1002">
        <v>50.24</v>
      </c>
      <c r="H1002">
        <v>21.5</v>
      </c>
      <c r="I1002">
        <v>20.190000000000001</v>
      </c>
      <c r="J1002">
        <v>8.5500000000000007</v>
      </c>
    </row>
    <row r="1003" spans="1:10" x14ac:dyDescent="0.2">
      <c r="A1003" t="s">
        <v>71</v>
      </c>
      <c r="B1003" t="s">
        <v>16</v>
      </c>
      <c r="C1003" t="s">
        <v>9</v>
      </c>
      <c r="D1003">
        <v>58.46</v>
      </c>
      <c r="E1003">
        <v>100</v>
      </c>
      <c r="F1003">
        <v>13.49</v>
      </c>
      <c r="G1003">
        <v>57.43</v>
      </c>
      <c r="H1003">
        <v>23.38</v>
      </c>
      <c r="I1003">
        <v>30</v>
      </c>
      <c r="J1003">
        <v>4.05</v>
      </c>
    </row>
    <row r="1004" spans="1:10" x14ac:dyDescent="0.2">
      <c r="A1004" t="s">
        <v>71</v>
      </c>
      <c r="B1004" t="s">
        <v>16</v>
      </c>
      <c r="C1004" t="s">
        <v>10</v>
      </c>
      <c r="D1004">
        <v>23.25</v>
      </c>
      <c r="E1004">
        <v>76.92</v>
      </c>
      <c r="F1004">
        <v>20.260000000000002</v>
      </c>
      <c r="G1004">
        <v>38.46</v>
      </c>
      <c r="H1004">
        <v>9.3000000000000007</v>
      </c>
      <c r="I1004">
        <v>23.08</v>
      </c>
      <c r="J1004">
        <v>6.08</v>
      </c>
    </row>
    <row r="1005" spans="1:10" x14ac:dyDescent="0.2">
      <c r="A1005" t="s">
        <v>71</v>
      </c>
      <c r="B1005" t="s">
        <v>16</v>
      </c>
      <c r="C1005" t="s">
        <v>11</v>
      </c>
      <c r="D1005">
        <v>12.88</v>
      </c>
      <c r="E1005">
        <v>63.46</v>
      </c>
      <c r="F1005">
        <v>15.2</v>
      </c>
      <c r="G1005">
        <v>28.75</v>
      </c>
      <c r="H1005">
        <v>5.15</v>
      </c>
      <c r="I1005">
        <v>19.04</v>
      </c>
      <c r="J1005">
        <v>4.5599999999999996</v>
      </c>
    </row>
    <row r="1006" spans="1:10" x14ac:dyDescent="0.2">
      <c r="A1006" t="s">
        <v>71</v>
      </c>
      <c r="B1006" t="s">
        <v>16</v>
      </c>
      <c r="C1006" t="s">
        <v>12</v>
      </c>
      <c r="D1006">
        <v>31.08</v>
      </c>
      <c r="E1006">
        <v>88.46</v>
      </c>
      <c r="F1006">
        <v>59.25</v>
      </c>
      <c r="G1006">
        <v>56.75</v>
      </c>
      <c r="H1006">
        <v>12.43</v>
      </c>
      <c r="I1006">
        <v>26.54</v>
      </c>
      <c r="J1006">
        <v>17.78</v>
      </c>
    </row>
    <row r="1007" spans="1:10" x14ac:dyDescent="0.2">
      <c r="A1007" t="s">
        <v>71</v>
      </c>
      <c r="B1007" t="s">
        <v>16</v>
      </c>
      <c r="C1007" t="s">
        <v>13</v>
      </c>
      <c r="D1007">
        <v>22.09</v>
      </c>
      <c r="E1007">
        <v>78.849999999999994</v>
      </c>
      <c r="F1007">
        <v>38.299999999999997</v>
      </c>
      <c r="G1007">
        <v>43.98</v>
      </c>
      <c r="H1007">
        <v>8.84</v>
      </c>
      <c r="I1007">
        <v>23.65</v>
      </c>
      <c r="J1007">
        <v>11.49</v>
      </c>
    </row>
    <row r="1008" spans="1:10" x14ac:dyDescent="0.2">
      <c r="A1008" t="s">
        <v>71</v>
      </c>
      <c r="B1008" t="s">
        <v>16</v>
      </c>
      <c r="C1008" t="s">
        <v>14</v>
      </c>
      <c r="D1008">
        <v>30.45</v>
      </c>
      <c r="E1008">
        <v>67.31</v>
      </c>
      <c r="F1008">
        <v>23.34</v>
      </c>
      <c r="G1008">
        <v>39.380000000000003</v>
      </c>
      <c r="H1008">
        <v>12.18</v>
      </c>
      <c r="I1008">
        <v>20.190000000000001</v>
      </c>
      <c r="J1008">
        <v>7</v>
      </c>
    </row>
    <row r="1009" spans="1:10" x14ac:dyDescent="0.2">
      <c r="A1009" t="s">
        <v>72</v>
      </c>
      <c r="B1009" t="s">
        <v>8</v>
      </c>
      <c r="C1009" t="s">
        <v>9</v>
      </c>
      <c r="D1009">
        <v>46.98</v>
      </c>
      <c r="E1009">
        <v>71.150000000000006</v>
      </c>
      <c r="F1009">
        <v>12.11</v>
      </c>
      <c r="G1009">
        <v>43.77</v>
      </c>
      <c r="H1009">
        <v>18.79</v>
      </c>
      <c r="I1009">
        <v>21.35</v>
      </c>
      <c r="J1009">
        <v>3.63</v>
      </c>
    </row>
    <row r="1010" spans="1:10" x14ac:dyDescent="0.2">
      <c r="A1010" t="s">
        <v>72</v>
      </c>
      <c r="B1010" t="s">
        <v>8</v>
      </c>
      <c r="C1010" t="s">
        <v>10</v>
      </c>
      <c r="D1010">
        <v>17.34</v>
      </c>
      <c r="E1010">
        <v>73.08</v>
      </c>
      <c r="F1010">
        <v>14.81</v>
      </c>
      <c r="G1010">
        <v>33.299999999999997</v>
      </c>
      <c r="H1010">
        <v>6.93</v>
      </c>
      <c r="I1010">
        <v>21.92</v>
      </c>
      <c r="J1010">
        <v>4.4400000000000004</v>
      </c>
    </row>
    <row r="1011" spans="1:10" x14ac:dyDescent="0.2">
      <c r="A1011" t="s">
        <v>72</v>
      </c>
      <c r="B1011" t="s">
        <v>8</v>
      </c>
      <c r="C1011" t="s">
        <v>11</v>
      </c>
      <c r="D1011">
        <v>8.11</v>
      </c>
      <c r="E1011">
        <v>86.54</v>
      </c>
      <c r="F1011">
        <v>10.74</v>
      </c>
      <c r="G1011">
        <v>32.43</v>
      </c>
      <c r="H1011">
        <v>3.24</v>
      </c>
      <c r="I1011">
        <v>25.96</v>
      </c>
      <c r="J1011">
        <v>3.22</v>
      </c>
    </row>
    <row r="1012" spans="1:10" x14ac:dyDescent="0.2">
      <c r="A1012" t="s">
        <v>72</v>
      </c>
      <c r="B1012" t="s">
        <v>8</v>
      </c>
      <c r="C1012" t="s">
        <v>12</v>
      </c>
      <c r="D1012">
        <v>26.3</v>
      </c>
      <c r="E1012">
        <v>100</v>
      </c>
      <c r="F1012">
        <v>35.200000000000003</v>
      </c>
      <c r="G1012">
        <v>51.08</v>
      </c>
      <c r="H1012">
        <v>10.52</v>
      </c>
      <c r="I1012">
        <v>30</v>
      </c>
      <c r="J1012">
        <v>10.56</v>
      </c>
    </row>
    <row r="1013" spans="1:10" x14ac:dyDescent="0.2">
      <c r="A1013" t="s">
        <v>72</v>
      </c>
      <c r="B1013" t="s">
        <v>8</v>
      </c>
      <c r="C1013" t="s">
        <v>13</v>
      </c>
      <c r="D1013">
        <v>20.77</v>
      </c>
      <c r="E1013">
        <v>75</v>
      </c>
      <c r="F1013">
        <v>16.61</v>
      </c>
      <c r="G1013">
        <v>35.79</v>
      </c>
      <c r="H1013">
        <v>8.31</v>
      </c>
      <c r="I1013">
        <v>22.5</v>
      </c>
      <c r="J1013">
        <v>4.9800000000000004</v>
      </c>
    </row>
    <row r="1014" spans="1:10" x14ac:dyDescent="0.2">
      <c r="A1014" t="s">
        <v>72</v>
      </c>
      <c r="B1014" t="s">
        <v>8</v>
      </c>
      <c r="C1014" t="s">
        <v>14</v>
      </c>
      <c r="D1014">
        <v>24.36</v>
      </c>
      <c r="E1014">
        <v>67.31</v>
      </c>
      <c r="F1014">
        <v>22.35</v>
      </c>
      <c r="G1014">
        <v>36.64</v>
      </c>
      <c r="H1014">
        <v>9.74</v>
      </c>
      <c r="I1014">
        <v>20.190000000000001</v>
      </c>
      <c r="J1014">
        <v>6.7</v>
      </c>
    </row>
    <row r="1015" spans="1:10" x14ac:dyDescent="0.2">
      <c r="A1015" t="s">
        <v>72</v>
      </c>
      <c r="B1015" t="s">
        <v>15</v>
      </c>
      <c r="C1015" t="s">
        <v>9</v>
      </c>
      <c r="D1015">
        <v>66.36</v>
      </c>
      <c r="E1015">
        <v>71.150000000000006</v>
      </c>
      <c r="F1015">
        <v>25.12</v>
      </c>
      <c r="G1015">
        <v>55.42</v>
      </c>
      <c r="H1015">
        <v>26.54</v>
      </c>
      <c r="I1015">
        <v>21.35</v>
      </c>
      <c r="J1015">
        <v>7.54</v>
      </c>
    </row>
    <row r="1016" spans="1:10" x14ac:dyDescent="0.2">
      <c r="A1016" t="s">
        <v>72</v>
      </c>
      <c r="B1016" t="s">
        <v>15</v>
      </c>
      <c r="C1016" t="s">
        <v>10</v>
      </c>
      <c r="D1016">
        <v>26.91</v>
      </c>
      <c r="E1016">
        <v>73.08</v>
      </c>
      <c r="F1016">
        <v>21.44</v>
      </c>
      <c r="G1016">
        <v>39.119999999999997</v>
      </c>
      <c r="H1016">
        <v>10.77</v>
      </c>
      <c r="I1016">
        <v>21.92</v>
      </c>
      <c r="J1016">
        <v>6.43</v>
      </c>
    </row>
    <row r="1017" spans="1:10" x14ac:dyDescent="0.2">
      <c r="A1017" t="s">
        <v>72</v>
      </c>
      <c r="B1017" t="s">
        <v>15</v>
      </c>
      <c r="C1017" t="s">
        <v>11</v>
      </c>
      <c r="D1017">
        <v>14.08</v>
      </c>
      <c r="E1017">
        <v>86.54</v>
      </c>
      <c r="F1017">
        <v>29.99</v>
      </c>
      <c r="G1017">
        <v>40.590000000000003</v>
      </c>
      <c r="H1017">
        <v>5.63</v>
      </c>
      <c r="I1017">
        <v>25.96</v>
      </c>
      <c r="J1017">
        <v>9</v>
      </c>
    </row>
    <row r="1018" spans="1:10" x14ac:dyDescent="0.2">
      <c r="A1018" t="s">
        <v>72</v>
      </c>
      <c r="B1018" t="s">
        <v>15</v>
      </c>
      <c r="C1018" t="s">
        <v>12</v>
      </c>
      <c r="D1018">
        <v>39.83</v>
      </c>
      <c r="E1018">
        <v>100</v>
      </c>
      <c r="F1018">
        <v>41.08</v>
      </c>
      <c r="G1018">
        <v>58.26</v>
      </c>
      <c r="H1018">
        <v>15.93</v>
      </c>
      <c r="I1018">
        <v>30</v>
      </c>
      <c r="J1018">
        <v>12.32</v>
      </c>
    </row>
    <row r="1019" spans="1:10" x14ac:dyDescent="0.2">
      <c r="A1019" t="s">
        <v>72</v>
      </c>
      <c r="B1019" t="s">
        <v>15</v>
      </c>
      <c r="C1019" t="s">
        <v>13</v>
      </c>
      <c r="D1019">
        <v>34.020000000000003</v>
      </c>
      <c r="E1019">
        <v>75</v>
      </c>
      <c r="F1019">
        <v>30.27</v>
      </c>
      <c r="G1019">
        <v>45.19</v>
      </c>
      <c r="H1019">
        <v>13.61</v>
      </c>
      <c r="I1019">
        <v>22.5</v>
      </c>
      <c r="J1019">
        <v>9.08</v>
      </c>
    </row>
    <row r="1020" spans="1:10" x14ac:dyDescent="0.2">
      <c r="A1020" t="s">
        <v>72</v>
      </c>
      <c r="B1020" t="s">
        <v>15</v>
      </c>
      <c r="C1020" t="s">
        <v>14</v>
      </c>
      <c r="D1020">
        <v>47.87</v>
      </c>
      <c r="E1020">
        <v>67.31</v>
      </c>
      <c r="F1020">
        <v>21.04</v>
      </c>
      <c r="G1020">
        <v>45.65</v>
      </c>
      <c r="H1020">
        <v>19.149999999999999</v>
      </c>
      <c r="I1020">
        <v>20.190000000000001</v>
      </c>
      <c r="J1020">
        <v>6.31</v>
      </c>
    </row>
    <row r="1021" spans="1:10" x14ac:dyDescent="0.2">
      <c r="A1021" t="s">
        <v>72</v>
      </c>
      <c r="B1021" t="s">
        <v>16</v>
      </c>
      <c r="C1021" t="s">
        <v>9</v>
      </c>
      <c r="D1021">
        <v>59.39</v>
      </c>
      <c r="E1021">
        <v>71.150000000000006</v>
      </c>
      <c r="F1021">
        <v>14.72</v>
      </c>
      <c r="G1021">
        <v>49.52</v>
      </c>
      <c r="H1021">
        <v>23.75</v>
      </c>
      <c r="I1021">
        <v>21.35</v>
      </c>
      <c r="J1021">
        <v>4.42</v>
      </c>
    </row>
    <row r="1022" spans="1:10" x14ac:dyDescent="0.2">
      <c r="A1022" t="s">
        <v>72</v>
      </c>
      <c r="B1022" t="s">
        <v>16</v>
      </c>
      <c r="C1022" t="s">
        <v>10</v>
      </c>
      <c r="D1022">
        <v>20.8</v>
      </c>
      <c r="E1022">
        <v>73.08</v>
      </c>
      <c r="F1022">
        <v>26.72</v>
      </c>
      <c r="G1022">
        <v>38.26</v>
      </c>
      <c r="H1022">
        <v>8.32</v>
      </c>
      <c r="I1022">
        <v>21.92</v>
      </c>
      <c r="J1022">
        <v>8.02</v>
      </c>
    </row>
    <row r="1023" spans="1:10" x14ac:dyDescent="0.2">
      <c r="A1023" t="s">
        <v>72</v>
      </c>
      <c r="B1023" t="s">
        <v>16</v>
      </c>
      <c r="C1023" t="s">
        <v>11</v>
      </c>
      <c r="D1023">
        <v>9.15</v>
      </c>
      <c r="E1023">
        <v>86.54</v>
      </c>
      <c r="F1023">
        <v>21.29</v>
      </c>
      <c r="G1023">
        <v>36.01</v>
      </c>
      <c r="H1023">
        <v>3.66</v>
      </c>
      <c r="I1023">
        <v>25.96</v>
      </c>
      <c r="J1023">
        <v>6.39</v>
      </c>
    </row>
    <row r="1024" spans="1:10" x14ac:dyDescent="0.2">
      <c r="A1024" t="s">
        <v>72</v>
      </c>
      <c r="B1024" t="s">
        <v>16</v>
      </c>
      <c r="C1024" t="s">
        <v>12</v>
      </c>
      <c r="D1024">
        <v>29.9</v>
      </c>
      <c r="E1024">
        <v>100</v>
      </c>
      <c r="F1024">
        <v>37.520000000000003</v>
      </c>
      <c r="G1024">
        <v>53.22</v>
      </c>
      <c r="H1024">
        <v>11.96</v>
      </c>
      <c r="I1024">
        <v>30</v>
      </c>
      <c r="J1024">
        <v>11.26</v>
      </c>
    </row>
    <row r="1025" spans="1:10" x14ac:dyDescent="0.2">
      <c r="A1025" t="s">
        <v>72</v>
      </c>
      <c r="B1025" t="s">
        <v>16</v>
      </c>
      <c r="C1025" t="s">
        <v>13</v>
      </c>
      <c r="D1025">
        <v>23.45</v>
      </c>
      <c r="E1025">
        <v>75</v>
      </c>
      <c r="F1025">
        <v>24.2</v>
      </c>
      <c r="G1025">
        <v>39.14</v>
      </c>
      <c r="H1025">
        <v>9.3800000000000008</v>
      </c>
      <c r="I1025">
        <v>22.5</v>
      </c>
      <c r="J1025">
        <v>7.26</v>
      </c>
    </row>
    <row r="1026" spans="1:10" x14ac:dyDescent="0.2">
      <c r="A1026" t="s">
        <v>72</v>
      </c>
      <c r="B1026" t="s">
        <v>16</v>
      </c>
      <c r="C1026" t="s">
        <v>14</v>
      </c>
      <c r="D1026">
        <v>29.88</v>
      </c>
      <c r="E1026">
        <v>67.31</v>
      </c>
      <c r="F1026">
        <v>31.81</v>
      </c>
      <c r="G1026">
        <v>41.69</v>
      </c>
      <c r="H1026">
        <v>11.95</v>
      </c>
      <c r="I1026">
        <v>20.190000000000001</v>
      </c>
      <c r="J1026">
        <v>9.5399999999999991</v>
      </c>
    </row>
    <row r="1027" spans="1:10" x14ac:dyDescent="0.2">
      <c r="A1027" t="s">
        <v>73</v>
      </c>
      <c r="B1027" t="s">
        <v>8</v>
      </c>
      <c r="C1027" t="s">
        <v>9</v>
      </c>
      <c r="D1027">
        <v>43.57</v>
      </c>
      <c r="E1027">
        <v>71.150000000000006</v>
      </c>
      <c r="F1027">
        <v>11.6</v>
      </c>
      <c r="G1027">
        <v>42.25</v>
      </c>
      <c r="H1027">
        <v>17.43</v>
      </c>
      <c r="I1027">
        <v>21.35</v>
      </c>
      <c r="J1027">
        <v>3.48</v>
      </c>
    </row>
    <row r="1028" spans="1:10" x14ac:dyDescent="0.2">
      <c r="A1028" t="s">
        <v>73</v>
      </c>
      <c r="B1028" t="s">
        <v>8</v>
      </c>
      <c r="C1028" t="s">
        <v>10</v>
      </c>
      <c r="D1028">
        <v>17.43</v>
      </c>
      <c r="E1028">
        <v>75</v>
      </c>
      <c r="F1028">
        <v>9.93</v>
      </c>
      <c r="G1028">
        <v>32.450000000000003</v>
      </c>
      <c r="H1028">
        <v>6.97</v>
      </c>
      <c r="I1028">
        <v>22.5</v>
      </c>
      <c r="J1028">
        <v>2.98</v>
      </c>
    </row>
    <row r="1029" spans="1:10" x14ac:dyDescent="0.2">
      <c r="A1029" t="s">
        <v>73</v>
      </c>
      <c r="B1029" t="s">
        <v>8</v>
      </c>
      <c r="C1029" t="s">
        <v>11</v>
      </c>
      <c r="D1029">
        <v>10.130000000000001</v>
      </c>
      <c r="E1029">
        <v>73.08</v>
      </c>
      <c r="F1029">
        <v>7.65</v>
      </c>
      <c r="G1029">
        <v>28.27</v>
      </c>
      <c r="H1029">
        <v>4.05</v>
      </c>
      <c r="I1029">
        <v>21.92</v>
      </c>
      <c r="J1029">
        <v>2.2999999999999998</v>
      </c>
    </row>
    <row r="1030" spans="1:10" x14ac:dyDescent="0.2">
      <c r="A1030" t="s">
        <v>73</v>
      </c>
      <c r="B1030" t="s">
        <v>8</v>
      </c>
      <c r="C1030" t="s">
        <v>12</v>
      </c>
      <c r="D1030">
        <v>25.12</v>
      </c>
      <c r="E1030">
        <v>96.15</v>
      </c>
      <c r="F1030">
        <v>41.52</v>
      </c>
      <c r="G1030">
        <v>51.35</v>
      </c>
      <c r="H1030">
        <v>10.050000000000001</v>
      </c>
      <c r="I1030">
        <v>28.85</v>
      </c>
      <c r="J1030">
        <v>12.45</v>
      </c>
    </row>
    <row r="1031" spans="1:10" x14ac:dyDescent="0.2">
      <c r="A1031" t="s">
        <v>73</v>
      </c>
      <c r="B1031" t="s">
        <v>8</v>
      </c>
      <c r="C1031" t="s">
        <v>13</v>
      </c>
      <c r="D1031">
        <v>21.16</v>
      </c>
      <c r="E1031">
        <v>71.150000000000006</v>
      </c>
      <c r="F1031">
        <v>17.18</v>
      </c>
      <c r="G1031">
        <v>34.96</v>
      </c>
      <c r="H1031">
        <v>8.4600000000000009</v>
      </c>
      <c r="I1031">
        <v>21.35</v>
      </c>
      <c r="J1031">
        <v>5.15</v>
      </c>
    </row>
    <row r="1032" spans="1:10" x14ac:dyDescent="0.2">
      <c r="A1032" t="s">
        <v>73</v>
      </c>
      <c r="B1032" t="s">
        <v>8</v>
      </c>
      <c r="C1032" t="s">
        <v>14</v>
      </c>
      <c r="D1032">
        <v>19.23</v>
      </c>
      <c r="E1032">
        <v>63.46</v>
      </c>
      <c r="F1032">
        <v>14.39</v>
      </c>
      <c r="G1032">
        <v>31.05</v>
      </c>
      <c r="H1032">
        <v>7.69</v>
      </c>
      <c r="I1032">
        <v>19.04</v>
      </c>
      <c r="J1032">
        <v>4.32</v>
      </c>
    </row>
    <row r="1033" spans="1:10" x14ac:dyDescent="0.2">
      <c r="A1033" t="s">
        <v>73</v>
      </c>
      <c r="B1033" t="s">
        <v>15</v>
      </c>
      <c r="C1033" t="s">
        <v>9</v>
      </c>
      <c r="D1033">
        <v>56.36</v>
      </c>
      <c r="E1033">
        <v>71.150000000000006</v>
      </c>
      <c r="F1033">
        <v>13.43</v>
      </c>
      <c r="G1033">
        <v>47.92</v>
      </c>
      <c r="H1033">
        <v>22.54</v>
      </c>
      <c r="I1033">
        <v>21.35</v>
      </c>
      <c r="J1033">
        <v>4.03</v>
      </c>
    </row>
    <row r="1034" spans="1:10" x14ac:dyDescent="0.2">
      <c r="A1034" t="s">
        <v>73</v>
      </c>
      <c r="B1034" t="s">
        <v>15</v>
      </c>
      <c r="C1034" t="s">
        <v>10</v>
      </c>
      <c r="D1034">
        <v>27.48</v>
      </c>
      <c r="E1034">
        <v>75</v>
      </c>
      <c r="F1034">
        <v>15.63</v>
      </c>
      <c r="G1034">
        <v>38.18</v>
      </c>
      <c r="H1034">
        <v>10.99</v>
      </c>
      <c r="I1034">
        <v>22.5</v>
      </c>
      <c r="J1034">
        <v>4.6900000000000004</v>
      </c>
    </row>
    <row r="1035" spans="1:10" x14ac:dyDescent="0.2">
      <c r="A1035" t="s">
        <v>73</v>
      </c>
      <c r="B1035" t="s">
        <v>15</v>
      </c>
      <c r="C1035" t="s">
        <v>11</v>
      </c>
      <c r="D1035">
        <v>16.43</v>
      </c>
      <c r="E1035">
        <v>73.08</v>
      </c>
      <c r="F1035">
        <v>15.93</v>
      </c>
      <c r="G1035">
        <v>33.270000000000003</v>
      </c>
      <c r="H1035">
        <v>6.57</v>
      </c>
      <c r="I1035">
        <v>21.92</v>
      </c>
      <c r="J1035">
        <v>4.78</v>
      </c>
    </row>
    <row r="1036" spans="1:10" x14ac:dyDescent="0.2">
      <c r="A1036" t="s">
        <v>73</v>
      </c>
      <c r="B1036" t="s">
        <v>15</v>
      </c>
      <c r="C1036" t="s">
        <v>12</v>
      </c>
      <c r="D1036">
        <v>39.409999999999997</v>
      </c>
      <c r="E1036">
        <v>96.15</v>
      </c>
      <c r="F1036">
        <v>33.590000000000003</v>
      </c>
      <c r="G1036">
        <v>54.69</v>
      </c>
      <c r="H1036">
        <v>15.76</v>
      </c>
      <c r="I1036">
        <v>28.85</v>
      </c>
      <c r="J1036">
        <v>10.08</v>
      </c>
    </row>
    <row r="1037" spans="1:10" x14ac:dyDescent="0.2">
      <c r="A1037" t="s">
        <v>73</v>
      </c>
      <c r="B1037" t="s">
        <v>15</v>
      </c>
      <c r="C1037" t="s">
        <v>13</v>
      </c>
      <c r="D1037">
        <v>34.21</v>
      </c>
      <c r="E1037">
        <v>71.150000000000006</v>
      </c>
      <c r="F1037">
        <v>16.23</v>
      </c>
      <c r="G1037">
        <v>39.9</v>
      </c>
      <c r="H1037">
        <v>13.68</v>
      </c>
      <c r="I1037">
        <v>21.35</v>
      </c>
      <c r="J1037">
        <v>4.87</v>
      </c>
    </row>
    <row r="1038" spans="1:10" x14ac:dyDescent="0.2">
      <c r="A1038" t="s">
        <v>73</v>
      </c>
      <c r="B1038" t="s">
        <v>15</v>
      </c>
      <c r="C1038" t="s">
        <v>14</v>
      </c>
      <c r="D1038">
        <v>36.82</v>
      </c>
      <c r="E1038">
        <v>63.46</v>
      </c>
      <c r="F1038">
        <v>25.05</v>
      </c>
      <c r="G1038">
        <v>41.28</v>
      </c>
      <c r="H1038">
        <v>14.73</v>
      </c>
      <c r="I1038">
        <v>19.04</v>
      </c>
      <c r="J1038">
        <v>7.52</v>
      </c>
    </row>
    <row r="1039" spans="1:10" x14ac:dyDescent="0.2">
      <c r="A1039" t="s">
        <v>73</v>
      </c>
      <c r="B1039" t="s">
        <v>16</v>
      </c>
      <c r="C1039" t="s">
        <v>9</v>
      </c>
      <c r="D1039">
        <v>50.58</v>
      </c>
      <c r="E1039">
        <v>71.150000000000006</v>
      </c>
      <c r="F1039">
        <v>9.09</v>
      </c>
      <c r="G1039">
        <v>44.31</v>
      </c>
      <c r="H1039">
        <v>20.23</v>
      </c>
      <c r="I1039">
        <v>21.35</v>
      </c>
      <c r="J1039">
        <v>2.73</v>
      </c>
    </row>
    <row r="1040" spans="1:10" x14ac:dyDescent="0.2">
      <c r="A1040" t="s">
        <v>73</v>
      </c>
      <c r="B1040" t="s">
        <v>16</v>
      </c>
      <c r="C1040" t="s">
        <v>10</v>
      </c>
      <c r="D1040">
        <v>20.45</v>
      </c>
      <c r="E1040">
        <v>75</v>
      </c>
      <c r="F1040">
        <v>14.46</v>
      </c>
      <c r="G1040">
        <v>35.020000000000003</v>
      </c>
      <c r="H1040">
        <v>8.18</v>
      </c>
      <c r="I1040">
        <v>22.5</v>
      </c>
      <c r="J1040">
        <v>4.34</v>
      </c>
    </row>
    <row r="1041" spans="1:10" x14ac:dyDescent="0.2">
      <c r="A1041" t="s">
        <v>73</v>
      </c>
      <c r="B1041" t="s">
        <v>16</v>
      </c>
      <c r="C1041" t="s">
        <v>11</v>
      </c>
      <c r="D1041">
        <v>11.95</v>
      </c>
      <c r="E1041">
        <v>73.08</v>
      </c>
      <c r="F1041">
        <v>8.7899999999999991</v>
      </c>
      <c r="G1041">
        <v>29.34</v>
      </c>
      <c r="H1041">
        <v>4.78</v>
      </c>
      <c r="I1041">
        <v>21.92</v>
      </c>
      <c r="J1041">
        <v>2.64</v>
      </c>
    </row>
    <row r="1042" spans="1:10" x14ac:dyDescent="0.2">
      <c r="A1042" t="s">
        <v>73</v>
      </c>
      <c r="B1042" t="s">
        <v>16</v>
      </c>
      <c r="C1042" t="s">
        <v>12</v>
      </c>
      <c r="D1042">
        <v>29.7</v>
      </c>
      <c r="E1042">
        <v>96.15</v>
      </c>
      <c r="F1042">
        <v>30.83</v>
      </c>
      <c r="G1042">
        <v>49.98</v>
      </c>
      <c r="H1042">
        <v>11.88</v>
      </c>
      <c r="I1042">
        <v>28.85</v>
      </c>
      <c r="J1042">
        <v>9.25</v>
      </c>
    </row>
    <row r="1043" spans="1:10" x14ac:dyDescent="0.2">
      <c r="A1043" t="s">
        <v>73</v>
      </c>
      <c r="B1043" t="s">
        <v>16</v>
      </c>
      <c r="C1043" t="s">
        <v>13</v>
      </c>
      <c r="D1043">
        <v>23.1</v>
      </c>
      <c r="E1043">
        <v>71.150000000000006</v>
      </c>
      <c r="F1043">
        <v>9.27</v>
      </c>
      <c r="G1043">
        <v>33.369999999999997</v>
      </c>
      <c r="H1043">
        <v>9.24</v>
      </c>
      <c r="I1043">
        <v>21.35</v>
      </c>
      <c r="J1043">
        <v>2.78</v>
      </c>
    </row>
    <row r="1044" spans="1:10" x14ac:dyDescent="0.2">
      <c r="A1044" t="s">
        <v>73</v>
      </c>
      <c r="B1044" t="s">
        <v>16</v>
      </c>
      <c r="C1044" t="s">
        <v>14</v>
      </c>
      <c r="D1044">
        <v>25.67</v>
      </c>
      <c r="E1044">
        <v>63.46</v>
      </c>
      <c r="F1044">
        <v>15.43</v>
      </c>
      <c r="G1044">
        <v>33.94</v>
      </c>
      <c r="H1044">
        <v>10.27</v>
      </c>
      <c r="I1044">
        <v>19.04</v>
      </c>
      <c r="J1044">
        <v>4.63</v>
      </c>
    </row>
    <row r="1045" spans="1:10" x14ac:dyDescent="0.2">
      <c r="A1045" t="s">
        <v>74</v>
      </c>
      <c r="B1045" t="s">
        <v>8</v>
      </c>
      <c r="C1045" t="s">
        <v>9</v>
      </c>
      <c r="D1045">
        <v>42.7</v>
      </c>
      <c r="E1045">
        <v>75</v>
      </c>
      <c r="F1045">
        <v>14.92</v>
      </c>
      <c r="G1045">
        <v>44.05</v>
      </c>
      <c r="H1045">
        <v>17.079999999999998</v>
      </c>
      <c r="I1045">
        <v>22.5</v>
      </c>
      <c r="J1045">
        <v>4.4800000000000004</v>
      </c>
    </row>
    <row r="1046" spans="1:10" x14ac:dyDescent="0.2">
      <c r="A1046" t="s">
        <v>74</v>
      </c>
      <c r="B1046" t="s">
        <v>8</v>
      </c>
      <c r="C1046" t="s">
        <v>10</v>
      </c>
      <c r="D1046">
        <v>14.91</v>
      </c>
      <c r="E1046">
        <v>67.31</v>
      </c>
      <c r="F1046">
        <v>10.93</v>
      </c>
      <c r="G1046">
        <v>29.44</v>
      </c>
      <c r="H1046">
        <v>5.96</v>
      </c>
      <c r="I1046">
        <v>20.190000000000001</v>
      </c>
      <c r="J1046">
        <v>3.28</v>
      </c>
    </row>
    <row r="1047" spans="1:10" x14ac:dyDescent="0.2">
      <c r="A1047" t="s">
        <v>74</v>
      </c>
      <c r="B1047" t="s">
        <v>8</v>
      </c>
      <c r="C1047" t="s">
        <v>11</v>
      </c>
      <c r="D1047">
        <v>6.99</v>
      </c>
      <c r="E1047">
        <v>76.92</v>
      </c>
      <c r="F1047">
        <v>15.06</v>
      </c>
      <c r="G1047">
        <v>30.39</v>
      </c>
      <c r="H1047">
        <v>2.8</v>
      </c>
      <c r="I1047">
        <v>23.08</v>
      </c>
      <c r="J1047">
        <v>4.5199999999999996</v>
      </c>
    </row>
    <row r="1048" spans="1:10" x14ac:dyDescent="0.2">
      <c r="A1048" t="s">
        <v>74</v>
      </c>
      <c r="B1048" t="s">
        <v>8</v>
      </c>
      <c r="C1048" t="s">
        <v>12</v>
      </c>
      <c r="D1048">
        <v>23.07</v>
      </c>
      <c r="E1048">
        <v>90.38</v>
      </c>
      <c r="F1048">
        <v>31.56</v>
      </c>
      <c r="G1048">
        <v>45.81</v>
      </c>
      <c r="H1048">
        <v>9.23</v>
      </c>
      <c r="I1048">
        <v>27.12</v>
      </c>
      <c r="J1048">
        <v>9.4700000000000006</v>
      </c>
    </row>
    <row r="1049" spans="1:10" x14ac:dyDescent="0.2">
      <c r="A1049" t="s">
        <v>74</v>
      </c>
      <c r="B1049" t="s">
        <v>8</v>
      </c>
      <c r="C1049" t="s">
        <v>13</v>
      </c>
      <c r="D1049">
        <v>16.75</v>
      </c>
      <c r="E1049">
        <v>69.23</v>
      </c>
      <c r="F1049">
        <v>11.81</v>
      </c>
      <c r="G1049">
        <v>31.01</v>
      </c>
      <c r="H1049">
        <v>6.7</v>
      </c>
      <c r="I1049">
        <v>20.77</v>
      </c>
      <c r="J1049">
        <v>3.54</v>
      </c>
    </row>
    <row r="1050" spans="1:10" x14ac:dyDescent="0.2">
      <c r="A1050" t="s">
        <v>74</v>
      </c>
      <c r="B1050" t="s">
        <v>8</v>
      </c>
      <c r="C1050" t="s">
        <v>14</v>
      </c>
      <c r="D1050">
        <v>21.01</v>
      </c>
      <c r="E1050">
        <v>65.38</v>
      </c>
      <c r="F1050">
        <v>16.559999999999999</v>
      </c>
      <c r="G1050">
        <v>32.99</v>
      </c>
      <c r="H1050">
        <v>8.41</v>
      </c>
      <c r="I1050">
        <v>19.62</v>
      </c>
      <c r="J1050">
        <v>4.97</v>
      </c>
    </row>
    <row r="1051" spans="1:10" x14ac:dyDescent="0.2">
      <c r="A1051" t="s">
        <v>74</v>
      </c>
      <c r="B1051" t="s">
        <v>15</v>
      </c>
      <c r="C1051" t="s">
        <v>9</v>
      </c>
      <c r="D1051">
        <v>58.64</v>
      </c>
      <c r="E1051">
        <v>75</v>
      </c>
      <c r="F1051">
        <v>15.41</v>
      </c>
      <c r="G1051">
        <v>50.58</v>
      </c>
      <c r="H1051">
        <v>23.45</v>
      </c>
      <c r="I1051">
        <v>22.5</v>
      </c>
      <c r="J1051">
        <v>4.62</v>
      </c>
    </row>
    <row r="1052" spans="1:10" x14ac:dyDescent="0.2">
      <c r="A1052" t="s">
        <v>74</v>
      </c>
      <c r="B1052" t="s">
        <v>15</v>
      </c>
      <c r="C1052" t="s">
        <v>10</v>
      </c>
      <c r="D1052">
        <v>23.92</v>
      </c>
      <c r="E1052">
        <v>67.31</v>
      </c>
      <c r="F1052">
        <v>21.47</v>
      </c>
      <c r="G1052">
        <v>36.200000000000003</v>
      </c>
      <c r="H1052">
        <v>9.57</v>
      </c>
      <c r="I1052">
        <v>20.190000000000001</v>
      </c>
      <c r="J1052">
        <v>6.44</v>
      </c>
    </row>
    <row r="1053" spans="1:10" x14ac:dyDescent="0.2">
      <c r="A1053" t="s">
        <v>74</v>
      </c>
      <c r="B1053" t="s">
        <v>15</v>
      </c>
      <c r="C1053" t="s">
        <v>11</v>
      </c>
      <c r="D1053">
        <v>12.09</v>
      </c>
      <c r="E1053">
        <v>76.92</v>
      </c>
      <c r="F1053">
        <v>19.440000000000001</v>
      </c>
      <c r="G1053">
        <v>33.75</v>
      </c>
      <c r="H1053">
        <v>4.84</v>
      </c>
      <c r="I1053">
        <v>23.08</v>
      </c>
      <c r="J1053">
        <v>5.83</v>
      </c>
    </row>
    <row r="1054" spans="1:10" x14ac:dyDescent="0.2">
      <c r="A1054" t="s">
        <v>74</v>
      </c>
      <c r="B1054" t="s">
        <v>15</v>
      </c>
      <c r="C1054" t="s">
        <v>12</v>
      </c>
      <c r="D1054">
        <v>35.450000000000003</v>
      </c>
      <c r="E1054">
        <v>90.38</v>
      </c>
      <c r="F1054">
        <v>39</v>
      </c>
      <c r="G1054">
        <v>52.99</v>
      </c>
      <c r="H1054">
        <v>14.18</v>
      </c>
      <c r="I1054">
        <v>27.12</v>
      </c>
      <c r="J1054">
        <v>11.7</v>
      </c>
    </row>
    <row r="1055" spans="1:10" x14ac:dyDescent="0.2">
      <c r="A1055" t="s">
        <v>74</v>
      </c>
      <c r="B1055" t="s">
        <v>15</v>
      </c>
      <c r="C1055" t="s">
        <v>13</v>
      </c>
      <c r="D1055">
        <v>22.55</v>
      </c>
      <c r="E1055">
        <v>69.23</v>
      </c>
      <c r="F1055">
        <v>12.6</v>
      </c>
      <c r="G1055">
        <v>33.57</v>
      </c>
      <c r="H1055">
        <v>9.02</v>
      </c>
      <c r="I1055">
        <v>20.77</v>
      </c>
      <c r="J1055">
        <v>3.78</v>
      </c>
    </row>
    <row r="1056" spans="1:10" x14ac:dyDescent="0.2">
      <c r="A1056" t="s">
        <v>74</v>
      </c>
      <c r="B1056" t="s">
        <v>15</v>
      </c>
      <c r="C1056" t="s">
        <v>14</v>
      </c>
      <c r="D1056">
        <v>50.44</v>
      </c>
      <c r="E1056">
        <v>65.38</v>
      </c>
      <c r="F1056">
        <v>52.99</v>
      </c>
      <c r="G1056">
        <v>55.69</v>
      </c>
      <c r="H1056">
        <v>20.18</v>
      </c>
      <c r="I1056">
        <v>19.62</v>
      </c>
      <c r="J1056">
        <v>15.9</v>
      </c>
    </row>
    <row r="1057" spans="1:10" x14ac:dyDescent="0.2">
      <c r="A1057" t="s">
        <v>74</v>
      </c>
      <c r="B1057" t="s">
        <v>16</v>
      </c>
      <c r="C1057" t="s">
        <v>9</v>
      </c>
      <c r="D1057">
        <v>56.9</v>
      </c>
      <c r="E1057">
        <v>75</v>
      </c>
      <c r="F1057">
        <v>14.98</v>
      </c>
      <c r="G1057">
        <v>49.76</v>
      </c>
      <c r="H1057">
        <v>22.76</v>
      </c>
      <c r="I1057">
        <v>22.5</v>
      </c>
      <c r="J1057">
        <v>4.49</v>
      </c>
    </row>
    <row r="1058" spans="1:10" x14ac:dyDescent="0.2">
      <c r="A1058" t="s">
        <v>74</v>
      </c>
      <c r="B1058" t="s">
        <v>16</v>
      </c>
      <c r="C1058" t="s">
        <v>10</v>
      </c>
      <c r="D1058">
        <v>17.3</v>
      </c>
      <c r="E1058">
        <v>67.31</v>
      </c>
      <c r="F1058">
        <v>18.64</v>
      </c>
      <c r="G1058">
        <v>32.71</v>
      </c>
      <c r="H1058">
        <v>6.92</v>
      </c>
      <c r="I1058">
        <v>20.190000000000001</v>
      </c>
      <c r="J1058">
        <v>5.59</v>
      </c>
    </row>
    <row r="1059" spans="1:10" x14ac:dyDescent="0.2">
      <c r="A1059" t="s">
        <v>74</v>
      </c>
      <c r="B1059" t="s">
        <v>16</v>
      </c>
      <c r="C1059" t="s">
        <v>11</v>
      </c>
      <c r="D1059">
        <v>8.9499999999999993</v>
      </c>
      <c r="E1059">
        <v>76.92</v>
      </c>
      <c r="F1059">
        <v>16.62</v>
      </c>
      <c r="G1059">
        <v>31.64</v>
      </c>
      <c r="H1059">
        <v>3.58</v>
      </c>
      <c r="I1059">
        <v>23.08</v>
      </c>
      <c r="J1059">
        <v>4.99</v>
      </c>
    </row>
    <row r="1060" spans="1:10" x14ac:dyDescent="0.2">
      <c r="A1060" t="s">
        <v>74</v>
      </c>
      <c r="B1060" t="s">
        <v>16</v>
      </c>
      <c r="C1060" t="s">
        <v>12</v>
      </c>
      <c r="D1060">
        <v>28.02</v>
      </c>
      <c r="E1060">
        <v>90.38</v>
      </c>
      <c r="F1060">
        <v>41.99</v>
      </c>
      <c r="G1060">
        <v>50.92</v>
      </c>
      <c r="H1060">
        <v>11.21</v>
      </c>
      <c r="I1060">
        <v>27.12</v>
      </c>
      <c r="J1060">
        <v>12.6</v>
      </c>
    </row>
    <row r="1061" spans="1:10" x14ac:dyDescent="0.2">
      <c r="A1061" t="s">
        <v>74</v>
      </c>
      <c r="B1061" t="s">
        <v>16</v>
      </c>
      <c r="C1061" t="s">
        <v>13</v>
      </c>
      <c r="D1061">
        <v>14.27</v>
      </c>
      <c r="E1061">
        <v>69.23</v>
      </c>
      <c r="F1061">
        <v>6.87</v>
      </c>
      <c r="G1061">
        <v>28.54</v>
      </c>
      <c r="H1061">
        <v>5.71</v>
      </c>
      <c r="I1061">
        <v>20.77</v>
      </c>
      <c r="J1061">
        <v>2.06</v>
      </c>
    </row>
    <row r="1062" spans="1:10" x14ac:dyDescent="0.2">
      <c r="A1062" t="s">
        <v>74</v>
      </c>
      <c r="B1062" t="s">
        <v>16</v>
      </c>
      <c r="C1062" t="s">
        <v>14</v>
      </c>
      <c r="D1062">
        <v>31.61</v>
      </c>
      <c r="E1062">
        <v>65.38</v>
      </c>
      <c r="F1062">
        <v>18.64</v>
      </c>
      <c r="G1062">
        <v>37.85</v>
      </c>
      <c r="H1062">
        <v>12.64</v>
      </c>
      <c r="I1062">
        <v>19.62</v>
      </c>
      <c r="J1062">
        <v>5.59</v>
      </c>
    </row>
    <row r="1063" spans="1:10" x14ac:dyDescent="0.2">
      <c r="A1063" t="s">
        <v>75</v>
      </c>
      <c r="B1063" t="s">
        <v>8</v>
      </c>
      <c r="C1063" t="s">
        <v>9</v>
      </c>
      <c r="D1063">
        <v>34.549999999999997</v>
      </c>
      <c r="E1063">
        <v>61.54</v>
      </c>
      <c r="F1063">
        <v>7.4</v>
      </c>
      <c r="G1063">
        <v>34.5</v>
      </c>
      <c r="H1063">
        <v>13.82</v>
      </c>
      <c r="I1063">
        <v>18.46</v>
      </c>
      <c r="J1063">
        <v>2.2200000000000002</v>
      </c>
    </row>
    <row r="1064" spans="1:10" x14ac:dyDescent="0.2">
      <c r="A1064" t="s">
        <v>75</v>
      </c>
      <c r="B1064" t="s">
        <v>8</v>
      </c>
      <c r="C1064" t="s">
        <v>10</v>
      </c>
      <c r="D1064">
        <v>16.59</v>
      </c>
      <c r="E1064">
        <v>61.54</v>
      </c>
      <c r="F1064">
        <v>10.41</v>
      </c>
      <c r="G1064">
        <v>28.22</v>
      </c>
      <c r="H1064">
        <v>6.63</v>
      </c>
      <c r="I1064">
        <v>18.46</v>
      </c>
      <c r="J1064">
        <v>3.12</v>
      </c>
    </row>
    <row r="1065" spans="1:10" x14ac:dyDescent="0.2">
      <c r="A1065" t="s">
        <v>75</v>
      </c>
      <c r="B1065" t="s">
        <v>8</v>
      </c>
      <c r="C1065" t="s">
        <v>11</v>
      </c>
      <c r="D1065">
        <v>6.5</v>
      </c>
      <c r="E1065">
        <v>78.849999999999994</v>
      </c>
      <c r="F1065">
        <v>8.74</v>
      </c>
      <c r="G1065">
        <v>28.88</v>
      </c>
      <c r="H1065">
        <v>2.6</v>
      </c>
      <c r="I1065">
        <v>23.65</v>
      </c>
      <c r="J1065">
        <v>2.62</v>
      </c>
    </row>
    <row r="1066" spans="1:10" x14ac:dyDescent="0.2">
      <c r="A1066" t="s">
        <v>75</v>
      </c>
      <c r="B1066" t="s">
        <v>8</v>
      </c>
      <c r="C1066" t="s">
        <v>12</v>
      </c>
      <c r="D1066">
        <v>23.06</v>
      </c>
      <c r="E1066">
        <v>63.46</v>
      </c>
      <c r="F1066">
        <v>39.47</v>
      </c>
      <c r="G1066">
        <v>40.1</v>
      </c>
      <c r="H1066">
        <v>9.2200000000000006</v>
      </c>
      <c r="I1066">
        <v>19.04</v>
      </c>
      <c r="J1066">
        <v>11.84</v>
      </c>
    </row>
    <row r="1067" spans="1:10" x14ac:dyDescent="0.2">
      <c r="A1067" t="s">
        <v>75</v>
      </c>
      <c r="B1067" t="s">
        <v>8</v>
      </c>
      <c r="C1067" t="s">
        <v>13</v>
      </c>
      <c r="D1067">
        <v>16.29</v>
      </c>
      <c r="E1067">
        <v>67.31</v>
      </c>
      <c r="F1067">
        <v>15.45</v>
      </c>
      <c r="G1067">
        <v>31.34</v>
      </c>
      <c r="H1067">
        <v>6.52</v>
      </c>
      <c r="I1067">
        <v>20.190000000000001</v>
      </c>
      <c r="J1067">
        <v>4.63</v>
      </c>
    </row>
    <row r="1068" spans="1:10" x14ac:dyDescent="0.2">
      <c r="A1068" t="s">
        <v>75</v>
      </c>
      <c r="B1068" t="s">
        <v>8</v>
      </c>
      <c r="C1068" t="s">
        <v>14</v>
      </c>
      <c r="D1068">
        <v>22.35</v>
      </c>
      <c r="E1068">
        <v>51.92</v>
      </c>
      <c r="F1068">
        <v>16.829999999999998</v>
      </c>
      <c r="G1068">
        <v>29.57</v>
      </c>
      <c r="H1068">
        <v>8.94</v>
      </c>
      <c r="I1068">
        <v>15.58</v>
      </c>
      <c r="J1068">
        <v>5.05</v>
      </c>
    </row>
    <row r="1069" spans="1:10" x14ac:dyDescent="0.2">
      <c r="A1069" t="s">
        <v>75</v>
      </c>
      <c r="B1069" t="s">
        <v>15</v>
      </c>
      <c r="C1069" t="s">
        <v>9</v>
      </c>
      <c r="D1069">
        <v>44.92</v>
      </c>
      <c r="E1069">
        <v>61.54</v>
      </c>
      <c r="F1069">
        <v>22.14</v>
      </c>
      <c r="G1069">
        <v>43.07</v>
      </c>
      <c r="H1069">
        <v>17.97</v>
      </c>
      <c r="I1069">
        <v>18.46</v>
      </c>
      <c r="J1069">
        <v>6.64</v>
      </c>
    </row>
    <row r="1070" spans="1:10" x14ac:dyDescent="0.2">
      <c r="A1070" t="s">
        <v>75</v>
      </c>
      <c r="B1070" t="s">
        <v>15</v>
      </c>
      <c r="C1070" t="s">
        <v>10</v>
      </c>
      <c r="D1070">
        <v>24.63</v>
      </c>
      <c r="E1070">
        <v>61.54</v>
      </c>
      <c r="F1070">
        <v>11.18</v>
      </c>
      <c r="G1070">
        <v>31.67</v>
      </c>
      <c r="H1070">
        <v>9.85</v>
      </c>
      <c r="I1070">
        <v>18.46</v>
      </c>
      <c r="J1070">
        <v>3.35</v>
      </c>
    </row>
    <row r="1071" spans="1:10" x14ac:dyDescent="0.2">
      <c r="A1071" t="s">
        <v>75</v>
      </c>
      <c r="B1071" t="s">
        <v>15</v>
      </c>
      <c r="C1071" t="s">
        <v>11</v>
      </c>
      <c r="D1071">
        <v>11.79</v>
      </c>
      <c r="E1071">
        <v>78.849999999999994</v>
      </c>
      <c r="F1071">
        <v>12.53</v>
      </c>
      <c r="G1071">
        <v>32.130000000000003</v>
      </c>
      <c r="H1071">
        <v>4.72</v>
      </c>
      <c r="I1071">
        <v>23.65</v>
      </c>
      <c r="J1071">
        <v>3.76</v>
      </c>
    </row>
    <row r="1072" spans="1:10" x14ac:dyDescent="0.2">
      <c r="A1072" t="s">
        <v>75</v>
      </c>
      <c r="B1072" t="s">
        <v>15</v>
      </c>
      <c r="C1072" t="s">
        <v>12</v>
      </c>
      <c r="D1072">
        <v>37.090000000000003</v>
      </c>
      <c r="E1072">
        <v>63.46</v>
      </c>
      <c r="F1072">
        <v>27.3</v>
      </c>
      <c r="G1072">
        <v>42.07</v>
      </c>
      <c r="H1072">
        <v>14.84</v>
      </c>
      <c r="I1072">
        <v>19.04</v>
      </c>
      <c r="J1072">
        <v>8.19</v>
      </c>
    </row>
    <row r="1073" spans="1:10" x14ac:dyDescent="0.2">
      <c r="A1073" t="s">
        <v>75</v>
      </c>
      <c r="B1073" t="s">
        <v>15</v>
      </c>
      <c r="C1073" t="s">
        <v>13</v>
      </c>
      <c r="D1073">
        <v>21.3</v>
      </c>
      <c r="E1073">
        <v>67.31</v>
      </c>
      <c r="F1073">
        <v>12.38</v>
      </c>
      <c r="G1073">
        <v>32.43</v>
      </c>
      <c r="H1073">
        <v>8.52</v>
      </c>
      <c r="I1073">
        <v>20.190000000000001</v>
      </c>
      <c r="J1073">
        <v>3.71</v>
      </c>
    </row>
    <row r="1074" spans="1:10" x14ac:dyDescent="0.2">
      <c r="A1074" t="s">
        <v>75</v>
      </c>
      <c r="B1074" t="s">
        <v>15</v>
      </c>
      <c r="C1074" t="s">
        <v>14</v>
      </c>
      <c r="D1074">
        <v>48.71</v>
      </c>
      <c r="E1074">
        <v>51.92</v>
      </c>
      <c r="F1074">
        <v>35.78</v>
      </c>
      <c r="G1074">
        <v>45.79</v>
      </c>
      <c r="H1074">
        <v>19.48</v>
      </c>
      <c r="I1074">
        <v>15.58</v>
      </c>
      <c r="J1074">
        <v>10.73</v>
      </c>
    </row>
    <row r="1075" spans="1:10" x14ac:dyDescent="0.2">
      <c r="A1075" t="s">
        <v>75</v>
      </c>
      <c r="B1075" t="s">
        <v>16</v>
      </c>
      <c r="C1075" t="s">
        <v>9</v>
      </c>
      <c r="D1075">
        <v>47.7</v>
      </c>
      <c r="E1075">
        <v>61.54</v>
      </c>
      <c r="F1075">
        <v>8.7799999999999994</v>
      </c>
      <c r="G1075">
        <v>40.18</v>
      </c>
      <c r="H1075">
        <v>19.079999999999998</v>
      </c>
      <c r="I1075">
        <v>18.46</v>
      </c>
      <c r="J1075">
        <v>2.63</v>
      </c>
    </row>
    <row r="1076" spans="1:10" x14ac:dyDescent="0.2">
      <c r="A1076" t="s">
        <v>75</v>
      </c>
      <c r="B1076" t="s">
        <v>16</v>
      </c>
      <c r="C1076" t="s">
        <v>10</v>
      </c>
      <c r="D1076">
        <v>18.38</v>
      </c>
      <c r="E1076">
        <v>61.54</v>
      </c>
      <c r="F1076">
        <v>15.01</v>
      </c>
      <c r="G1076">
        <v>30.31</v>
      </c>
      <c r="H1076">
        <v>7.35</v>
      </c>
      <c r="I1076">
        <v>18.46</v>
      </c>
      <c r="J1076">
        <v>4.5</v>
      </c>
    </row>
    <row r="1077" spans="1:10" x14ac:dyDescent="0.2">
      <c r="A1077" t="s">
        <v>75</v>
      </c>
      <c r="B1077" t="s">
        <v>16</v>
      </c>
      <c r="C1077" t="s">
        <v>11</v>
      </c>
      <c r="D1077">
        <v>8.08</v>
      </c>
      <c r="E1077">
        <v>78.849999999999994</v>
      </c>
      <c r="F1077">
        <v>10.25</v>
      </c>
      <c r="G1077">
        <v>29.96</v>
      </c>
      <c r="H1077">
        <v>3.23</v>
      </c>
      <c r="I1077">
        <v>23.65</v>
      </c>
      <c r="J1077">
        <v>3.08</v>
      </c>
    </row>
    <row r="1078" spans="1:10" x14ac:dyDescent="0.2">
      <c r="A1078" t="s">
        <v>75</v>
      </c>
      <c r="B1078" t="s">
        <v>16</v>
      </c>
      <c r="C1078" t="s">
        <v>12</v>
      </c>
      <c r="D1078">
        <v>26.9</v>
      </c>
      <c r="E1078">
        <v>63.46</v>
      </c>
      <c r="F1078">
        <v>21.88</v>
      </c>
      <c r="G1078">
        <v>36.36</v>
      </c>
      <c r="H1078">
        <v>10.76</v>
      </c>
      <c r="I1078">
        <v>19.04</v>
      </c>
      <c r="J1078">
        <v>6.56</v>
      </c>
    </row>
    <row r="1079" spans="1:10" x14ac:dyDescent="0.2">
      <c r="A1079" t="s">
        <v>75</v>
      </c>
      <c r="B1079" t="s">
        <v>16</v>
      </c>
      <c r="C1079" t="s">
        <v>13</v>
      </c>
      <c r="D1079">
        <v>12.32</v>
      </c>
      <c r="E1079">
        <v>67.31</v>
      </c>
      <c r="F1079">
        <v>9.69</v>
      </c>
      <c r="G1079">
        <v>28.03</v>
      </c>
      <c r="H1079">
        <v>4.93</v>
      </c>
      <c r="I1079">
        <v>20.190000000000001</v>
      </c>
      <c r="J1079">
        <v>2.91</v>
      </c>
    </row>
    <row r="1080" spans="1:10" x14ac:dyDescent="0.2">
      <c r="A1080" t="s">
        <v>75</v>
      </c>
      <c r="B1080" t="s">
        <v>16</v>
      </c>
      <c r="C1080" t="s">
        <v>14</v>
      </c>
      <c r="D1080">
        <v>28.32</v>
      </c>
      <c r="E1080">
        <v>51.92</v>
      </c>
      <c r="F1080">
        <v>24.61</v>
      </c>
      <c r="G1080">
        <v>34.29</v>
      </c>
      <c r="H1080">
        <v>11.33</v>
      </c>
      <c r="I1080">
        <v>15.58</v>
      </c>
      <c r="J1080">
        <v>7.38</v>
      </c>
    </row>
    <row r="1081" spans="1:10" x14ac:dyDescent="0.2">
      <c r="A1081" t="s">
        <v>76</v>
      </c>
      <c r="B1081" t="s">
        <v>8</v>
      </c>
      <c r="C1081" t="s">
        <v>9</v>
      </c>
      <c r="D1081">
        <v>40.75</v>
      </c>
      <c r="E1081">
        <v>57.69</v>
      </c>
      <c r="F1081">
        <v>14.09</v>
      </c>
      <c r="G1081">
        <v>37.840000000000003</v>
      </c>
      <c r="H1081">
        <v>16.3</v>
      </c>
      <c r="I1081">
        <v>17.309999999999999</v>
      </c>
      <c r="J1081">
        <v>4.2300000000000004</v>
      </c>
    </row>
    <row r="1082" spans="1:10" x14ac:dyDescent="0.2">
      <c r="A1082" t="s">
        <v>76</v>
      </c>
      <c r="B1082" t="s">
        <v>8</v>
      </c>
      <c r="C1082" t="s">
        <v>10</v>
      </c>
      <c r="D1082">
        <v>13.26</v>
      </c>
      <c r="E1082">
        <v>59.62</v>
      </c>
      <c r="F1082">
        <v>16.079999999999998</v>
      </c>
      <c r="G1082">
        <v>28.01</v>
      </c>
      <c r="H1082">
        <v>5.3</v>
      </c>
      <c r="I1082">
        <v>17.88</v>
      </c>
      <c r="J1082">
        <v>4.82</v>
      </c>
    </row>
    <row r="1083" spans="1:10" x14ac:dyDescent="0.2">
      <c r="A1083" t="s">
        <v>76</v>
      </c>
      <c r="B1083" t="s">
        <v>8</v>
      </c>
      <c r="C1083" t="s">
        <v>11</v>
      </c>
      <c r="D1083">
        <v>5.55</v>
      </c>
      <c r="E1083">
        <v>57.69</v>
      </c>
      <c r="F1083">
        <v>7.93</v>
      </c>
      <c r="G1083">
        <v>21.91</v>
      </c>
      <c r="H1083">
        <v>2.2200000000000002</v>
      </c>
      <c r="I1083">
        <v>17.309999999999999</v>
      </c>
      <c r="J1083">
        <v>2.38</v>
      </c>
    </row>
    <row r="1084" spans="1:10" x14ac:dyDescent="0.2">
      <c r="A1084" t="s">
        <v>76</v>
      </c>
      <c r="B1084" t="s">
        <v>8</v>
      </c>
      <c r="C1084" t="s">
        <v>12</v>
      </c>
      <c r="D1084">
        <v>23.77</v>
      </c>
      <c r="E1084">
        <v>48.08</v>
      </c>
      <c r="F1084">
        <v>26.08</v>
      </c>
      <c r="G1084">
        <v>31.76</v>
      </c>
      <c r="H1084">
        <v>9.51</v>
      </c>
      <c r="I1084">
        <v>14.42</v>
      </c>
      <c r="J1084">
        <v>7.82</v>
      </c>
    </row>
    <row r="1085" spans="1:10" x14ac:dyDescent="0.2">
      <c r="A1085" t="s">
        <v>76</v>
      </c>
      <c r="B1085" t="s">
        <v>8</v>
      </c>
      <c r="C1085" t="s">
        <v>13</v>
      </c>
      <c r="D1085">
        <v>14.75</v>
      </c>
      <c r="E1085">
        <v>65.38</v>
      </c>
      <c r="F1085">
        <v>10.59</v>
      </c>
      <c r="G1085">
        <v>28.7</v>
      </c>
      <c r="H1085">
        <v>5.9</v>
      </c>
      <c r="I1085">
        <v>19.62</v>
      </c>
      <c r="J1085">
        <v>3.18</v>
      </c>
    </row>
    <row r="1086" spans="1:10" x14ac:dyDescent="0.2">
      <c r="A1086" t="s">
        <v>76</v>
      </c>
      <c r="B1086" t="s">
        <v>8</v>
      </c>
      <c r="C1086" t="s">
        <v>14</v>
      </c>
      <c r="D1086">
        <v>24.67</v>
      </c>
      <c r="E1086">
        <v>48.08</v>
      </c>
      <c r="F1086">
        <v>21.54</v>
      </c>
      <c r="G1086">
        <v>30.75</v>
      </c>
      <c r="H1086">
        <v>9.8699999999999992</v>
      </c>
      <c r="I1086">
        <v>14.42</v>
      </c>
      <c r="J1086">
        <v>6.46</v>
      </c>
    </row>
    <row r="1087" spans="1:10" x14ac:dyDescent="0.2">
      <c r="A1087" t="s">
        <v>76</v>
      </c>
      <c r="B1087" t="s">
        <v>15</v>
      </c>
      <c r="C1087" t="s">
        <v>9</v>
      </c>
      <c r="D1087">
        <v>58.62</v>
      </c>
      <c r="E1087">
        <v>57.69</v>
      </c>
      <c r="F1087">
        <v>20.67</v>
      </c>
      <c r="G1087">
        <v>46.96</v>
      </c>
      <c r="H1087">
        <v>23.45</v>
      </c>
      <c r="I1087">
        <v>17.309999999999999</v>
      </c>
      <c r="J1087">
        <v>6.2</v>
      </c>
    </row>
    <row r="1088" spans="1:10" x14ac:dyDescent="0.2">
      <c r="A1088" t="s">
        <v>76</v>
      </c>
      <c r="B1088" t="s">
        <v>15</v>
      </c>
      <c r="C1088" t="s">
        <v>10</v>
      </c>
      <c r="D1088">
        <v>19.61</v>
      </c>
      <c r="E1088">
        <v>59.62</v>
      </c>
      <c r="F1088">
        <v>21.62</v>
      </c>
      <c r="G1088">
        <v>32.21</v>
      </c>
      <c r="H1088">
        <v>7.84</v>
      </c>
      <c r="I1088">
        <v>17.88</v>
      </c>
      <c r="J1088">
        <v>6.48</v>
      </c>
    </row>
    <row r="1089" spans="1:10" x14ac:dyDescent="0.2">
      <c r="A1089" t="s">
        <v>76</v>
      </c>
      <c r="B1089" t="s">
        <v>15</v>
      </c>
      <c r="C1089" t="s">
        <v>11</v>
      </c>
      <c r="D1089">
        <v>10.14</v>
      </c>
      <c r="E1089">
        <v>57.69</v>
      </c>
      <c r="F1089">
        <v>19.82</v>
      </c>
      <c r="G1089">
        <v>27.31</v>
      </c>
      <c r="H1089">
        <v>4.0599999999999996</v>
      </c>
      <c r="I1089">
        <v>17.309999999999999</v>
      </c>
      <c r="J1089">
        <v>5.95</v>
      </c>
    </row>
    <row r="1090" spans="1:10" x14ac:dyDescent="0.2">
      <c r="A1090" t="s">
        <v>76</v>
      </c>
      <c r="B1090" t="s">
        <v>15</v>
      </c>
      <c r="C1090" t="s">
        <v>12</v>
      </c>
      <c r="D1090">
        <v>34.729999999999997</v>
      </c>
      <c r="E1090">
        <v>48.08</v>
      </c>
      <c r="F1090">
        <v>35.71</v>
      </c>
      <c r="G1090">
        <v>39.03</v>
      </c>
      <c r="H1090">
        <v>13.89</v>
      </c>
      <c r="I1090">
        <v>14.42</v>
      </c>
      <c r="J1090">
        <v>10.71</v>
      </c>
    </row>
    <row r="1091" spans="1:10" x14ac:dyDescent="0.2">
      <c r="A1091" t="s">
        <v>76</v>
      </c>
      <c r="B1091" t="s">
        <v>15</v>
      </c>
      <c r="C1091" t="s">
        <v>13</v>
      </c>
      <c r="D1091">
        <v>23.03</v>
      </c>
      <c r="E1091">
        <v>65.38</v>
      </c>
      <c r="F1091">
        <v>20.74</v>
      </c>
      <c r="G1091">
        <v>35.049999999999997</v>
      </c>
      <c r="H1091">
        <v>9.2100000000000009</v>
      </c>
      <c r="I1091">
        <v>19.62</v>
      </c>
      <c r="J1091">
        <v>6.22</v>
      </c>
    </row>
    <row r="1092" spans="1:10" x14ac:dyDescent="0.2">
      <c r="A1092" t="s">
        <v>76</v>
      </c>
      <c r="B1092" t="s">
        <v>15</v>
      </c>
      <c r="C1092" t="s">
        <v>14</v>
      </c>
      <c r="D1092">
        <v>52</v>
      </c>
      <c r="E1092">
        <v>48.08</v>
      </c>
      <c r="F1092">
        <v>49.32</v>
      </c>
      <c r="G1092">
        <v>50.02</v>
      </c>
      <c r="H1092">
        <v>20.8</v>
      </c>
      <c r="I1092">
        <v>14.42</v>
      </c>
      <c r="J1092">
        <v>14.8</v>
      </c>
    </row>
    <row r="1093" spans="1:10" x14ac:dyDescent="0.2">
      <c r="A1093" t="s">
        <v>76</v>
      </c>
      <c r="B1093" t="s">
        <v>16</v>
      </c>
      <c r="C1093" t="s">
        <v>9</v>
      </c>
      <c r="D1093">
        <v>51.19</v>
      </c>
      <c r="E1093">
        <v>57.69</v>
      </c>
      <c r="F1093">
        <v>13.51</v>
      </c>
      <c r="G1093">
        <v>41.84</v>
      </c>
      <c r="H1093">
        <v>20.48</v>
      </c>
      <c r="I1093">
        <v>17.309999999999999</v>
      </c>
      <c r="J1093">
        <v>4.05</v>
      </c>
    </row>
    <row r="1094" spans="1:10" x14ac:dyDescent="0.2">
      <c r="A1094" t="s">
        <v>76</v>
      </c>
      <c r="B1094" t="s">
        <v>16</v>
      </c>
      <c r="C1094" t="s">
        <v>10</v>
      </c>
      <c r="D1094">
        <v>16.09</v>
      </c>
      <c r="E1094">
        <v>59.62</v>
      </c>
      <c r="F1094">
        <v>12.8</v>
      </c>
      <c r="G1094">
        <v>28.16</v>
      </c>
      <c r="H1094">
        <v>6.44</v>
      </c>
      <c r="I1094">
        <v>17.88</v>
      </c>
      <c r="J1094">
        <v>3.84</v>
      </c>
    </row>
    <row r="1095" spans="1:10" x14ac:dyDescent="0.2">
      <c r="A1095" t="s">
        <v>76</v>
      </c>
      <c r="B1095" t="s">
        <v>16</v>
      </c>
      <c r="C1095" t="s">
        <v>11</v>
      </c>
      <c r="D1095">
        <v>6.55</v>
      </c>
      <c r="E1095">
        <v>57.69</v>
      </c>
      <c r="F1095">
        <v>19.260000000000002</v>
      </c>
      <c r="G1095">
        <v>25.71</v>
      </c>
      <c r="H1095">
        <v>2.62</v>
      </c>
      <c r="I1095">
        <v>17.309999999999999</v>
      </c>
      <c r="J1095">
        <v>5.78</v>
      </c>
    </row>
    <row r="1096" spans="1:10" x14ac:dyDescent="0.2">
      <c r="A1096" t="s">
        <v>76</v>
      </c>
      <c r="B1096" t="s">
        <v>16</v>
      </c>
      <c r="C1096" t="s">
        <v>12</v>
      </c>
      <c r="D1096">
        <v>28.38</v>
      </c>
      <c r="E1096">
        <v>48.08</v>
      </c>
      <c r="F1096">
        <v>33.4</v>
      </c>
      <c r="G1096">
        <v>35.79</v>
      </c>
      <c r="H1096">
        <v>11.35</v>
      </c>
      <c r="I1096">
        <v>14.42</v>
      </c>
      <c r="J1096">
        <v>10.02</v>
      </c>
    </row>
    <row r="1097" spans="1:10" x14ac:dyDescent="0.2">
      <c r="A1097" t="s">
        <v>76</v>
      </c>
      <c r="B1097" t="s">
        <v>16</v>
      </c>
      <c r="C1097" t="s">
        <v>13</v>
      </c>
      <c r="D1097">
        <v>12.58</v>
      </c>
      <c r="E1097">
        <v>65.38</v>
      </c>
      <c r="F1097">
        <v>9.9</v>
      </c>
      <c r="G1097">
        <v>27.61</v>
      </c>
      <c r="H1097">
        <v>5.03</v>
      </c>
      <c r="I1097">
        <v>19.62</v>
      </c>
      <c r="J1097">
        <v>2.97</v>
      </c>
    </row>
    <row r="1098" spans="1:10" x14ac:dyDescent="0.2">
      <c r="A1098" t="s">
        <v>76</v>
      </c>
      <c r="B1098" t="s">
        <v>16</v>
      </c>
      <c r="C1098" t="s">
        <v>14</v>
      </c>
      <c r="D1098">
        <v>28.22</v>
      </c>
      <c r="E1098">
        <v>48.08</v>
      </c>
      <c r="F1098">
        <v>21.42</v>
      </c>
      <c r="G1098">
        <v>32.14</v>
      </c>
      <c r="H1098">
        <v>11.29</v>
      </c>
      <c r="I1098">
        <v>14.42</v>
      </c>
      <c r="J1098">
        <v>6.43</v>
      </c>
    </row>
    <row r="1099" spans="1:10" x14ac:dyDescent="0.2">
      <c r="A1099" t="s">
        <v>77</v>
      </c>
      <c r="B1099" t="s">
        <v>8</v>
      </c>
      <c r="C1099" t="s">
        <v>9</v>
      </c>
      <c r="D1099">
        <v>39.92</v>
      </c>
      <c r="E1099">
        <v>57.69</v>
      </c>
      <c r="F1099">
        <v>10.75</v>
      </c>
      <c r="G1099">
        <v>36.5</v>
      </c>
      <c r="H1099">
        <v>15.97</v>
      </c>
      <c r="I1099">
        <v>17.309999999999999</v>
      </c>
      <c r="J1099">
        <v>3.23</v>
      </c>
    </row>
    <row r="1100" spans="1:10" x14ac:dyDescent="0.2">
      <c r="A1100" t="s">
        <v>77</v>
      </c>
      <c r="B1100" t="s">
        <v>8</v>
      </c>
      <c r="C1100" t="s">
        <v>10</v>
      </c>
      <c r="D1100">
        <v>9.6</v>
      </c>
      <c r="E1100">
        <v>61.54</v>
      </c>
      <c r="F1100">
        <v>9.52</v>
      </c>
      <c r="G1100">
        <v>25.16</v>
      </c>
      <c r="H1100">
        <v>3.84</v>
      </c>
      <c r="I1100">
        <v>18.46</v>
      </c>
      <c r="J1100">
        <v>2.86</v>
      </c>
    </row>
    <row r="1101" spans="1:10" x14ac:dyDescent="0.2">
      <c r="A1101" t="s">
        <v>77</v>
      </c>
      <c r="B1101" t="s">
        <v>8</v>
      </c>
      <c r="C1101" t="s">
        <v>11</v>
      </c>
      <c r="D1101">
        <v>6.54</v>
      </c>
      <c r="E1101">
        <v>67.31</v>
      </c>
      <c r="F1101">
        <v>6.77</v>
      </c>
      <c r="G1101">
        <v>24.84</v>
      </c>
      <c r="H1101">
        <v>2.62</v>
      </c>
      <c r="I1101">
        <v>20.190000000000001</v>
      </c>
      <c r="J1101">
        <v>2.0299999999999998</v>
      </c>
    </row>
    <row r="1102" spans="1:10" x14ac:dyDescent="0.2">
      <c r="A1102" t="s">
        <v>77</v>
      </c>
      <c r="B1102" t="s">
        <v>8</v>
      </c>
      <c r="C1102" t="s">
        <v>12</v>
      </c>
      <c r="D1102">
        <v>21.38</v>
      </c>
      <c r="E1102">
        <v>67.31</v>
      </c>
      <c r="F1102">
        <v>24.68</v>
      </c>
      <c r="G1102">
        <v>36.15</v>
      </c>
      <c r="H1102">
        <v>8.5500000000000007</v>
      </c>
      <c r="I1102">
        <v>20.190000000000001</v>
      </c>
      <c r="J1102">
        <v>7.4</v>
      </c>
    </row>
    <row r="1103" spans="1:10" x14ac:dyDescent="0.2">
      <c r="A1103" t="s">
        <v>77</v>
      </c>
      <c r="B1103" t="s">
        <v>8</v>
      </c>
      <c r="C1103" t="s">
        <v>13</v>
      </c>
      <c r="D1103">
        <v>18.12</v>
      </c>
      <c r="E1103">
        <v>61.54</v>
      </c>
      <c r="F1103">
        <v>9.2799999999999994</v>
      </c>
      <c r="G1103">
        <v>28.49</v>
      </c>
      <c r="H1103">
        <v>7.25</v>
      </c>
      <c r="I1103">
        <v>18.46</v>
      </c>
      <c r="J1103">
        <v>2.78</v>
      </c>
    </row>
    <row r="1104" spans="1:10" x14ac:dyDescent="0.2">
      <c r="A1104" t="s">
        <v>77</v>
      </c>
      <c r="B1104" t="s">
        <v>8</v>
      </c>
      <c r="C1104" t="s">
        <v>14</v>
      </c>
      <c r="D1104">
        <v>21.48</v>
      </c>
      <c r="E1104">
        <v>50</v>
      </c>
      <c r="F1104">
        <v>10.47</v>
      </c>
      <c r="G1104">
        <v>26.73</v>
      </c>
      <c r="H1104">
        <v>8.59</v>
      </c>
      <c r="I1104">
        <v>15</v>
      </c>
      <c r="J1104">
        <v>3.14</v>
      </c>
    </row>
    <row r="1105" spans="1:10" x14ac:dyDescent="0.2">
      <c r="A1105" t="s">
        <v>77</v>
      </c>
      <c r="B1105" t="s">
        <v>15</v>
      </c>
      <c r="C1105" t="s">
        <v>9</v>
      </c>
      <c r="D1105">
        <v>58.57</v>
      </c>
      <c r="E1105">
        <v>57.69</v>
      </c>
      <c r="F1105">
        <v>20.22</v>
      </c>
      <c r="G1105">
        <v>46.8</v>
      </c>
      <c r="H1105">
        <v>23.43</v>
      </c>
      <c r="I1105">
        <v>17.309999999999999</v>
      </c>
      <c r="J1105">
        <v>6.07</v>
      </c>
    </row>
    <row r="1106" spans="1:10" x14ac:dyDescent="0.2">
      <c r="A1106" t="s">
        <v>77</v>
      </c>
      <c r="B1106" t="s">
        <v>15</v>
      </c>
      <c r="C1106" t="s">
        <v>10</v>
      </c>
      <c r="D1106">
        <v>16.079999999999998</v>
      </c>
      <c r="E1106">
        <v>61.54</v>
      </c>
      <c r="F1106">
        <v>11.01</v>
      </c>
      <c r="G1106">
        <v>28.2</v>
      </c>
      <c r="H1106">
        <v>6.43</v>
      </c>
      <c r="I1106">
        <v>18.46</v>
      </c>
      <c r="J1106">
        <v>3.3</v>
      </c>
    </row>
    <row r="1107" spans="1:10" x14ac:dyDescent="0.2">
      <c r="A1107" t="s">
        <v>77</v>
      </c>
      <c r="B1107" t="s">
        <v>15</v>
      </c>
      <c r="C1107" t="s">
        <v>11</v>
      </c>
      <c r="D1107">
        <v>12.04</v>
      </c>
      <c r="E1107">
        <v>67.31</v>
      </c>
      <c r="F1107">
        <v>8.7899999999999991</v>
      </c>
      <c r="G1107">
        <v>27.65</v>
      </c>
      <c r="H1107">
        <v>4.82</v>
      </c>
      <c r="I1107">
        <v>20.190000000000001</v>
      </c>
      <c r="J1107">
        <v>2.64</v>
      </c>
    </row>
    <row r="1108" spans="1:10" x14ac:dyDescent="0.2">
      <c r="A1108" t="s">
        <v>77</v>
      </c>
      <c r="B1108" t="s">
        <v>15</v>
      </c>
      <c r="C1108" t="s">
        <v>12</v>
      </c>
      <c r="D1108">
        <v>31.45</v>
      </c>
      <c r="E1108">
        <v>67.31</v>
      </c>
      <c r="F1108">
        <v>43.19</v>
      </c>
      <c r="G1108">
        <v>45.73</v>
      </c>
      <c r="H1108">
        <v>12.58</v>
      </c>
      <c r="I1108">
        <v>20.190000000000001</v>
      </c>
      <c r="J1108">
        <v>12.96</v>
      </c>
    </row>
    <row r="1109" spans="1:10" x14ac:dyDescent="0.2">
      <c r="A1109" t="s">
        <v>77</v>
      </c>
      <c r="B1109" t="s">
        <v>15</v>
      </c>
      <c r="C1109" t="s">
        <v>13</v>
      </c>
      <c r="D1109">
        <v>28.15</v>
      </c>
      <c r="E1109">
        <v>61.54</v>
      </c>
      <c r="F1109">
        <v>13.05</v>
      </c>
      <c r="G1109">
        <v>33.64</v>
      </c>
      <c r="H1109">
        <v>11.26</v>
      </c>
      <c r="I1109">
        <v>18.46</v>
      </c>
      <c r="J1109">
        <v>3.91</v>
      </c>
    </row>
    <row r="1110" spans="1:10" x14ac:dyDescent="0.2">
      <c r="A1110" t="s">
        <v>77</v>
      </c>
      <c r="B1110" t="s">
        <v>15</v>
      </c>
      <c r="C1110" t="s">
        <v>14</v>
      </c>
      <c r="D1110">
        <v>41.14</v>
      </c>
      <c r="E1110">
        <v>50</v>
      </c>
      <c r="F1110">
        <v>19.559999999999999</v>
      </c>
      <c r="G1110">
        <v>37.32</v>
      </c>
      <c r="H1110">
        <v>16.45</v>
      </c>
      <c r="I1110">
        <v>15</v>
      </c>
      <c r="J1110">
        <v>5.87</v>
      </c>
    </row>
    <row r="1111" spans="1:10" x14ac:dyDescent="0.2">
      <c r="A1111" t="s">
        <v>77</v>
      </c>
      <c r="B1111" t="s">
        <v>16</v>
      </c>
      <c r="C1111" t="s">
        <v>9</v>
      </c>
      <c r="D1111">
        <v>54.53</v>
      </c>
      <c r="E1111">
        <v>57.69</v>
      </c>
      <c r="F1111">
        <v>9.32</v>
      </c>
      <c r="G1111">
        <v>41.91</v>
      </c>
      <c r="H1111">
        <v>21.81</v>
      </c>
      <c r="I1111">
        <v>17.309999999999999</v>
      </c>
      <c r="J1111">
        <v>2.8</v>
      </c>
    </row>
    <row r="1112" spans="1:10" x14ac:dyDescent="0.2">
      <c r="A1112" t="s">
        <v>77</v>
      </c>
      <c r="B1112" t="s">
        <v>16</v>
      </c>
      <c r="C1112" t="s">
        <v>10</v>
      </c>
      <c r="D1112">
        <v>12.67</v>
      </c>
      <c r="E1112">
        <v>61.54</v>
      </c>
      <c r="F1112">
        <v>9.3800000000000008</v>
      </c>
      <c r="G1112">
        <v>26.35</v>
      </c>
      <c r="H1112">
        <v>5.07</v>
      </c>
      <c r="I1112">
        <v>18.46</v>
      </c>
      <c r="J1112">
        <v>2.81</v>
      </c>
    </row>
    <row r="1113" spans="1:10" x14ac:dyDescent="0.2">
      <c r="A1113" t="s">
        <v>77</v>
      </c>
      <c r="B1113" t="s">
        <v>16</v>
      </c>
      <c r="C1113" t="s">
        <v>11</v>
      </c>
      <c r="D1113">
        <v>7.52</v>
      </c>
      <c r="E1113">
        <v>67.31</v>
      </c>
      <c r="F1113">
        <v>8.6</v>
      </c>
      <c r="G1113">
        <v>25.78</v>
      </c>
      <c r="H1113">
        <v>3.01</v>
      </c>
      <c r="I1113">
        <v>20.190000000000001</v>
      </c>
      <c r="J1113">
        <v>2.58</v>
      </c>
    </row>
    <row r="1114" spans="1:10" x14ac:dyDescent="0.2">
      <c r="A1114" t="s">
        <v>77</v>
      </c>
      <c r="B1114" t="s">
        <v>16</v>
      </c>
      <c r="C1114" t="s">
        <v>12</v>
      </c>
      <c r="D1114">
        <v>25.48</v>
      </c>
      <c r="E1114">
        <v>67.31</v>
      </c>
      <c r="F1114">
        <v>18.97</v>
      </c>
      <c r="G1114">
        <v>36.08</v>
      </c>
      <c r="H1114">
        <v>10.19</v>
      </c>
      <c r="I1114">
        <v>20.190000000000001</v>
      </c>
      <c r="J1114">
        <v>5.69</v>
      </c>
    </row>
    <row r="1115" spans="1:10" x14ac:dyDescent="0.2">
      <c r="A1115" t="s">
        <v>77</v>
      </c>
      <c r="B1115" t="s">
        <v>16</v>
      </c>
      <c r="C1115" t="s">
        <v>13</v>
      </c>
      <c r="D1115">
        <v>16.920000000000002</v>
      </c>
      <c r="E1115">
        <v>61.54</v>
      </c>
      <c r="F1115">
        <v>9.16</v>
      </c>
      <c r="G1115">
        <v>27.98</v>
      </c>
      <c r="H1115">
        <v>6.77</v>
      </c>
      <c r="I1115">
        <v>18.46</v>
      </c>
      <c r="J1115">
        <v>2.75</v>
      </c>
    </row>
    <row r="1116" spans="1:10" x14ac:dyDescent="0.2">
      <c r="A1116" t="s">
        <v>77</v>
      </c>
      <c r="B1116" t="s">
        <v>16</v>
      </c>
      <c r="C1116" t="s">
        <v>14</v>
      </c>
      <c r="D1116">
        <v>24.57</v>
      </c>
      <c r="E1116">
        <v>50</v>
      </c>
      <c r="F1116">
        <v>10.55</v>
      </c>
      <c r="G1116">
        <v>27.99</v>
      </c>
      <c r="H1116">
        <v>9.83</v>
      </c>
      <c r="I1116">
        <v>15</v>
      </c>
      <c r="J1116">
        <v>3.16</v>
      </c>
    </row>
    <row r="1117" spans="1:10" x14ac:dyDescent="0.2">
      <c r="A1117" t="s">
        <v>78</v>
      </c>
      <c r="B1117" t="s">
        <v>8</v>
      </c>
      <c r="C1117" t="s">
        <v>9</v>
      </c>
      <c r="D1117">
        <v>48.28</v>
      </c>
      <c r="E1117">
        <v>57.69</v>
      </c>
      <c r="F1117">
        <v>15.55</v>
      </c>
      <c r="G1117">
        <v>41.28</v>
      </c>
      <c r="H1117">
        <v>19.309999999999999</v>
      </c>
      <c r="I1117">
        <v>17.309999999999999</v>
      </c>
      <c r="J1117">
        <v>4.66</v>
      </c>
    </row>
    <row r="1118" spans="1:10" x14ac:dyDescent="0.2">
      <c r="A1118" t="s">
        <v>78</v>
      </c>
      <c r="B1118" t="s">
        <v>8</v>
      </c>
      <c r="C1118" t="s">
        <v>10</v>
      </c>
      <c r="D1118">
        <v>13.66</v>
      </c>
      <c r="E1118">
        <v>55.77</v>
      </c>
      <c r="F1118">
        <v>11.23</v>
      </c>
      <c r="G1118">
        <v>25.56</v>
      </c>
      <c r="H1118">
        <v>5.46</v>
      </c>
      <c r="I1118">
        <v>16.73</v>
      </c>
      <c r="J1118">
        <v>3.37</v>
      </c>
    </row>
    <row r="1119" spans="1:10" x14ac:dyDescent="0.2">
      <c r="A1119" t="s">
        <v>78</v>
      </c>
      <c r="B1119" t="s">
        <v>8</v>
      </c>
      <c r="C1119" t="s">
        <v>11</v>
      </c>
      <c r="D1119">
        <v>6.53</v>
      </c>
      <c r="E1119">
        <v>63.46</v>
      </c>
      <c r="F1119">
        <v>5.67</v>
      </c>
      <c r="G1119">
        <v>23.35</v>
      </c>
      <c r="H1119">
        <v>2.61</v>
      </c>
      <c r="I1119">
        <v>19.04</v>
      </c>
      <c r="J1119">
        <v>1.7</v>
      </c>
    </row>
    <row r="1120" spans="1:10" x14ac:dyDescent="0.2">
      <c r="A1120" t="s">
        <v>78</v>
      </c>
      <c r="B1120" t="s">
        <v>8</v>
      </c>
      <c r="C1120" t="s">
        <v>12</v>
      </c>
      <c r="D1120">
        <v>19.739999999999998</v>
      </c>
      <c r="E1120">
        <v>69.23</v>
      </c>
      <c r="F1120">
        <v>28.37</v>
      </c>
      <c r="G1120">
        <v>37.17</v>
      </c>
      <c r="H1120">
        <v>7.9</v>
      </c>
      <c r="I1120">
        <v>20.77</v>
      </c>
      <c r="J1120">
        <v>8.51</v>
      </c>
    </row>
    <row r="1121" spans="1:10" x14ac:dyDescent="0.2">
      <c r="A1121" t="s">
        <v>78</v>
      </c>
      <c r="B1121" t="s">
        <v>8</v>
      </c>
      <c r="C1121" t="s">
        <v>13</v>
      </c>
      <c r="D1121">
        <v>20.22</v>
      </c>
      <c r="E1121">
        <v>59.62</v>
      </c>
      <c r="F1121">
        <v>8.77</v>
      </c>
      <c r="G1121">
        <v>28.6</v>
      </c>
      <c r="H1121">
        <v>8.09</v>
      </c>
      <c r="I1121">
        <v>17.88</v>
      </c>
      <c r="J1121">
        <v>2.63</v>
      </c>
    </row>
    <row r="1122" spans="1:10" x14ac:dyDescent="0.2">
      <c r="A1122" t="s">
        <v>78</v>
      </c>
      <c r="B1122" t="s">
        <v>8</v>
      </c>
      <c r="C1122" t="s">
        <v>14</v>
      </c>
      <c r="D1122">
        <v>21.17</v>
      </c>
      <c r="E1122">
        <v>51.92</v>
      </c>
      <c r="F1122">
        <v>20.34</v>
      </c>
      <c r="G1122">
        <v>30.15</v>
      </c>
      <c r="H1122">
        <v>8.4700000000000006</v>
      </c>
      <c r="I1122">
        <v>15.58</v>
      </c>
      <c r="J1122">
        <v>6.1</v>
      </c>
    </row>
    <row r="1123" spans="1:10" x14ac:dyDescent="0.2">
      <c r="A1123" t="s">
        <v>78</v>
      </c>
      <c r="B1123" t="s">
        <v>15</v>
      </c>
      <c r="C1123" t="s">
        <v>9</v>
      </c>
      <c r="D1123">
        <v>57.98</v>
      </c>
      <c r="E1123">
        <v>57.69</v>
      </c>
      <c r="F1123">
        <v>12.92</v>
      </c>
      <c r="G1123">
        <v>44.37</v>
      </c>
      <c r="H1123">
        <v>23.19</v>
      </c>
      <c r="I1123">
        <v>17.309999999999999</v>
      </c>
      <c r="J1123">
        <v>3.87</v>
      </c>
    </row>
    <row r="1124" spans="1:10" x14ac:dyDescent="0.2">
      <c r="A1124" t="s">
        <v>78</v>
      </c>
      <c r="B1124" t="s">
        <v>15</v>
      </c>
      <c r="C1124" t="s">
        <v>10</v>
      </c>
      <c r="D1124">
        <v>20.04</v>
      </c>
      <c r="E1124">
        <v>55.77</v>
      </c>
      <c r="F1124">
        <v>30.84</v>
      </c>
      <c r="G1124">
        <v>34</v>
      </c>
      <c r="H1124">
        <v>8.02</v>
      </c>
      <c r="I1124">
        <v>16.73</v>
      </c>
      <c r="J1124">
        <v>9.25</v>
      </c>
    </row>
    <row r="1125" spans="1:10" x14ac:dyDescent="0.2">
      <c r="A1125" t="s">
        <v>78</v>
      </c>
      <c r="B1125" t="s">
        <v>15</v>
      </c>
      <c r="C1125" t="s">
        <v>11</v>
      </c>
      <c r="D1125">
        <v>12.01</v>
      </c>
      <c r="E1125">
        <v>63.46</v>
      </c>
      <c r="F1125">
        <v>17.05</v>
      </c>
      <c r="G1125">
        <v>28.96</v>
      </c>
      <c r="H1125">
        <v>4.8099999999999996</v>
      </c>
      <c r="I1125">
        <v>19.04</v>
      </c>
      <c r="J1125">
        <v>5.1100000000000003</v>
      </c>
    </row>
    <row r="1126" spans="1:10" x14ac:dyDescent="0.2">
      <c r="A1126" t="s">
        <v>78</v>
      </c>
      <c r="B1126" t="s">
        <v>15</v>
      </c>
      <c r="C1126" t="s">
        <v>12</v>
      </c>
      <c r="D1126">
        <v>26.69</v>
      </c>
      <c r="E1126">
        <v>69.23</v>
      </c>
      <c r="F1126">
        <v>100</v>
      </c>
      <c r="G1126">
        <v>61.45</v>
      </c>
      <c r="H1126">
        <v>10.68</v>
      </c>
      <c r="I1126">
        <v>20.77</v>
      </c>
      <c r="J1126">
        <v>30</v>
      </c>
    </row>
    <row r="1127" spans="1:10" x14ac:dyDescent="0.2">
      <c r="A1127" t="s">
        <v>78</v>
      </c>
      <c r="B1127" t="s">
        <v>15</v>
      </c>
      <c r="C1127" t="s">
        <v>13</v>
      </c>
      <c r="D1127">
        <v>29.88</v>
      </c>
      <c r="E1127">
        <v>59.62</v>
      </c>
      <c r="F1127">
        <v>26.02</v>
      </c>
      <c r="G1127">
        <v>37.64</v>
      </c>
      <c r="H1127">
        <v>11.95</v>
      </c>
      <c r="I1127">
        <v>17.88</v>
      </c>
      <c r="J1127">
        <v>7.81</v>
      </c>
    </row>
    <row r="1128" spans="1:10" x14ac:dyDescent="0.2">
      <c r="A1128" t="s">
        <v>78</v>
      </c>
      <c r="B1128" t="s">
        <v>15</v>
      </c>
      <c r="C1128" t="s">
        <v>14</v>
      </c>
      <c r="D1128">
        <v>42.47</v>
      </c>
      <c r="E1128">
        <v>51.92</v>
      </c>
      <c r="F1128">
        <v>28.85</v>
      </c>
      <c r="G1128">
        <v>41.22</v>
      </c>
      <c r="H1128">
        <v>16.989999999999998</v>
      </c>
      <c r="I1128">
        <v>15.58</v>
      </c>
      <c r="J1128">
        <v>8.66</v>
      </c>
    </row>
    <row r="1129" spans="1:10" x14ac:dyDescent="0.2">
      <c r="A1129" t="s">
        <v>78</v>
      </c>
      <c r="B1129" t="s">
        <v>16</v>
      </c>
      <c r="C1129" t="s">
        <v>9</v>
      </c>
      <c r="D1129">
        <v>48.68</v>
      </c>
      <c r="E1129">
        <v>57.69</v>
      </c>
      <c r="F1129">
        <v>19.73</v>
      </c>
      <c r="G1129">
        <v>42.7</v>
      </c>
      <c r="H1129">
        <v>19.47</v>
      </c>
      <c r="I1129">
        <v>17.309999999999999</v>
      </c>
      <c r="J1129">
        <v>5.92</v>
      </c>
    </row>
    <row r="1130" spans="1:10" x14ac:dyDescent="0.2">
      <c r="A1130" t="s">
        <v>78</v>
      </c>
      <c r="B1130" t="s">
        <v>16</v>
      </c>
      <c r="C1130" t="s">
        <v>10</v>
      </c>
      <c r="D1130">
        <v>16.510000000000002</v>
      </c>
      <c r="E1130">
        <v>55.77</v>
      </c>
      <c r="F1130">
        <v>21.14</v>
      </c>
      <c r="G1130">
        <v>29.68</v>
      </c>
      <c r="H1130">
        <v>6.61</v>
      </c>
      <c r="I1130">
        <v>16.73</v>
      </c>
      <c r="J1130">
        <v>6.34</v>
      </c>
    </row>
    <row r="1131" spans="1:10" x14ac:dyDescent="0.2">
      <c r="A1131" t="s">
        <v>78</v>
      </c>
      <c r="B1131" t="s">
        <v>16</v>
      </c>
      <c r="C1131" t="s">
        <v>11</v>
      </c>
      <c r="D1131">
        <v>8.2200000000000006</v>
      </c>
      <c r="E1131">
        <v>63.46</v>
      </c>
      <c r="F1131">
        <v>7.36</v>
      </c>
      <c r="G1131">
        <v>24.53</v>
      </c>
      <c r="H1131">
        <v>3.29</v>
      </c>
      <c r="I1131">
        <v>19.04</v>
      </c>
      <c r="J1131">
        <v>2.21</v>
      </c>
    </row>
    <row r="1132" spans="1:10" x14ac:dyDescent="0.2">
      <c r="A1132" t="s">
        <v>78</v>
      </c>
      <c r="B1132" t="s">
        <v>16</v>
      </c>
      <c r="C1132" t="s">
        <v>12</v>
      </c>
      <c r="D1132">
        <v>23.45</v>
      </c>
      <c r="E1132">
        <v>69.23</v>
      </c>
      <c r="F1132">
        <v>29.96</v>
      </c>
      <c r="G1132">
        <v>39.14</v>
      </c>
      <c r="H1132">
        <v>9.3800000000000008</v>
      </c>
      <c r="I1132">
        <v>20.77</v>
      </c>
      <c r="J1132">
        <v>8.99</v>
      </c>
    </row>
    <row r="1133" spans="1:10" x14ac:dyDescent="0.2">
      <c r="A1133" t="s">
        <v>78</v>
      </c>
      <c r="B1133" t="s">
        <v>16</v>
      </c>
      <c r="C1133" t="s">
        <v>13</v>
      </c>
      <c r="D1133">
        <v>20.329999999999998</v>
      </c>
      <c r="E1133">
        <v>59.62</v>
      </c>
      <c r="F1133">
        <v>9.48</v>
      </c>
      <c r="G1133">
        <v>28.86</v>
      </c>
      <c r="H1133">
        <v>8.1300000000000008</v>
      </c>
      <c r="I1133">
        <v>17.88</v>
      </c>
      <c r="J1133">
        <v>2.84</v>
      </c>
    </row>
    <row r="1134" spans="1:10" x14ac:dyDescent="0.2">
      <c r="A1134" t="s">
        <v>78</v>
      </c>
      <c r="B1134" t="s">
        <v>16</v>
      </c>
      <c r="C1134" t="s">
        <v>14</v>
      </c>
      <c r="D1134">
        <v>25.7</v>
      </c>
      <c r="E1134">
        <v>51.92</v>
      </c>
      <c r="F1134">
        <v>18.77</v>
      </c>
      <c r="G1134">
        <v>31.49</v>
      </c>
      <c r="H1134">
        <v>10.28</v>
      </c>
      <c r="I1134">
        <v>15.58</v>
      </c>
      <c r="J1134">
        <v>5.63</v>
      </c>
    </row>
    <row r="1135" spans="1:10" x14ac:dyDescent="0.2">
      <c r="A1135" t="s">
        <v>79</v>
      </c>
      <c r="B1135" t="s">
        <v>8</v>
      </c>
      <c r="C1135" t="s">
        <v>9</v>
      </c>
      <c r="D1135">
        <v>48.24</v>
      </c>
      <c r="E1135">
        <v>50</v>
      </c>
      <c r="F1135">
        <v>17.079999999999998</v>
      </c>
      <c r="G1135">
        <v>39.42</v>
      </c>
      <c r="H1135">
        <v>19.3</v>
      </c>
      <c r="I1135">
        <v>15</v>
      </c>
      <c r="J1135">
        <v>5.12</v>
      </c>
    </row>
    <row r="1136" spans="1:10" x14ac:dyDescent="0.2">
      <c r="A1136" t="s">
        <v>79</v>
      </c>
      <c r="B1136" t="s">
        <v>8</v>
      </c>
      <c r="C1136" t="s">
        <v>10</v>
      </c>
      <c r="D1136">
        <v>10.97</v>
      </c>
      <c r="E1136">
        <v>59.62</v>
      </c>
      <c r="F1136">
        <v>16.010000000000002</v>
      </c>
      <c r="G1136">
        <v>27.07</v>
      </c>
      <c r="H1136">
        <v>4.3899999999999997</v>
      </c>
      <c r="I1136">
        <v>17.88</v>
      </c>
      <c r="J1136">
        <v>4.8</v>
      </c>
    </row>
    <row r="1137" spans="1:10" x14ac:dyDescent="0.2">
      <c r="A1137" t="s">
        <v>79</v>
      </c>
      <c r="B1137" t="s">
        <v>8</v>
      </c>
      <c r="C1137" t="s">
        <v>11</v>
      </c>
      <c r="D1137">
        <v>6.51</v>
      </c>
      <c r="E1137">
        <v>63.46</v>
      </c>
      <c r="F1137">
        <v>10.16</v>
      </c>
      <c r="G1137">
        <v>24.69</v>
      </c>
      <c r="H1137">
        <v>2.61</v>
      </c>
      <c r="I1137">
        <v>19.04</v>
      </c>
      <c r="J1137">
        <v>3.05</v>
      </c>
    </row>
    <row r="1138" spans="1:10" x14ac:dyDescent="0.2">
      <c r="A1138" t="s">
        <v>79</v>
      </c>
      <c r="B1138" t="s">
        <v>8</v>
      </c>
      <c r="C1138" t="s">
        <v>12</v>
      </c>
      <c r="D1138">
        <v>20.8</v>
      </c>
      <c r="E1138">
        <v>67.31</v>
      </c>
      <c r="F1138">
        <v>26.97</v>
      </c>
      <c r="G1138">
        <v>36.61</v>
      </c>
      <c r="H1138">
        <v>8.32</v>
      </c>
      <c r="I1138">
        <v>20.190000000000001</v>
      </c>
      <c r="J1138">
        <v>8.09</v>
      </c>
    </row>
    <row r="1139" spans="1:10" x14ac:dyDescent="0.2">
      <c r="A1139" t="s">
        <v>79</v>
      </c>
      <c r="B1139" t="s">
        <v>8</v>
      </c>
      <c r="C1139" t="s">
        <v>13</v>
      </c>
      <c r="D1139">
        <v>23.17</v>
      </c>
      <c r="E1139">
        <v>55.77</v>
      </c>
      <c r="F1139">
        <v>11</v>
      </c>
      <c r="G1139">
        <v>29.3</v>
      </c>
      <c r="H1139">
        <v>9.27</v>
      </c>
      <c r="I1139">
        <v>16.73</v>
      </c>
      <c r="J1139">
        <v>3.3</v>
      </c>
    </row>
    <row r="1140" spans="1:10" x14ac:dyDescent="0.2">
      <c r="A1140" t="s">
        <v>79</v>
      </c>
      <c r="B1140" t="s">
        <v>8</v>
      </c>
      <c r="C1140" t="s">
        <v>14</v>
      </c>
      <c r="D1140">
        <v>18.48</v>
      </c>
      <c r="E1140">
        <v>57.69</v>
      </c>
      <c r="F1140">
        <v>13.86</v>
      </c>
      <c r="G1140">
        <v>28.86</v>
      </c>
      <c r="H1140">
        <v>7.39</v>
      </c>
      <c r="I1140">
        <v>17.309999999999999</v>
      </c>
      <c r="J1140">
        <v>4.16</v>
      </c>
    </row>
    <row r="1141" spans="1:10" x14ac:dyDescent="0.2">
      <c r="A1141" t="s">
        <v>79</v>
      </c>
      <c r="B1141" t="s">
        <v>15</v>
      </c>
      <c r="C1141" t="s">
        <v>9</v>
      </c>
      <c r="D1141">
        <v>64.94</v>
      </c>
      <c r="E1141">
        <v>50</v>
      </c>
      <c r="F1141">
        <v>11.61</v>
      </c>
      <c r="G1141">
        <v>44.46</v>
      </c>
      <c r="H1141">
        <v>25.98</v>
      </c>
      <c r="I1141">
        <v>15</v>
      </c>
      <c r="J1141">
        <v>3.48</v>
      </c>
    </row>
    <row r="1142" spans="1:10" x14ac:dyDescent="0.2">
      <c r="A1142" t="s">
        <v>79</v>
      </c>
      <c r="B1142" t="s">
        <v>15</v>
      </c>
      <c r="C1142" t="s">
        <v>10</v>
      </c>
      <c r="D1142">
        <v>18.579999999999998</v>
      </c>
      <c r="E1142">
        <v>59.62</v>
      </c>
      <c r="F1142">
        <v>7.84</v>
      </c>
      <c r="G1142">
        <v>27.67</v>
      </c>
      <c r="H1142">
        <v>7.43</v>
      </c>
      <c r="I1142">
        <v>17.88</v>
      </c>
      <c r="J1142">
        <v>2.35</v>
      </c>
    </row>
    <row r="1143" spans="1:10" x14ac:dyDescent="0.2">
      <c r="A1143" t="s">
        <v>79</v>
      </c>
      <c r="B1143" t="s">
        <v>15</v>
      </c>
      <c r="C1143" t="s">
        <v>11</v>
      </c>
      <c r="D1143">
        <v>13.01</v>
      </c>
      <c r="E1143">
        <v>63.46</v>
      </c>
      <c r="F1143">
        <v>37.270000000000003</v>
      </c>
      <c r="G1143">
        <v>35.42</v>
      </c>
      <c r="H1143">
        <v>5.2</v>
      </c>
      <c r="I1143">
        <v>19.04</v>
      </c>
      <c r="J1143">
        <v>11.18</v>
      </c>
    </row>
    <row r="1144" spans="1:10" x14ac:dyDescent="0.2">
      <c r="A1144" t="s">
        <v>79</v>
      </c>
      <c r="B1144" t="s">
        <v>15</v>
      </c>
      <c r="C1144" t="s">
        <v>12</v>
      </c>
      <c r="D1144">
        <v>28.29</v>
      </c>
      <c r="E1144">
        <v>67.31</v>
      </c>
      <c r="F1144">
        <v>65.83</v>
      </c>
      <c r="G1144">
        <v>51.26</v>
      </c>
      <c r="H1144">
        <v>11.32</v>
      </c>
      <c r="I1144">
        <v>20.190000000000001</v>
      </c>
      <c r="J1144">
        <v>19.75</v>
      </c>
    </row>
    <row r="1145" spans="1:10" x14ac:dyDescent="0.2">
      <c r="A1145" t="s">
        <v>79</v>
      </c>
      <c r="B1145" t="s">
        <v>15</v>
      </c>
      <c r="C1145" t="s">
        <v>13</v>
      </c>
      <c r="D1145">
        <v>33.61</v>
      </c>
      <c r="E1145">
        <v>55.77</v>
      </c>
      <c r="F1145">
        <v>21.5</v>
      </c>
      <c r="G1145">
        <v>36.630000000000003</v>
      </c>
      <c r="H1145">
        <v>13.45</v>
      </c>
      <c r="I1145">
        <v>16.73</v>
      </c>
      <c r="J1145">
        <v>6.45</v>
      </c>
    </row>
    <row r="1146" spans="1:10" x14ac:dyDescent="0.2">
      <c r="A1146" t="s">
        <v>79</v>
      </c>
      <c r="B1146" t="s">
        <v>15</v>
      </c>
      <c r="C1146" t="s">
        <v>14</v>
      </c>
      <c r="D1146">
        <v>41.72</v>
      </c>
      <c r="E1146">
        <v>57.69</v>
      </c>
      <c r="F1146">
        <v>16.149999999999999</v>
      </c>
      <c r="G1146">
        <v>38.840000000000003</v>
      </c>
      <c r="H1146">
        <v>16.690000000000001</v>
      </c>
      <c r="I1146">
        <v>17.309999999999999</v>
      </c>
      <c r="J1146">
        <v>4.84</v>
      </c>
    </row>
    <row r="1147" spans="1:10" x14ac:dyDescent="0.2">
      <c r="A1147" t="s">
        <v>79</v>
      </c>
      <c r="B1147" t="s">
        <v>16</v>
      </c>
      <c r="C1147" t="s">
        <v>9</v>
      </c>
      <c r="D1147">
        <v>48.76</v>
      </c>
      <c r="E1147">
        <v>50</v>
      </c>
      <c r="F1147">
        <v>13.93</v>
      </c>
      <c r="G1147">
        <v>38.68</v>
      </c>
      <c r="H1147">
        <v>19.5</v>
      </c>
      <c r="I1147">
        <v>15</v>
      </c>
      <c r="J1147">
        <v>4.18</v>
      </c>
    </row>
    <row r="1148" spans="1:10" x14ac:dyDescent="0.2">
      <c r="A1148" t="s">
        <v>79</v>
      </c>
      <c r="B1148" t="s">
        <v>16</v>
      </c>
      <c r="C1148" t="s">
        <v>10</v>
      </c>
      <c r="D1148">
        <v>15.29</v>
      </c>
      <c r="E1148">
        <v>59.62</v>
      </c>
      <c r="F1148">
        <v>9.36</v>
      </c>
      <c r="G1148">
        <v>26.81</v>
      </c>
      <c r="H1148">
        <v>6.12</v>
      </c>
      <c r="I1148">
        <v>17.88</v>
      </c>
      <c r="J1148">
        <v>2.81</v>
      </c>
    </row>
    <row r="1149" spans="1:10" x14ac:dyDescent="0.2">
      <c r="A1149" t="s">
        <v>79</v>
      </c>
      <c r="B1149" t="s">
        <v>16</v>
      </c>
      <c r="C1149" t="s">
        <v>11</v>
      </c>
      <c r="D1149">
        <v>7.92</v>
      </c>
      <c r="E1149">
        <v>63.46</v>
      </c>
      <c r="F1149">
        <v>8.9700000000000006</v>
      </c>
      <c r="G1149">
        <v>24.9</v>
      </c>
      <c r="H1149">
        <v>3.17</v>
      </c>
      <c r="I1149">
        <v>19.04</v>
      </c>
      <c r="J1149">
        <v>2.69</v>
      </c>
    </row>
    <row r="1150" spans="1:10" x14ac:dyDescent="0.2">
      <c r="A1150" t="s">
        <v>79</v>
      </c>
      <c r="B1150" t="s">
        <v>16</v>
      </c>
      <c r="C1150" t="s">
        <v>12</v>
      </c>
      <c r="D1150">
        <v>23.07</v>
      </c>
      <c r="E1150">
        <v>67.31</v>
      </c>
      <c r="F1150">
        <v>14.68</v>
      </c>
      <c r="G1150">
        <v>33.82</v>
      </c>
      <c r="H1150">
        <v>9.23</v>
      </c>
      <c r="I1150">
        <v>20.190000000000001</v>
      </c>
      <c r="J1150">
        <v>4.4000000000000004</v>
      </c>
    </row>
    <row r="1151" spans="1:10" x14ac:dyDescent="0.2">
      <c r="A1151" t="s">
        <v>79</v>
      </c>
      <c r="B1151" t="s">
        <v>16</v>
      </c>
      <c r="C1151" t="s">
        <v>13</v>
      </c>
      <c r="D1151">
        <v>22.82</v>
      </c>
      <c r="E1151">
        <v>55.77</v>
      </c>
      <c r="F1151">
        <v>11.52</v>
      </c>
      <c r="G1151">
        <v>29.32</v>
      </c>
      <c r="H1151">
        <v>9.1300000000000008</v>
      </c>
      <c r="I1151">
        <v>16.73</v>
      </c>
      <c r="J1151">
        <v>3.46</v>
      </c>
    </row>
    <row r="1152" spans="1:10" x14ac:dyDescent="0.2">
      <c r="A1152" t="s">
        <v>79</v>
      </c>
      <c r="B1152" t="s">
        <v>16</v>
      </c>
      <c r="C1152" t="s">
        <v>14</v>
      </c>
      <c r="D1152">
        <v>21.75</v>
      </c>
      <c r="E1152">
        <v>57.69</v>
      </c>
      <c r="F1152">
        <v>10.86</v>
      </c>
      <c r="G1152">
        <v>29.26</v>
      </c>
      <c r="H1152">
        <v>8.6999999999999993</v>
      </c>
      <c r="I1152">
        <v>17.309999999999999</v>
      </c>
      <c r="J1152">
        <v>3.26</v>
      </c>
    </row>
    <row r="1153" spans="1:10" x14ac:dyDescent="0.2">
      <c r="A1153" t="s">
        <v>80</v>
      </c>
      <c r="B1153" t="s">
        <v>8</v>
      </c>
      <c r="C1153" t="s">
        <v>9</v>
      </c>
      <c r="D1153">
        <v>44.47</v>
      </c>
      <c r="E1153">
        <v>51.92</v>
      </c>
      <c r="F1153">
        <v>10.33</v>
      </c>
      <c r="G1153">
        <v>36.46</v>
      </c>
      <c r="H1153">
        <v>17.79</v>
      </c>
      <c r="I1153">
        <v>15.58</v>
      </c>
      <c r="J1153">
        <v>3.1</v>
      </c>
    </row>
    <row r="1154" spans="1:10" x14ac:dyDescent="0.2">
      <c r="A1154" t="s">
        <v>80</v>
      </c>
      <c r="B1154" t="s">
        <v>8</v>
      </c>
      <c r="C1154" t="s">
        <v>10</v>
      </c>
      <c r="D1154">
        <v>10.130000000000001</v>
      </c>
      <c r="E1154">
        <v>61.54</v>
      </c>
      <c r="F1154">
        <v>11.74</v>
      </c>
      <c r="G1154">
        <v>26.04</v>
      </c>
      <c r="H1154">
        <v>4.05</v>
      </c>
      <c r="I1154">
        <v>18.46</v>
      </c>
      <c r="J1154">
        <v>3.52</v>
      </c>
    </row>
    <row r="1155" spans="1:10" x14ac:dyDescent="0.2">
      <c r="A1155" t="s">
        <v>80</v>
      </c>
      <c r="B1155" t="s">
        <v>8</v>
      </c>
      <c r="C1155" t="s">
        <v>11</v>
      </c>
      <c r="D1155">
        <v>5.0599999999999996</v>
      </c>
      <c r="E1155">
        <v>65.38</v>
      </c>
      <c r="F1155">
        <v>9.23</v>
      </c>
      <c r="G1155">
        <v>24.41</v>
      </c>
      <c r="H1155">
        <v>2.0299999999999998</v>
      </c>
      <c r="I1155">
        <v>19.62</v>
      </c>
      <c r="J1155">
        <v>2.77</v>
      </c>
    </row>
    <row r="1156" spans="1:10" x14ac:dyDescent="0.2">
      <c r="A1156" t="s">
        <v>80</v>
      </c>
      <c r="B1156" t="s">
        <v>8</v>
      </c>
      <c r="C1156" t="s">
        <v>12</v>
      </c>
      <c r="D1156">
        <v>23.47</v>
      </c>
      <c r="E1156">
        <v>78.849999999999994</v>
      </c>
      <c r="F1156">
        <v>17.36</v>
      </c>
      <c r="G1156">
        <v>38.25</v>
      </c>
      <c r="H1156">
        <v>9.39</v>
      </c>
      <c r="I1156">
        <v>23.65</v>
      </c>
      <c r="J1156">
        <v>5.21</v>
      </c>
    </row>
    <row r="1157" spans="1:10" x14ac:dyDescent="0.2">
      <c r="A1157" t="s">
        <v>80</v>
      </c>
      <c r="B1157" t="s">
        <v>8</v>
      </c>
      <c r="C1157" t="s">
        <v>13</v>
      </c>
      <c r="D1157">
        <v>20.38</v>
      </c>
      <c r="E1157">
        <v>50</v>
      </c>
      <c r="F1157">
        <v>16.41</v>
      </c>
      <c r="G1157">
        <v>28.07</v>
      </c>
      <c r="H1157">
        <v>8.15</v>
      </c>
      <c r="I1157">
        <v>15</v>
      </c>
      <c r="J1157">
        <v>4.92</v>
      </c>
    </row>
    <row r="1158" spans="1:10" x14ac:dyDescent="0.2">
      <c r="A1158" t="s">
        <v>80</v>
      </c>
      <c r="B1158" t="s">
        <v>8</v>
      </c>
      <c r="C1158" t="s">
        <v>14</v>
      </c>
      <c r="D1158">
        <v>18.670000000000002</v>
      </c>
      <c r="E1158">
        <v>57.69</v>
      </c>
      <c r="F1158">
        <v>27.53</v>
      </c>
      <c r="G1158">
        <v>33.04</v>
      </c>
      <c r="H1158">
        <v>7.47</v>
      </c>
      <c r="I1158">
        <v>17.309999999999999</v>
      </c>
      <c r="J1158">
        <v>8.26</v>
      </c>
    </row>
    <row r="1159" spans="1:10" x14ac:dyDescent="0.2">
      <c r="A1159" t="s">
        <v>80</v>
      </c>
      <c r="B1159" t="s">
        <v>15</v>
      </c>
      <c r="C1159" t="s">
        <v>9</v>
      </c>
      <c r="D1159">
        <v>55.54</v>
      </c>
      <c r="E1159">
        <v>51.92</v>
      </c>
      <c r="F1159">
        <v>14.11</v>
      </c>
      <c r="G1159">
        <v>42.02</v>
      </c>
      <c r="H1159">
        <v>22.22</v>
      </c>
      <c r="I1159">
        <v>15.58</v>
      </c>
      <c r="J1159">
        <v>4.2300000000000004</v>
      </c>
    </row>
    <row r="1160" spans="1:10" x14ac:dyDescent="0.2">
      <c r="A1160" t="s">
        <v>80</v>
      </c>
      <c r="B1160" t="s">
        <v>15</v>
      </c>
      <c r="C1160" t="s">
        <v>10</v>
      </c>
      <c r="D1160">
        <v>14.86</v>
      </c>
      <c r="E1160">
        <v>61.54</v>
      </c>
      <c r="F1160">
        <v>15.35</v>
      </c>
      <c r="G1160">
        <v>29.01</v>
      </c>
      <c r="H1160">
        <v>5.94</v>
      </c>
      <c r="I1160">
        <v>18.46</v>
      </c>
      <c r="J1160">
        <v>4.5999999999999996</v>
      </c>
    </row>
    <row r="1161" spans="1:10" x14ac:dyDescent="0.2">
      <c r="A1161" t="s">
        <v>80</v>
      </c>
      <c r="B1161" t="s">
        <v>15</v>
      </c>
      <c r="C1161" t="s">
        <v>11</v>
      </c>
      <c r="D1161">
        <v>9.93</v>
      </c>
      <c r="E1161">
        <v>65.38</v>
      </c>
      <c r="F1161">
        <v>10.75</v>
      </c>
      <c r="G1161">
        <v>26.81</v>
      </c>
      <c r="H1161">
        <v>3.97</v>
      </c>
      <c r="I1161">
        <v>19.62</v>
      </c>
      <c r="J1161">
        <v>3.22</v>
      </c>
    </row>
    <row r="1162" spans="1:10" x14ac:dyDescent="0.2">
      <c r="A1162" t="s">
        <v>80</v>
      </c>
      <c r="B1162" t="s">
        <v>15</v>
      </c>
      <c r="C1162" t="s">
        <v>12</v>
      </c>
      <c r="D1162">
        <v>30.4</v>
      </c>
      <c r="E1162">
        <v>78.849999999999994</v>
      </c>
      <c r="F1162">
        <v>34.53</v>
      </c>
      <c r="G1162">
        <v>46.17</v>
      </c>
      <c r="H1162">
        <v>12.16</v>
      </c>
      <c r="I1162">
        <v>23.65</v>
      </c>
      <c r="J1162">
        <v>10.36</v>
      </c>
    </row>
    <row r="1163" spans="1:10" x14ac:dyDescent="0.2">
      <c r="A1163" t="s">
        <v>80</v>
      </c>
      <c r="B1163" t="s">
        <v>15</v>
      </c>
      <c r="C1163" t="s">
        <v>13</v>
      </c>
      <c r="D1163">
        <v>32.5</v>
      </c>
      <c r="E1163">
        <v>50</v>
      </c>
      <c r="F1163">
        <v>17.48</v>
      </c>
      <c r="G1163">
        <v>33.24</v>
      </c>
      <c r="H1163">
        <v>13</v>
      </c>
      <c r="I1163">
        <v>15</v>
      </c>
      <c r="J1163">
        <v>5.24</v>
      </c>
    </row>
    <row r="1164" spans="1:10" x14ac:dyDescent="0.2">
      <c r="A1164" t="s">
        <v>80</v>
      </c>
      <c r="B1164" t="s">
        <v>15</v>
      </c>
      <c r="C1164" t="s">
        <v>14</v>
      </c>
      <c r="D1164">
        <v>39.39</v>
      </c>
      <c r="E1164">
        <v>57.69</v>
      </c>
      <c r="F1164">
        <v>22.74</v>
      </c>
      <c r="G1164">
        <v>39.89</v>
      </c>
      <c r="H1164">
        <v>15.76</v>
      </c>
      <c r="I1164">
        <v>17.309999999999999</v>
      </c>
      <c r="J1164">
        <v>6.82</v>
      </c>
    </row>
    <row r="1165" spans="1:10" x14ac:dyDescent="0.2">
      <c r="A1165" t="s">
        <v>80</v>
      </c>
      <c r="B1165" t="s">
        <v>16</v>
      </c>
      <c r="C1165" t="s">
        <v>9</v>
      </c>
      <c r="D1165">
        <v>48.11</v>
      </c>
      <c r="E1165">
        <v>51.92</v>
      </c>
      <c r="F1165">
        <v>19</v>
      </c>
      <c r="G1165">
        <v>40.520000000000003</v>
      </c>
      <c r="H1165">
        <v>19.239999999999998</v>
      </c>
      <c r="I1165">
        <v>15.58</v>
      </c>
      <c r="J1165">
        <v>5.7</v>
      </c>
    </row>
    <row r="1166" spans="1:10" x14ac:dyDescent="0.2">
      <c r="A1166" t="s">
        <v>80</v>
      </c>
      <c r="B1166" t="s">
        <v>16</v>
      </c>
      <c r="C1166" t="s">
        <v>10</v>
      </c>
      <c r="D1166">
        <v>13.56</v>
      </c>
      <c r="E1166">
        <v>61.54</v>
      </c>
      <c r="F1166">
        <v>10.71</v>
      </c>
      <c r="G1166">
        <v>27.1</v>
      </c>
      <c r="H1166">
        <v>5.42</v>
      </c>
      <c r="I1166">
        <v>18.46</v>
      </c>
      <c r="J1166">
        <v>3.21</v>
      </c>
    </row>
    <row r="1167" spans="1:10" x14ac:dyDescent="0.2">
      <c r="A1167" t="s">
        <v>80</v>
      </c>
      <c r="B1167" t="s">
        <v>16</v>
      </c>
      <c r="C1167" t="s">
        <v>11</v>
      </c>
      <c r="D1167">
        <v>6.16</v>
      </c>
      <c r="E1167">
        <v>65.38</v>
      </c>
      <c r="F1167">
        <v>5.16</v>
      </c>
      <c r="G1167">
        <v>23.63</v>
      </c>
      <c r="H1167">
        <v>2.46</v>
      </c>
      <c r="I1167">
        <v>19.62</v>
      </c>
      <c r="J1167">
        <v>1.55</v>
      </c>
    </row>
    <row r="1168" spans="1:10" x14ac:dyDescent="0.2">
      <c r="A1168" t="s">
        <v>80</v>
      </c>
      <c r="B1168" t="s">
        <v>16</v>
      </c>
      <c r="C1168" t="s">
        <v>12</v>
      </c>
      <c r="D1168">
        <v>24.73</v>
      </c>
      <c r="E1168">
        <v>78.849999999999994</v>
      </c>
      <c r="F1168">
        <v>21.05</v>
      </c>
      <c r="G1168">
        <v>39.86</v>
      </c>
      <c r="H1168">
        <v>9.89</v>
      </c>
      <c r="I1168">
        <v>23.65</v>
      </c>
      <c r="J1168">
        <v>6.32</v>
      </c>
    </row>
    <row r="1169" spans="1:10" x14ac:dyDescent="0.2">
      <c r="A1169" t="s">
        <v>80</v>
      </c>
      <c r="B1169" t="s">
        <v>16</v>
      </c>
      <c r="C1169" t="s">
        <v>13</v>
      </c>
      <c r="D1169">
        <v>18.87</v>
      </c>
      <c r="E1169">
        <v>50</v>
      </c>
      <c r="F1169">
        <v>20.6</v>
      </c>
      <c r="G1169">
        <v>28.73</v>
      </c>
      <c r="H1169">
        <v>7.55</v>
      </c>
      <c r="I1169">
        <v>15</v>
      </c>
      <c r="J1169">
        <v>6.18</v>
      </c>
    </row>
    <row r="1170" spans="1:10" x14ac:dyDescent="0.2">
      <c r="A1170" t="s">
        <v>80</v>
      </c>
      <c r="B1170" t="s">
        <v>16</v>
      </c>
      <c r="C1170" t="s">
        <v>14</v>
      </c>
      <c r="D1170">
        <v>21.66</v>
      </c>
      <c r="E1170">
        <v>57.69</v>
      </c>
      <c r="F1170">
        <v>9.61</v>
      </c>
      <c r="G1170">
        <v>28.85</v>
      </c>
      <c r="H1170">
        <v>8.66</v>
      </c>
      <c r="I1170">
        <v>17.309999999999999</v>
      </c>
      <c r="J1170">
        <v>2.88</v>
      </c>
    </row>
    <row r="1171" spans="1:10" x14ac:dyDescent="0.2">
      <c r="A1171" t="s">
        <v>81</v>
      </c>
      <c r="B1171" t="s">
        <v>8</v>
      </c>
      <c r="C1171" t="s">
        <v>9</v>
      </c>
      <c r="D1171">
        <v>50.22</v>
      </c>
      <c r="E1171">
        <v>51.92</v>
      </c>
      <c r="F1171">
        <v>10.48</v>
      </c>
      <c r="G1171">
        <v>38.81</v>
      </c>
      <c r="H1171">
        <v>20.09</v>
      </c>
      <c r="I1171">
        <v>15.58</v>
      </c>
      <c r="J1171">
        <v>3.14</v>
      </c>
    </row>
    <row r="1172" spans="1:10" x14ac:dyDescent="0.2">
      <c r="A1172" t="s">
        <v>81</v>
      </c>
      <c r="B1172" t="s">
        <v>8</v>
      </c>
      <c r="C1172" t="s">
        <v>10</v>
      </c>
      <c r="D1172">
        <v>12.17</v>
      </c>
      <c r="E1172">
        <v>55.77</v>
      </c>
      <c r="F1172">
        <v>10.75</v>
      </c>
      <c r="G1172">
        <v>24.82</v>
      </c>
      <c r="H1172">
        <v>4.87</v>
      </c>
      <c r="I1172">
        <v>16.73</v>
      </c>
      <c r="J1172">
        <v>3.22</v>
      </c>
    </row>
    <row r="1173" spans="1:10" x14ac:dyDescent="0.2">
      <c r="A1173" t="s">
        <v>81</v>
      </c>
      <c r="B1173" t="s">
        <v>8</v>
      </c>
      <c r="C1173" t="s">
        <v>11</v>
      </c>
      <c r="D1173">
        <v>6.44</v>
      </c>
      <c r="E1173">
        <v>51.92</v>
      </c>
      <c r="F1173">
        <v>7.57</v>
      </c>
      <c r="G1173">
        <v>20.420000000000002</v>
      </c>
      <c r="H1173">
        <v>2.57</v>
      </c>
      <c r="I1173">
        <v>15.58</v>
      </c>
      <c r="J1173">
        <v>2.27</v>
      </c>
    </row>
    <row r="1174" spans="1:10" x14ac:dyDescent="0.2">
      <c r="A1174" t="s">
        <v>81</v>
      </c>
      <c r="B1174" t="s">
        <v>8</v>
      </c>
      <c r="C1174" t="s">
        <v>12</v>
      </c>
      <c r="D1174">
        <v>21.57</v>
      </c>
      <c r="E1174">
        <v>63.46</v>
      </c>
      <c r="F1174">
        <v>25.07</v>
      </c>
      <c r="G1174">
        <v>35.19</v>
      </c>
      <c r="H1174">
        <v>8.6300000000000008</v>
      </c>
      <c r="I1174">
        <v>19.04</v>
      </c>
      <c r="J1174">
        <v>7.52</v>
      </c>
    </row>
    <row r="1175" spans="1:10" x14ac:dyDescent="0.2">
      <c r="A1175" t="s">
        <v>81</v>
      </c>
      <c r="B1175" t="s">
        <v>8</v>
      </c>
      <c r="C1175" t="s">
        <v>13</v>
      </c>
      <c r="D1175">
        <v>19.29</v>
      </c>
      <c r="E1175">
        <v>55.77</v>
      </c>
      <c r="F1175">
        <v>9.35</v>
      </c>
      <c r="G1175">
        <v>27.25</v>
      </c>
      <c r="H1175">
        <v>7.72</v>
      </c>
      <c r="I1175">
        <v>16.73</v>
      </c>
      <c r="J1175">
        <v>2.81</v>
      </c>
    </row>
    <row r="1176" spans="1:10" x14ac:dyDescent="0.2">
      <c r="A1176" t="s">
        <v>81</v>
      </c>
      <c r="B1176" t="s">
        <v>8</v>
      </c>
      <c r="C1176" t="s">
        <v>14</v>
      </c>
      <c r="D1176">
        <v>17.78</v>
      </c>
      <c r="E1176">
        <v>50</v>
      </c>
      <c r="F1176">
        <v>14.93</v>
      </c>
      <c r="G1176">
        <v>26.59</v>
      </c>
      <c r="H1176">
        <v>7.11</v>
      </c>
      <c r="I1176">
        <v>15</v>
      </c>
      <c r="J1176">
        <v>4.4800000000000004</v>
      </c>
    </row>
    <row r="1177" spans="1:10" x14ac:dyDescent="0.2">
      <c r="A1177" t="s">
        <v>81</v>
      </c>
      <c r="B1177" t="s">
        <v>15</v>
      </c>
      <c r="C1177" t="s">
        <v>9</v>
      </c>
      <c r="D1177">
        <v>62.7</v>
      </c>
      <c r="E1177">
        <v>51.92</v>
      </c>
      <c r="F1177">
        <v>11.41</v>
      </c>
      <c r="G1177">
        <v>44.08</v>
      </c>
      <c r="H1177">
        <v>25.08</v>
      </c>
      <c r="I1177">
        <v>15.58</v>
      </c>
      <c r="J1177">
        <v>3.42</v>
      </c>
    </row>
    <row r="1178" spans="1:10" x14ac:dyDescent="0.2">
      <c r="A1178" t="s">
        <v>81</v>
      </c>
      <c r="B1178" t="s">
        <v>15</v>
      </c>
      <c r="C1178" t="s">
        <v>10</v>
      </c>
      <c r="D1178">
        <v>19.82</v>
      </c>
      <c r="E1178">
        <v>55.77</v>
      </c>
      <c r="F1178">
        <v>11.51</v>
      </c>
      <c r="G1178">
        <v>28.11</v>
      </c>
      <c r="H1178">
        <v>7.93</v>
      </c>
      <c r="I1178">
        <v>16.73</v>
      </c>
      <c r="J1178">
        <v>3.45</v>
      </c>
    </row>
    <row r="1179" spans="1:10" x14ac:dyDescent="0.2">
      <c r="A1179" t="s">
        <v>81</v>
      </c>
      <c r="B1179" t="s">
        <v>15</v>
      </c>
      <c r="C1179" t="s">
        <v>11</v>
      </c>
      <c r="D1179">
        <v>10.73</v>
      </c>
      <c r="E1179">
        <v>51.92</v>
      </c>
      <c r="F1179">
        <v>12.01</v>
      </c>
      <c r="G1179">
        <v>23.47</v>
      </c>
      <c r="H1179">
        <v>4.29</v>
      </c>
      <c r="I1179">
        <v>15.58</v>
      </c>
      <c r="J1179">
        <v>3.6</v>
      </c>
    </row>
    <row r="1180" spans="1:10" x14ac:dyDescent="0.2">
      <c r="A1180" t="s">
        <v>81</v>
      </c>
      <c r="B1180" t="s">
        <v>15</v>
      </c>
      <c r="C1180" t="s">
        <v>12</v>
      </c>
      <c r="D1180">
        <v>28.46</v>
      </c>
      <c r="E1180">
        <v>63.46</v>
      </c>
      <c r="F1180">
        <v>24.22</v>
      </c>
      <c r="G1180">
        <v>37.69</v>
      </c>
      <c r="H1180">
        <v>11.38</v>
      </c>
      <c r="I1180">
        <v>19.04</v>
      </c>
      <c r="J1180">
        <v>7.26</v>
      </c>
    </row>
    <row r="1181" spans="1:10" x14ac:dyDescent="0.2">
      <c r="A1181" t="s">
        <v>81</v>
      </c>
      <c r="B1181" t="s">
        <v>15</v>
      </c>
      <c r="C1181" t="s">
        <v>13</v>
      </c>
      <c r="D1181">
        <v>30.15</v>
      </c>
      <c r="E1181">
        <v>55.77</v>
      </c>
      <c r="F1181">
        <v>18.649999999999999</v>
      </c>
      <c r="G1181">
        <v>34.39</v>
      </c>
      <c r="H1181">
        <v>12.06</v>
      </c>
      <c r="I1181">
        <v>16.73</v>
      </c>
      <c r="J1181">
        <v>5.6</v>
      </c>
    </row>
    <row r="1182" spans="1:10" x14ac:dyDescent="0.2">
      <c r="A1182" t="s">
        <v>81</v>
      </c>
      <c r="B1182" t="s">
        <v>15</v>
      </c>
      <c r="C1182" t="s">
        <v>14</v>
      </c>
      <c r="D1182">
        <v>39.799999999999997</v>
      </c>
      <c r="E1182">
        <v>50</v>
      </c>
      <c r="F1182">
        <v>19.7</v>
      </c>
      <c r="G1182">
        <v>36.83</v>
      </c>
      <c r="H1182">
        <v>15.92</v>
      </c>
      <c r="I1182">
        <v>15</v>
      </c>
      <c r="J1182">
        <v>5.91</v>
      </c>
    </row>
    <row r="1183" spans="1:10" x14ac:dyDescent="0.2">
      <c r="A1183" t="s">
        <v>81</v>
      </c>
      <c r="B1183" t="s">
        <v>16</v>
      </c>
      <c r="C1183" t="s">
        <v>9</v>
      </c>
      <c r="D1183">
        <v>56.1</v>
      </c>
      <c r="E1183">
        <v>51.92</v>
      </c>
      <c r="F1183">
        <v>15.46</v>
      </c>
      <c r="G1183">
        <v>42.65</v>
      </c>
      <c r="H1183">
        <v>22.44</v>
      </c>
      <c r="I1183">
        <v>15.58</v>
      </c>
      <c r="J1183">
        <v>4.6399999999999997</v>
      </c>
    </row>
    <row r="1184" spans="1:10" x14ac:dyDescent="0.2">
      <c r="A1184" t="s">
        <v>81</v>
      </c>
      <c r="B1184" t="s">
        <v>16</v>
      </c>
      <c r="C1184" t="s">
        <v>10</v>
      </c>
      <c r="D1184">
        <v>15.7</v>
      </c>
      <c r="E1184">
        <v>55.77</v>
      </c>
      <c r="F1184">
        <v>10.34</v>
      </c>
      <c r="G1184">
        <v>26.11</v>
      </c>
      <c r="H1184">
        <v>6.28</v>
      </c>
      <c r="I1184">
        <v>16.73</v>
      </c>
      <c r="J1184">
        <v>3.1</v>
      </c>
    </row>
    <row r="1185" spans="1:10" x14ac:dyDescent="0.2">
      <c r="A1185" t="s">
        <v>81</v>
      </c>
      <c r="B1185" t="s">
        <v>16</v>
      </c>
      <c r="C1185" t="s">
        <v>11</v>
      </c>
      <c r="D1185">
        <v>7.02</v>
      </c>
      <c r="E1185">
        <v>51.92</v>
      </c>
      <c r="F1185">
        <v>5.01</v>
      </c>
      <c r="G1185">
        <v>19.89</v>
      </c>
      <c r="H1185">
        <v>2.81</v>
      </c>
      <c r="I1185">
        <v>15.58</v>
      </c>
      <c r="J1185">
        <v>1.5</v>
      </c>
    </row>
    <row r="1186" spans="1:10" x14ac:dyDescent="0.2">
      <c r="A1186" t="s">
        <v>81</v>
      </c>
      <c r="B1186" t="s">
        <v>16</v>
      </c>
      <c r="C1186" t="s">
        <v>12</v>
      </c>
      <c r="D1186">
        <v>23.7</v>
      </c>
      <c r="E1186">
        <v>63.46</v>
      </c>
      <c r="F1186">
        <v>32.590000000000003</v>
      </c>
      <c r="G1186">
        <v>38.299999999999997</v>
      </c>
      <c r="H1186">
        <v>9.48</v>
      </c>
      <c r="I1186">
        <v>19.04</v>
      </c>
      <c r="J1186">
        <v>9.7799999999999994</v>
      </c>
    </row>
    <row r="1187" spans="1:10" x14ac:dyDescent="0.2">
      <c r="A1187" t="s">
        <v>81</v>
      </c>
      <c r="B1187" t="s">
        <v>16</v>
      </c>
      <c r="C1187" t="s">
        <v>13</v>
      </c>
      <c r="D1187">
        <v>17.73</v>
      </c>
      <c r="E1187">
        <v>55.77</v>
      </c>
      <c r="F1187">
        <v>7.51</v>
      </c>
      <c r="G1187">
        <v>26.08</v>
      </c>
      <c r="H1187">
        <v>7.09</v>
      </c>
      <c r="I1187">
        <v>16.73</v>
      </c>
      <c r="J1187">
        <v>2.25</v>
      </c>
    </row>
    <row r="1188" spans="1:10" x14ac:dyDescent="0.2">
      <c r="A1188" t="s">
        <v>81</v>
      </c>
      <c r="B1188" t="s">
        <v>16</v>
      </c>
      <c r="C1188" t="s">
        <v>14</v>
      </c>
      <c r="D1188">
        <v>24.11</v>
      </c>
      <c r="E1188">
        <v>50</v>
      </c>
      <c r="F1188">
        <v>14.61</v>
      </c>
      <c r="G1188">
        <v>29.03</v>
      </c>
      <c r="H1188">
        <v>9.65</v>
      </c>
      <c r="I1188">
        <v>15</v>
      </c>
      <c r="J1188">
        <v>4.38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2EF4-4B67-6C48-BDA0-4637B11EDF19}">
  <dimension ref="A1:I11"/>
  <sheetViews>
    <sheetView zoomScale="166" workbookViewId="0">
      <selection activeCell="D8" sqref="D8"/>
    </sheetView>
  </sheetViews>
  <sheetFormatPr baseColWidth="10" defaultRowHeight="16" x14ac:dyDescent="0.2"/>
  <cols>
    <col min="1" max="1" width="19.5" bestFit="1" customWidth="1"/>
    <col min="2" max="2" width="7" bestFit="1" customWidth="1"/>
  </cols>
  <sheetData>
    <row r="1" spans="1:9" x14ac:dyDescent="0.2">
      <c r="A1" s="2" t="s">
        <v>87</v>
      </c>
      <c r="B1" s="3" t="s">
        <v>88</v>
      </c>
    </row>
    <row r="2" spans="1:9" x14ac:dyDescent="0.2">
      <c r="A2" t="s">
        <v>82</v>
      </c>
      <c r="B2" s="6">
        <v>0.4</v>
      </c>
      <c r="D2" s="14" t="s">
        <v>128</v>
      </c>
      <c r="E2" s="14"/>
      <c r="F2" s="14"/>
      <c r="G2" s="14"/>
      <c r="H2" s="14"/>
      <c r="I2" s="14"/>
    </row>
    <row r="3" spans="1:9" x14ac:dyDescent="0.2">
      <c r="A3" t="s">
        <v>83</v>
      </c>
      <c r="B3" s="6">
        <v>0.3</v>
      </c>
      <c r="D3" s="14" t="s">
        <v>129</v>
      </c>
      <c r="E3" s="14"/>
      <c r="F3" s="14"/>
      <c r="G3" s="14"/>
      <c r="H3" s="14"/>
      <c r="I3" s="14"/>
    </row>
    <row r="4" spans="1:9" x14ac:dyDescent="0.2">
      <c r="A4" t="s">
        <v>94</v>
      </c>
      <c r="B4" s="6">
        <v>0.3</v>
      </c>
    </row>
    <row r="5" spans="1:9" x14ac:dyDescent="0.2">
      <c r="A5" s="1" t="s">
        <v>84</v>
      </c>
      <c r="B5" s="4">
        <f>SUM(B2:B4)</f>
        <v>1</v>
      </c>
    </row>
    <row r="7" spans="1:9" x14ac:dyDescent="0.2">
      <c r="A7" s="2" t="s">
        <v>95</v>
      </c>
      <c r="B7" s="3" t="s">
        <v>96</v>
      </c>
    </row>
    <row r="8" spans="1:9" x14ac:dyDescent="0.2">
      <c r="A8" t="s">
        <v>97</v>
      </c>
      <c r="B8" s="7" t="s">
        <v>101</v>
      </c>
    </row>
    <row r="9" spans="1:9" x14ac:dyDescent="0.2">
      <c r="A9" t="s">
        <v>98</v>
      </c>
      <c r="B9" s="7" t="s">
        <v>102</v>
      </c>
    </row>
    <row r="10" spans="1:9" x14ac:dyDescent="0.2">
      <c r="A10" t="s">
        <v>99</v>
      </c>
      <c r="B10" s="7" t="s">
        <v>103</v>
      </c>
    </row>
    <row r="11" spans="1:9" x14ac:dyDescent="0.2">
      <c r="A11" t="s">
        <v>100</v>
      </c>
      <c r="B11" s="7" t="s">
        <v>104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827E2-5148-7847-A996-2E557F3F83FD}">
  <dimension ref="A1:M1188"/>
  <sheetViews>
    <sheetView workbookViewId="0">
      <selection activeCell="M43" sqref="M43"/>
    </sheetView>
  </sheetViews>
  <sheetFormatPr baseColWidth="10" defaultRowHeight="16" x14ac:dyDescent="0.2"/>
  <cols>
    <col min="1" max="1" width="7.5" bestFit="1" customWidth="1"/>
    <col min="2" max="2" width="15.1640625" bestFit="1" customWidth="1"/>
    <col min="3" max="3" width="39" bestFit="1" customWidth="1"/>
    <col min="4" max="4" width="7.6640625" bestFit="1" customWidth="1"/>
    <col min="5" max="5" width="9.1640625" bestFit="1" customWidth="1"/>
    <col min="6" max="6" width="14.1640625" bestFit="1" customWidth="1"/>
    <col min="7" max="7" width="11.83203125" bestFit="1" customWidth="1"/>
    <col min="8" max="8" width="13.1640625" bestFit="1" customWidth="1"/>
    <col min="9" max="9" width="11.33203125" bestFit="1" customWidth="1"/>
    <col min="10" max="10" width="11.5" bestFit="1" customWidth="1"/>
    <col min="11" max="11" width="13.33203125" bestFit="1" customWidth="1"/>
    <col min="12" max="12" width="14.83203125" bestFit="1" customWidth="1"/>
    <col min="13" max="13" width="13.1640625" bestFit="1" customWidth="1"/>
  </cols>
  <sheetData>
    <row r="1" spans="1:13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85</v>
      </c>
      <c r="H1" s="8" t="s">
        <v>86</v>
      </c>
      <c r="I1" s="8" t="s">
        <v>89</v>
      </c>
      <c r="J1" s="8" t="s">
        <v>90</v>
      </c>
      <c r="K1" s="8" t="s">
        <v>91</v>
      </c>
      <c r="L1" s="12" t="s">
        <v>92</v>
      </c>
      <c r="M1" s="12" t="s">
        <v>93</v>
      </c>
    </row>
    <row r="2" spans="1:13" x14ac:dyDescent="0.2">
      <c r="A2" t="str">
        <f>raw_data!A2</f>
        <v>2009Q4</v>
      </c>
      <c r="B2" t="str">
        <f>raw_data!B2</f>
        <v>New South Wales</v>
      </c>
      <c r="C2" t="str">
        <f>raw_data!C2</f>
        <v>Accommodation and Food Services</v>
      </c>
      <c r="D2">
        <f>raw_data!D2</f>
        <v>26.91</v>
      </c>
      <c r="E2">
        <f>raw_data!E2</f>
        <v>30.77</v>
      </c>
      <c r="F2">
        <f>raw_data!F2</f>
        <v>5.47</v>
      </c>
      <c r="G2">
        <f>raw_data!G2</f>
        <v>21.64</v>
      </c>
      <c r="H2">
        <f>(raw_data!D2*weights!$B$2)+(raw_data!E2*weights!$B$3)+(raw_data!F2*weights!$B$4)</f>
        <v>21.635999999999999</v>
      </c>
      <c r="I2" t="str">
        <f>IF(H2&gt;=60,"Critical",IF(H2&gt;=45,"High",IF(H2&gt;=25,"Moderate","Low")))</f>
        <v>Low</v>
      </c>
      <c r="J2" t="str">
        <f>LEFT(A2,4)&amp;" "&amp;RIGHT(A2,2)</f>
        <v>2009 Q4</v>
      </c>
      <c r="K2">
        <f>raw_data!H2</f>
        <v>10.76</v>
      </c>
      <c r="L2" s="13">
        <f>raw_data!I2</f>
        <v>9.23</v>
      </c>
      <c r="M2" s="13">
        <f>raw_data!J2</f>
        <v>1.64</v>
      </c>
    </row>
    <row r="3" spans="1:13" x14ac:dyDescent="0.2">
      <c r="A3" t="str">
        <f>raw_data!A3</f>
        <v>2009Q4</v>
      </c>
      <c r="B3" t="str">
        <f>raw_data!B3</f>
        <v>New South Wales</v>
      </c>
      <c r="C3" t="str">
        <f>raw_data!C3</f>
        <v>Construction</v>
      </c>
      <c r="D3">
        <f>raw_data!D3</f>
        <v>9.69</v>
      </c>
      <c r="E3">
        <f>raw_data!E3</f>
        <v>59.62</v>
      </c>
      <c r="F3">
        <f>raw_data!F3</f>
        <v>3.61</v>
      </c>
      <c r="G3">
        <f>raw_data!G3</f>
        <v>22.84</v>
      </c>
      <c r="H3">
        <f>(raw_data!D3*weights!$B$2)+(raw_data!E3*weights!$B$3)+(raw_data!F3*weights!$B$4)</f>
        <v>22.844999999999999</v>
      </c>
      <c r="I3" t="str">
        <f t="shared" ref="I3:I66" si="0">IF(H3&gt;=60,"Critical",IF(H3&gt;=45,"High",IF(H3&gt;=25,"Moderate","Low")))</f>
        <v>Low</v>
      </c>
      <c r="J3" t="str">
        <f t="shared" ref="J3:J66" si="1">LEFT(A3,4)&amp;" "&amp;RIGHT(A3,2)</f>
        <v>2009 Q4</v>
      </c>
      <c r="K3">
        <f>raw_data!H3</f>
        <v>3.87</v>
      </c>
      <c r="L3" s="13">
        <f>raw_data!I3</f>
        <v>17.88</v>
      </c>
      <c r="M3" s="13">
        <f>raw_data!J3</f>
        <v>1.08</v>
      </c>
    </row>
    <row r="4" spans="1:13" x14ac:dyDescent="0.2">
      <c r="A4" t="str">
        <f>raw_data!A4</f>
        <v>2009Q4</v>
      </c>
      <c r="B4" t="str">
        <f>raw_data!B4</f>
        <v>New South Wales</v>
      </c>
      <c r="C4" t="str">
        <f>raw_data!C4</f>
        <v>Education and Training</v>
      </c>
      <c r="D4">
        <f>raw_data!D4</f>
        <v>1.59</v>
      </c>
      <c r="E4">
        <f>raw_data!E4</f>
        <v>69.23</v>
      </c>
      <c r="F4">
        <f>raw_data!F4</f>
        <v>4.0199999999999996</v>
      </c>
      <c r="G4">
        <f>raw_data!G4</f>
        <v>22.61</v>
      </c>
      <c r="H4">
        <f>(raw_data!D4*weights!$B$2)+(raw_data!E4*weights!$B$3)+(raw_data!F4*weights!$B$4)</f>
        <v>22.611000000000001</v>
      </c>
      <c r="I4" t="str">
        <f t="shared" si="0"/>
        <v>Low</v>
      </c>
      <c r="J4" t="str">
        <f t="shared" si="1"/>
        <v>2009 Q4</v>
      </c>
      <c r="K4">
        <f>raw_data!H4</f>
        <v>0.64</v>
      </c>
      <c r="L4" s="13">
        <f>raw_data!I4</f>
        <v>20.77</v>
      </c>
      <c r="M4" s="13">
        <f>raw_data!J4</f>
        <v>1.21</v>
      </c>
    </row>
    <row r="5" spans="1:13" x14ac:dyDescent="0.2">
      <c r="A5" t="str">
        <f>raw_data!A5</f>
        <v>2009Q4</v>
      </c>
      <c r="B5" t="str">
        <f>raw_data!B5</f>
        <v>New South Wales</v>
      </c>
      <c r="C5" t="str">
        <f>raw_data!C5</f>
        <v>Health Care and Social Assistance</v>
      </c>
      <c r="D5">
        <f>raw_data!D5</f>
        <v>7.48</v>
      </c>
      <c r="E5">
        <f>raw_data!E5</f>
        <v>69.23</v>
      </c>
      <c r="F5">
        <f>raw_data!F5</f>
        <v>14.72</v>
      </c>
      <c r="G5">
        <f>raw_data!G5</f>
        <v>28.18</v>
      </c>
      <c r="H5">
        <f>(raw_data!D5*weights!$B$2)+(raw_data!E5*weights!$B$3)+(raw_data!F5*weights!$B$4)</f>
        <v>28.177000000000003</v>
      </c>
      <c r="I5" t="str">
        <f t="shared" si="0"/>
        <v>Moderate</v>
      </c>
      <c r="J5" t="str">
        <f t="shared" si="1"/>
        <v>2009 Q4</v>
      </c>
      <c r="K5">
        <f>raw_data!H5</f>
        <v>2.99</v>
      </c>
      <c r="L5" s="13">
        <f>raw_data!I5</f>
        <v>20.77</v>
      </c>
      <c r="M5" s="13">
        <f>raw_data!J5</f>
        <v>4.41</v>
      </c>
    </row>
    <row r="6" spans="1:13" x14ac:dyDescent="0.2">
      <c r="A6" t="str">
        <f>raw_data!A6</f>
        <v>2009Q4</v>
      </c>
      <c r="B6" t="str">
        <f>raw_data!B6</f>
        <v>New South Wales</v>
      </c>
      <c r="C6" t="str">
        <f>raw_data!C6</f>
        <v>Manufacturing</v>
      </c>
      <c r="D6">
        <f>raw_data!D6</f>
        <v>7.08</v>
      </c>
      <c r="E6">
        <f>raw_data!E6</f>
        <v>32.69</v>
      </c>
      <c r="F6">
        <f>raw_data!F6</f>
        <v>2.52</v>
      </c>
      <c r="G6">
        <f>raw_data!G6</f>
        <v>13.4</v>
      </c>
      <c r="H6">
        <f>(raw_data!D6*weights!$B$2)+(raw_data!E6*weights!$B$3)+(raw_data!F6*weights!$B$4)</f>
        <v>13.395</v>
      </c>
      <c r="I6" t="str">
        <f t="shared" si="0"/>
        <v>Low</v>
      </c>
      <c r="J6" t="str">
        <f t="shared" si="1"/>
        <v>2009 Q4</v>
      </c>
      <c r="K6">
        <f>raw_data!H6</f>
        <v>2.83</v>
      </c>
      <c r="L6" s="13">
        <f>raw_data!I6</f>
        <v>9.81</v>
      </c>
      <c r="M6" s="13">
        <f>raw_data!J6</f>
        <v>0.76</v>
      </c>
    </row>
    <row r="7" spans="1:13" x14ac:dyDescent="0.2">
      <c r="A7" t="str">
        <f>raw_data!A7</f>
        <v>2009Q4</v>
      </c>
      <c r="B7" t="str">
        <f>raw_data!B7</f>
        <v>New South Wales</v>
      </c>
      <c r="C7" t="str">
        <f>raw_data!C7</f>
        <v>Professional, Scientific and Technical Services</v>
      </c>
      <c r="D7">
        <f>raw_data!D7</f>
        <v>13.19</v>
      </c>
      <c r="E7">
        <f>raw_data!E7</f>
        <v>48.08</v>
      </c>
      <c r="F7">
        <f>raw_data!F7</f>
        <v>5.89</v>
      </c>
      <c r="G7">
        <f>raw_data!G7</f>
        <v>21.46</v>
      </c>
      <c r="H7">
        <f>(raw_data!D7*weights!$B$2)+(raw_data!E7*weights!$B$3)+(raw_data!F7*weights!$B$4)</f>
        <v>21.466999999999999</v>
      </c>
      <c r="I7" t="str">
        <f t="shared" si="0"/>
        <v>Low</v>
      </c>
      <c r="J7" t="str">
        <f t="shared" si="1"/>
        <v>2009 Q4</v>
      </c>
      <c r="K7">
        <f>raw_data!H7</f>
        <v>5.28</v>
      </c>
      <c r="L7" s="13">
        <f>raw_data!I7</f>
        <v>14.42</v>
      </c>
      <c r="M7" s="13">
        <f>raw_data!J7</f>
        <v>1.77</v>
      </c>
    </row>
    <row r="8" spans="1:13" x14ac:dyDescent="0.2">
      <c r="A8" t="str">
        <f>raw_data!A8</f>
        <v>2009Q4</v>
      </c>
      <c r="B8" t="str">
        <f>raw_data!B8</f>
        <v>Queensland</v>
      </c>
      <c r="C8" t="str">
        <f>raw_data!C8</f>
        <v>Accommodation and Food Services</v>
      </c>
      <c r="D8">
        <f>raw_data!D8</f>
        <v>39.1</v>
      </c>
      <c r="E8">
        <f>raw_data!E8</f>
        <v>30.77</v>
      </c>
      <c r="F8">
        <f>raw_data!F8</f>
        <v>7.98</v>
      </c>
      <c r="G8">
        <f>raw_data!G8</f>
        <v>27.26</v>
      </c>
      <c r="H8">
        <f>(raw_data!D8*weights!$B$2)+(raw_data!E8*weights!$B$3)+(raw_data!F8*weights!$B$4)</f>
        <v>27.265000000000001</v>
      </c>
      <c r="I8" t="str">
        <f t="shared" si="0"/>
        <v>Moderate</v>
      </c>
      <c r="J8" t="str">
        <f t="shared" si="1"/>
        <v>2009 Q4</v>
      </c>
      <c r="K8">
        <f>raw_data!H8</f>
        <v>15.64</v>
      </c>
      <c r="L8" s="13">
        <f>raw_data!I8</f>
        <v>9.23</v>
      </c>
      <c r="M8" s="13">
        <f>raw_data!J8</f>
        <v>2.39</v>
      </c>
    </row>
    <row r="9" spans="1:13" x14ac:dyDescent="0.2">
      <c r="A9" t="str">
        <f>raw_data!A9</f>
        <v>2009Q4</v>
      </c>
      <c r="B9" t="str">
        <f>raw_data!B9</f>
        <v>Queensland</v>
      </c>
      <c r="C9" t="str">
        <f>raw_data!C9</f>
        <v>Construction</v>
      </c>
      <c r="D9">
        <f>raw_data!D9</f>
        <v>12.16</v>
      </c>
      <c r="E9">
        <f>raw_data!E9</f>
        <v>59.62</v>
      </c>
      <c r="F9">
        <f>raw_data!F9</f>
        <v>5</v>
      </c>
      <c r="G9">
        <f>raw_data!G9</f>
        <v>24.25</v>
      </c>
      <c r="H9">
        <f>(raw_data!D9*weights!$B$2)+(raw_data!E9*weights!$B$3)+(raw_data!F9*weights!$B$4)</f>
        <v>24.25</v>
      </c>
      <c r="I9" t="str">
        <f t="shared" si="0"/>
        <v>Low</v>
      </c>
      <c r="J9" t="str">
        <f t="shared" si="1"/>
        <v>2009 Q4</v>
      </c>
      <c r="K9">
        <f>raw_data!H9</f>
        <v>4.8600000000000003</v>
      </c>
      <c r="L9" s="13">
        <f>raw_data!I9</f>
        <v>17.88</v>
      </c>
      <c r="M9" s="13">
        <f>raw_data!J9</f>
        <v>1.5</v>
      </c>
    </row>
    <row r="10" spans="1:13" x14ac:dyDescent="0.2">
      <c r="A10" t="str">
        <f>raw_data!A10</f>
        <v>2009Q4</v>
      </c>
      <c r="B10" t="str">
        <f>raw_data!B10</f>
        <v>Queensland</v>
      </c>
      <c r="C10" t="str">
        <f>raw_data!C10</f>
        <v>Education and Training</v>
      </c>
      <c r="D10">
        <f>raw_data!D10</f>
        <v>3.83</v>
      </c>
      <c r="E10">
        <f>raw_data!E10</f>
        <v>69.23</v>
      </c>
      <c r="F10">
        <f>raw_data!F10</f>
        <v>5.93</v>
      </c>
      <c r="G10">
        <f>raw_data!G10</f>
        <v>24.08</v>
      </c>
      <c r="H10">
        <f>(raw_data!D10*weights!$B$2)+(raw_data!E10*weights!$B$3)+(raw_data!F10*weights!$B$4)</f>
        <v>24.080000000000002</v>
      </c>
      <c r="I10" t="str">
        <f t="shared" si="0"/>
        <v>Low</v>
      </c>
      <c r="J10" t="str">
        <f t="shared" si="1"/>
        <v>2009 Q4</v>
      </c>
      <c r="K10">
        <f>raw_data!H10</f>
        <v>1.53</v>
      </c>
      <c r="L10" s="13">
        <f>raw_data!I10</f>
        <v>20.77</v>
      </c>
      <c r="M10" s="13">
        <f>raw_data!J10</f>
        <v>1.78</v>
      </c>
    </row>
    <row r="11" spans="1:13" x14ac:dyDescent="0.2">
      <c r="A11" t="str">
        <f>raw_data!A11</f>
        <v>2009Q4</v>
      </c>
      <c r="B11" t="str">
        <f>raw_data!B11</f>
        <v>Queensland</v>
      </c>
      <c r="C11" t="str">
        <f>raw_data!C11</f>
        <v>Health Care and Social Assistance</v>
      </c>
      <c r="D11">
        <f>raw_data!D11</f>
        <v>13.56</v>
      </c>
      <c r="E11">
        <f>raw_data!E11</f>
        <v>69.23</v>
      </c>
      <c r="F11">
        <f>raw_data!F11</f>
        <v>9.48</v>
      </c>
      <c r="G11">
        <f>raw_data!G11</f>
        <v>29.04</v>
      </c>
      <c r="H11">
        <f>(raw_data!D11*weights!$B$2)+(raw_data!E11*weights!$B$3)+(raw_data!F11*weights!$B$4)</f>
        <v>29.037000000000003</v>
      </c>
      <c r="I11" t="str">
        <f t="shared" si="0"/>
        <v>Moderate</v>
      </c>
      <c r="J11" t="str">
        <f t="shared" si="1"/>
        <v>2009 Q4</v>
      </c>
      <c r="K11">
        <f>raw_data!H11</f>
        <v>5.42</v>
      </c>
      <c r="L11" s="13">
        <f>raw_data!I11</f>
        <v>20.77</v>
      </c>
      <c r="M11" s="13">
        <f>raw_data!J11</f>
        <v>2.84</v>
      </c>
    </row>
    <row r="12" spans="1:13" x14ac:dyDescent="0.2">
      <c r="A12" t="str">
        <f>raw_data!A12</f>
        <v>2009Q4</v>
      </c>
      <c r="B12" t="str">
        <f>raw_data!B12</f>
        <v>Queensland</v>
      </c>
      <c r="C12" t="str">
        <f>raw_data!C12</f>
        <v>Manufacturing</v>
      </c>
      <c r="D12">
        <f>raw_data!D12</f>
        <v>13.34</v>
      </c>
      <c r="E12">
        <f>raw_data!E12</f>
        <v>32.69</v>
      </c>
      <c r="F12">
        <f>raw_data!F12</f>
        <v>6.59</v>
      </c>
      <c r="G12">
        <f>raw_data!G12</f>
        <v>17.12</v>
      </c>
      <c r="H12">
        <f>(raw_data!D12*weights!$B$2)+(raw_data!E12*weights!$B$3)+(raw_data!F12*weights!$B$4)</f>
        <v>17.119999999999997</v>
      </c>
      <c r="I12" t="str">
        <f t="shared" si="0"/>
        <v>Low</v>
      </c>
      <c r="J12" t="str">
        <f t="shared" si="1"/>
        <v>2009 Q4</v>
      </c>
      <c r="K12">
        <f>raw_data!H12</f>
        <v>5.33</v>
      </c>
      <c r="L12" s="13">
        <f>raw_data!I12</f>
        <v>9.81</v>
      </c>
      <c r="M12" s="13">
        <f>raw_data!J12</f>
        <v>1.98</v>
      </c>
    </row>
    <row r="13" spans="1:13" x14ac:dyDescent="0.2">
      <c r="A13" t="str">
        <f>raw_data!A13</f>
        <v>2009Q4</v>
      </c>
      <c r="B13" t="str">
        <f>raw_data!B13</f>
        <v>Queensland</v>
      </c>
      <c r="C13" t="str">
        <f>raw_data!C13</f>
        <v>Professional, Scientific and Technical Services</v>
      </c>
      <c r="D13">
        <f>raw_data!D13</f>
        <v>25.88</v>
      </c>
      <c r="E13">
        <f>raw_data!E13</f>
        <v>48.08</v>
      </c>
      <c r="F13">
        <f>raw_data!F13</f>
        <v>20.74</v>
      </c>
      <c r="G13">
        <f>raw_data!G13</f>
        <v>31</v>
      </c>
      <c r="H13">
        <f>(raw_data!D13*weights!$B$2)+(raw_data!E13*weights!$B$3)+(raw_data!F13*weights!$B$4)</f>
        <v>30.997999999999998</v>
      </c>
      <c r="I13" t="str">
        <f t="shared" si="0"/>
        <v>Moderate</v>
      </c>
      <c r="J13" t="str">
        <f t="shared" si="1"/>
        <v>2009 Q4</v>
      </c>
      <c r="K13">
        <f>raw_data!H13</f>
        <v>10.35</v>
      </c>
      <c r="L13" s="13">
        <f>raw_data!I13</f>
        <v>14.42</v>
      </c>
      <c r="M13" s="13">
        <f>raw_data!J13</f>
        <v>6.22</v>
      </c>
    </row>
    <row r="14" spans="1:13" x14ac:dyDescent="0.2">
      <c r="A14" t="str">
        <f>raw_data!A14</f>
        <v>2009Q4</v>
      </c>
      <c r="B14" t="str">
        <f>raw_data!B14</f>
        <v>Victoria</v>
      </c>
      <c r="C14" t="str">
        <f>raw_data!C14</f>
        <v>Accommodation and Food Services</v>
      </c>
      <c r="D14">
        <f>raw_data!D14</f>
        <v>34.200000000000003</v>
      </c>
      <c r="E14">
        <f>raw_data!E14</f>
        <v>30.77</v>
      </c>
      <c r="F14">
        <f>raw_data!F14</f>
        <v>8.94</v>
      </c>
      <c r="G14">
        <f>raw_data!G14</f>
        <v>25.59</v>
      </c>
      <c r="H14">
        <f>(raw_data!D14*weights!$B$2)+(raw_data!E14*weights!$B$3)+(raw_data!F14*weights!$B$4)</f>
        <v>25.593</v>
      </c>
      <c r="I14" t="str">
        <f t="shared" si="0"/>
        <v>Moderate</v>
      </c>
      <c r="J14" t="str">
        <f t="shared" si="1"/>
        <v>2009 Q4</v>
      </c>
      <c r="K14">
        <f>raw_data!H14</f>
        <v>13.68</v>
      </c>
      <c r="L14" s="13">
        <f>raw_data!I14</f>
        <v>9.23</v>
      </c>
      <c r="M14" s="13">
        <f>raw_data!J14</f>
        <v>2.68</v>
      </c>
    </row>
    <row r="15" spans="1:13" x14ac:dyDescent="0.2">
      <c r="A15" t="str">
        <f>raw_data!A15</f>
        <v>2009Q4</v>
      </c>
      <c r="B15" t="str">
        <f>raw_data!B15</f>
        <v>Victoria</v>
      </c>
      <c r="C15" t="str">
        <f>raw_data!C15</f>
        <v>Construction</v>
      </c>
      <c r="D15">
        <f>raw_data!D15</f>
        <v>13.12</v>
      </c>
      <c r="E15">
        <f>raw_data!E15</f>
        <v>59.62</v>
      </c>
      <c r="F15">
        <f>raw_data!F15</f>
        <v>8.23</v>
      </c>
      <c r="G15">
        <f>raw_data!G15</f>
        <v>25.6</v>
      </c>
      <c r="H15">
        <f>(raw_data!D15*weights!$B$2)+(raw_data!E15*weights!$B$3)+(raw_data!F15*weights!$B$4)</f>
        <v>25.603000000000002</v>
      </c>
      <c r="I15" t="str">
        <f t="shared" si="0"/>
        <v>Moderate</v>
      </c>
      <c r="J15" t="str">
        <f t="shared" si="1"/>
        <v>2009 Q4</v>
      </c>
      <c r="K15">
        <f>raw_data!H15</f>
        <v>5.25</v>
      </c>
      <c r="L15" s="13">
        <f>raw_data!I15</f>
        <v>17.88</v>
      </c>
      <c r="M15" s="13">
        <f>raw_data!J15</f>
        <v>2.4700000000000002</v>
      </c>
    </row>
    <row r="16" spans="1:13" x14ac:dyDescent="0.2">
      <c r="A16" t="str">
        <f>raw_data!A16</f>
        <v>2009Q4</v>
      </c>
      <c r="B16" t="str">
        <f>raw_data!B16</f>
        <v>Victoria</v>
      </c>
      <c r="C16" t="str">
        <f>raw_data!C16</f>
        <v>Education and Training</v>
      </c>
      <c r="D16">
        <f>raw_data!D16</f>
        <v>2.31</v>
      </c>
      <c r="E16">
        <f>raw_data!E16</f>
        <v>69.23</v>
      </c>
      <c r="F16">
        <f>raw_data!F16</f>
        <v>5.0599999999999996</v>
      </c>
      <c r="G16">
        <f>raw_data!G16</f>
        <v>23.21</v>
      </c>
      <c r="H16">
        <f>(raw_data!D16*weights!$B$2)+(raw_data!E16*weights!$B$3)+(raw_data!F16*weights!$B$4)</f>
        <v>23.211000000000002</v>
      </c>
      <c r="I16" t="str">
        <f t="shared" si="0"/>
        <v>Low</v>
      </c>
      <c r="J16" t="str">
        <f t="shared" si="1"/>
        <v>2009 Q4</v>
      </c>
      <c r="K16">
        <f>raw_data!H16</f>
        <v>0.93</v>
      </c>
      <c r="L16" s="13">
        <f>raw_data!I16</f>
        <v>20.77</v>
      </c>
      <c r="M16" s="13">
        <f>raw_data!J16</f>
        <v>1.52</v>
      </c>
    </row>
    <row r="17" spans="1:13" x14ac:dyDescent="0.2">
      <c r="A17" t="str">
        <f>raw_data!A17</f>
        <v>2009Q4</v>
      </c>
      <c r="B17" t="str">
        <f>raw_data!B17</f>
        <v>Victoria</v>
      </c>
      <c r="C17" t="str">
        <f>raw_data!C17</f>
        <v>Health Care and Social Assistance</v>
      </c>
      <c r="D17">
        <f>raw_data!D17</f>
        <v>9.7100000000000009</v>
      </c>
      <c r="E17">
        <f>raw_data!E17</f>
        <v>69.23</v>
      </c>
      <c r="F17">
        <f>raw_data!F17</f>
        <v>22.98</v>
      </c>
      <c r="G17">
        <f>raw_data!G17</f>
        <v>31.55</v>
      </c>
      <c r="H17">
        <f>(raw_data!D17*weights!$B$2)+(raw_data!E17*weights!$B$3)+(raw_data!F17*weights!$B$4)</f>
        <v>31.547000000000004</v>
      </c>
      <c r="I17" t="str">
        <f t="shared" si="0"/>
        <v>Moderate</v>
      </c>
      <c r="J17" t="str">
        <f t="shared" si="1"/>
        <v>2009 Q4</v>
      </c>
      <c r="K17">
        <f>raw_data!H17</f>
        <v>3.89</v>
      </c>
      <c r="L17" s="13">
        <f>raw_data!I17</f>
        <v>20.77</v>
      </c>
      <c r="M17" s="13">
        <f>raw_data!J17</f>
        <v>6.89</v>
      </c>
    </row>
    <row r="18" spans="1:13" x14ac:dyDescent="0.2">
      <c r="A18" t="str">
        <f>raw_data!A18</f>
        <v>2009Q4</v>
      </c>
      <c r="B18" t="str">
        <f>raw_data!B18</f>
        <v>Victoria</v>
      </c>
      <c r="C18" t="str">
        <f>raw_data!C18</f>
        <v>Manufacturing</v>
      </c>
      <c r="D18">
        <f>raw_data!D18</f>
        <v>7.35</v>
      </c>
      <c r="E18">
        <f>raw_data!E18</f>
        <v>32.69</v>
      </c>
      <c r="F18">
        <f>raw_data!F18</f>
        <v>2.08</v>
      </c>
      <c r="G18">
        <f>raw_data!G18</f>
        <v>13.37</v>
      </c>
      <c r="H18">
        <f>(raw_data!D18*weights!$B$2)+(raw_data!E18*weights!$B$3)+(raw_data!F18*weights!$B$4)</f>
        <v>13.370999999999999</v>
      </c>
      <c r="I18" t="str">
        <f t="shared" si="0"/>
        <v>Low</v>
      </c>
      <c r="J18" t="str">
        <f t="shared" si="1"/>
        <v>2009 Q4</v>
      </c>
      <c r="K18">
        <f>raw_data!H18</f>
        <v>2.94</v>
      </c>
      <c r="L18" s="13">
        <f>raw_data!I18</f>
        <v>9.81</v>
      </c>
      <c r="M18" s="13">
        <f>raw_data!J18</f>
        <v>0.63</v>
      </c>
    </row>
    <row r="19" spans="1:13" x14ac:dyDescent="0.2">
      <c r="A19" t="str">
        <f>raw_data!A19</f>
        <v>2009Q4</v>
      </c>
      <c r="B19" t="str">
        <f>raw_data!B19</f>
        <v>Victoria</v>
      </c>
      <c r="C19" t="str">
        <f>raw_data!C19</f>
        <v>Professional, Scientific and Technical Services</v>
      </c>
      <c r="D19">
        <f>raw_data!D19</f>
        <v>16.850000000000001</v>
      </c>
      <c r="E19">
        <f>raw_data!E19</f>
        <v>48.08</v>
      </c>
      <c r="F19">
        <f>raw_data!F19</f>
        <v>15.74</v>
      </c>
      <c r="G19">
        <f>raw_data!G19</f>
        <v>25.89</v>
      </c>
      <c r="H19">
        <f>(raw_data!D19*weights!$B$2)+(raw_data!E19*weights!$B$3)+(raw_data!F19*weights!$B$4)</f>
        <v>25.886000000000003</v>
      </c>
      <c r="I19" t="str">
        <f t="shared" si="0"/>
        <v>Moderate</v>
      </c>
      <c r="J19" t="str">
        <f t="shared" si="1"/>
        <v>2009 Q4</v>
      </c>
      <c r="K19">
        <f>raw_data!H19</f>
        <v>6.74</v>
      </c>
      <c r="L19" s="13">
        <f>raw_data!I19</f>
        <v>14.42</v>
      </c>
      <c r="M19" s="13">
        <f>raw_data!J19</f>
        <v>4.72</v>
      </c>
    </row>
    <row r="20" spans="1:13" x14ac:dyDescent="0.2">
      <c r="A20" t="str">
        <f>raw_data!A20</f>
        <v>2010Q1</v>
      </c>
      <c r="B20" t="str">
        <f>raw_data!B20</f>
        <v>New South Wales</v>
      </c>
      <c r="C20" t="str">
        <f>raw_data!C20</f>
        <v>Accommodation and Food Services</v>
      </c>
      <c r="D20">
        <f>raw_data!D20</f>
        <v>19.41</v>
      </c>
      <c r="E20">
        <f>raw_data!E20</f>
        <v>28.85</v>
      </c>
      <c r="F20">
        <f>raw_data!F20</f>
        <v>3.23</v>
      </c>
      <c r="G20">
        <f>raw_data!G20</f>
        <v>17.39</v>
      </c>
      <c r="H20">
        <f>(raw_data!D20*weights!$B$2)+(raw_data!E20*weights!$B$3)+(raw_data!F20*weights!$B$4)</f>
        <v>17.388000000000002</v>
      </c>
      <c r="I20" t="str">
        <f t="shared" si="0"/>
        <v>Low</v>
      </c>
      <c r="J20" t="str">
        <f t="shared" si="1"/>
        <v>2010 Q1</v>
      </c>
      <c r="K20">
        <f>raw_data!H20</f>
        <v>7.77</v>
      </c>
      <c r="L20" s="13">
        <f>raw_data!I20</f>
        <v>8.65</v>
      </c>
      <c r="M20" s="13">
        <f>raw_data!J20</f>
        <v>0.97</v>
      </c>
    </row>
    <row r="21" spans="1:13" x14ac:dyDescent="0.2">
      <c r="A21" t="str">
        <f>raw_data!A21</f>
        <v>2010Q1</v>
      </c>
      <c r="B21" t="str">
        <f>raw_data!B21</f>
        <v>New South Wales</v>
      </c>
      <c r="C21" t="str">
        <f>raw_data!C21</f>
        <v>Construction</v>
      </c>
      <c r="D21">
        <f>raw_data!D21</f>
        <v>11.19</v>
      </c>
      <c r="E21">
        <f>raw_data!E21</f>
        <v>51.92</v>
      </c>
      <c r="F21">
        <f>raw_data!F21</f>
        <v>5.33</v>
      </c>
      <c r="G21">
        <f>raw_data!G21</f>
        <v>21.65</v>
      </c>
      <c r="H21">
        <f>(raw_data!D21*weights!$B$2)+(raw_data!E21*weights!$B$3)+(raw_data!F21*weights!$B$4)</f>
        <v>21.651</v>
      </c>
      <c r="I21" t="str">
        <f t="shared" si="0"/>
        <v>Low</v>
      </c>
      <c r="J21" t="str">
        <f t="shared" si="1"/>
        <v>2010 Q1</v>
      </c>
      <c r="K21">
        <f>raw_data!H21</f>
        <v>4.4800000000000004</v>
      </c>
      <c r="L21" s="13">
        <f>raw_data!I21</f>
        <v>15.58</v>
      </c>
      <c r="M21" s="13">
        <f>raw_data!J21</f>
        <v>1.6</v>
      </c>
    </row>
    <row r="22" spans="1:13" x14ac:dyDescent="0.2">
      <c r="A22" t="str">
        <f>raw_data!A22</f>
        <v>2010Q1</v>
      </c>
      <c r="B22" t="str">
        <f>raw_data!B22</f>
        <v>New South Wales</v>
      </c>
      <c r="C22" t="str">
        <f>raw_data!C22</f>
        <v>Education and Training</v>
      </c>
      <c r="D22">
        <f>raw_data!D22</f>
        <v>2.72</v>
      </c>
      <c r="E22">
        <f>raw_data!E22</f>
        <v>76.92</v>
      </c>
      <c r="F22">
        <f>raw_data!F22</f>
        <v>2.4500000000000002</v>
      </c>
      <c r="G22">
        <f>raw_data!G22</f>
        <v>24.9</v>
      </c>
      <c r="H22">
        <f>(raw_data!D22*weights!$B$2)+(raw_data!E22*weights!$B$3)+(raw_data!F22*weights!$B$4)</f>
        <v>24.899000000000001</v>
      </c>
      <c r="I22" t="str">
        <f t="shared" si="0"/>
        <v>Low</v>
      </c>
      <c r="J22" t="str">
        <f t="shared" si="1"/>
        <v>2010 Q1</v>
      </c>
      <c r="K22">
        <f>raw_data!H22</f>
        <v>1.0900000000000001</v>
      </c>
      <c r="L22" s="13">
        <f>raw_data!I22</f>
        <v>23.08</v>
      </c>
      <c r="M22" s="13">
        <f>raw_data!J22</f>
        <v>0.73</v>
      </c>
    </row>
    <row r="23" spans="1:13" x14ac:dyDescent="0.2">
      <c r="A23" t="str">
        <f>raw_data!A23</f>
        <v>2010Q1</v>
      </c>
      <c r="B23" t="str">
        <f>raw_data!B23</f>
        <v>New South Wales</v>
      </c>
      <c r="C23" t="str">
        <f>raw_data!C23</f>
        <v>Health Care and Social Assistance</v>
      </c>
      <c r="D23">
        <f>raw_data!D23</f>
        <v>6.74</v>
      </c>
      <c r="E23">
        <f>raw_data!E23</f>
        <v>67.31</v>
      </c>
      <c r="F23">
        <f>raw_data!F23</f>
        <v>9.07</v>
      </c>
      <c r="G23">
        <f>raw_data!G23</f>
        <v>25.61</v>
      </c>
      <c r="H23">
        <f>(raw_data!D23*weights!$B$2)+(raw_data!E23*weights!$B$3)+(raw_data!F23*weights!$B$4)</f>
        <v>25.610000000000003</v>
      </c>
      <c r="I23" t="str">
        <f t="shared" si="0"/>
        <v>Moderate</v>
      </c>
      <c r="J23" t="str">
        <f t="shared" si="1"/>
        <v>2010 Q1</v>
      </c>
      <c r="K23">
        <f>raw_data!H23</f>
        <v>2.69</v>
      </c>
      <c r="L23" s="13">
        <f>raw_data!I23</f>
        <v>20.190000000000001</v>
      </c>
      <c r="M23" s="13">
        <f>raw_data!J23</f>
        <v>2.72</v>
      </c>
    </row>
    <row r="24" spans="1:13" x14ac:dyDescent="0.2">
      <c r="A24" t="str">
        <f>raw_data!A24</f>
        <v>2010Q1</v>
      </c>
      <c r="B24" t="str">
        <f>raw_data!B24</f>
        <v>New South Wales</v>
      </c>
      <c r="C24" t="str">
        <f>raw_data!C24</f>
        <v>Manufacturing</v>
      </c>
      <c r="D24">
        <f>raw_data!D24</f>
        <v>9.3699999999999992</v>
      </c>
      <c r="E24">
        <f>raw_data!E24</f>
        <v>34.619999999999997</v>
      </c>
      <c r="F24">
        <f>raw_data!F24</f>
        <v>3.66</v>
      </c>
      <c r="G24">
        <f>raw_data!G24</f>
        <v>15.23</v>
      </c>
      <c r="H24">
        <f>(raw_data!D24*weights!$B$2)+(raw_data!E24*weights!$B$3)+(raw_data!F24*weights!$B$4)</f>
        <v>15.231999999999999</v>
      </c>
      <c r="I24" t="str">
        <f t="shared" si="0"/>
        <v>Low</v>
      </c>
      <c r="J24" t="str">
        <f t="shared" si="1"/>
        <v>2010 Q1</v>
      </c>
      <c r="K24">
        <f>raw_data!H24</f>
        <v>3.75</v>
      </c>
      <c r="L24" s="13">
        <f>raw_data!I24</f>
        <v>10.38</v>
      </c>
      <c r="M24" s="13">
        <f>raw_data!J24</f>
        <v>1.1000000000000001</v>
      </c>
    </row>
    <row r="25" spans="1:13" x14ac:dyDescent="0.2">
      <c r="A25" t="str">
        <f>raw_data!A25</f>
        <v>2010Q1</v>
      </c>
      <c r="B25" t="str">
        <f>raw_data!B25</f>
        <v>New South Wales</v>
      </c>
      <c r="C25" t="str">
        <f>raw_data!C25</f>
        <v>Professional, Scientific and Technical Services</v>
      </c>
      <c r="D25">
        <f>raw_data!D25</f>
        <v>16.059999999999999</v>
      </c>
      <c r="E25">
        <f>raw_data!E25</f>
        <v>50</v>
      </c>
      <c r="F25">
        <f>raw_data!F25</f>
        <v>8.8699999999999992</v>
      </c>
      <c r="G25">
        <f>raw_data!G25</f>
        <v>24.08</v>
      </c>
      <c r="H25">
        <f>(raw_data!D25*weights!$B$2)+(raw_data!E25*weights!$B$3)+(raw_data!F25*weights!$B$4)</f>
        <v>24.085000000000001</v>
      </c>
      <c r="I25" t="str">
        <f t="shared" si="0"/>
        <v>Low</v>
      </c>
      <c r="J25" t="str">
        <f t="shared" si="1"/>
        <v>2010 Q1</v>
      </c>
      <c r="K25">
        <f>raw_data!H25</f>
        <v>6.42</v>
      </c>
      <c r="L25" s="13">
        <f>raw_data!I25</f>
        <v>15</v>
      </c>
      <c r="M25" s="13">
        <f>raw_data!J25</f>
        <v>2.66</v>
      </c>
    </row>
    <row r="26" spans="1:13" x14ac:dyDescent="0.2">
      <c r="A26" t="str">
        <f>raw_data!A26</f>
        <v>2010Q1</v>
      </c>
      <c r="B26" t="str">
        <f>raw_data!B26</f>
        <v>Queensland</v>
      </c>
      <c r="C26" t="str">
        <f>raw_data!C26</f>
        <v>Accommodation and Food Services</v>
      </c>
      <c r="D26">
        <f>raw_data!D26</f>
        <v>30.6</v>
      </c>
      <c r="E26">
        <f>raw_data!E26</f>
        <v>28.85</v>
      </c>
      <c r="F26">
        <f>raw_data!F26</f>
        <v>4.9000000000000004</v>
      </c>
      <c r="G26">
        <f>raw_data!G26</f>
        <v>22.36</v>
      </c>
      <c r="H26">
        <f>(raw_data!D26*weights!$B$2)+(raw_data!E26*weights!$B$3)+(raw_data!F26*weights!$B$4)</f>
        <v>22.365000000000002</v>
      </c>
      <c r="I26" t="str">
        <f t="shared" si="0"/>
        <v>Low</v>
      </c>
      <c r="J26" t="str">
        <f t="shared" si="1"/>
        <v>2010 Q1</v>
      </c>
      <c r="K26">
        <f>raw_data!H26</f>
        <v>12.24</v>
      </c>
      <c r="L26" s="13">
        <f>raw_data!I26</f>
        <v>8.65</v>
      </c>
      <c r="M26" s="13">
        <f>raw_data!J26</f>
        <v>1.47</v>
      </c>
    </row>
    <row r="27" spans="1:13" x14ac:dyDescent="0.2">
      <c r="A27" t="str">
        <f>raw_data!A27</f>
        <v>2010Q1</v>
      </c>
      <c r="B27" t="str">
        <f>raw_data!B27</f>
        <v>Queensland</v>
      </c>
      <c r="C27" t="str">
        <f>raw_data!C27</f>
        <v>Construction</v>
      </c>
      <c r="D27">
        <f>raw_data!D27</f>
        <v>14.48</v>
      </c>
      <c r="E27">
        <f>raw_data!E27</f>
        <v>51.92</v>
      </c>
      <c r="F27">
        <f>raw_data!F27</f>
        <v>4.5999999999999996</v>
      </c>
      <c r="G27">
        <f>raw_data!G27</f>
        <v>22.75</v>
      </c>
      <c r="H27">
        <f>(raw_data!D27*weights!$B$2)+(raw_data!E27*weights!$B$3)+(raw_data!F27*weights!$B$4)</f>
        <v>22.748000000000001</v>
      </c>
      <c r="I27" t="str">
        <f t="shared" si="0"/>
        <v>Low</v>
      </c>
      <c r="J27" t="str">
        <f t="shared" si="1"/>
        <v>2010 Q1</v>
      </c>
      <c r="K27">
        <f>raw_data!H27</f>
        <v>5.79</v>
      </c>
      <c r="L27" s="13">
        <f>raw_data!I27</f>
        <v>15.58</v>
      </c>
      <c r="M27" s="13">
        <f>raw_data!J27</f>
        <v>1.38</v>
      </c>
    </row>
    <row r="28" spans="1:13" x14ac:dyDescent="0.2">
      <c r="A28" t="str">
        <f>raw_data!A28</f>
        <v>2010Q1</v>
      </c>
      <c r="B28" t="str">
        <f>raw_data!B28</f>
        <v>Queensland</v>
      </c>
      <c r="C28" t="str">
        <f>raw_data!C28</f>
        <v>Education and Training</v>
      </c>
      <c r="D28">
        <f>raw_data!D28</f>
        <v>5.15</v>
      </c>
      <c r="E28">
        <f>raw_data!E28</f>
        <v>76.92</v>
      </c>
      <c r="F28">
        <f>raw_data!F28</f>
        <v>2.2200000000000002</v>
      </c>
      <c r="G28">
        <f>raw_data!G28</f>
        <v>25.8</v>
      </c>
      <c r="H28">
        <f>(raw_data!D28*weights!$B$2)+(raw_data!E28*weights!$B$3)+(raw_data!F28*weights!$B$4)</f>
        <v>25.802</v>
      </c>
      <c r="I28" t="str">
        <f t="shared" si="0"/>
        <v>Moderate</v>
      </c>
      <c r="J28" t="str">
        <f t="shared" si="1"/>
        <v>2010 Q1</v>
      </c>
      <c r="K28">
        <f>raw_data!H28</f>
        <v>2.06</v>
      </c>
      <c r="L28" s="13">
        <f>raw_data!I28</f>
        <v>23.08</v>
      </c>
      <c r="M28" s="13">
        <f>raw_data!J28</f>
        <v>0.67</v>
      </c>
    </row>
    <row r="29" spans="1:13" x14ac:dyDescent="0.2">
      <c r="A29" t="str">
        <f>raw_data!A29</f>
        <v>2010Q1</v>
      </c>
      <c r="B29" t="str">
        <f>raw_data!B29</f>
        <v>Queensland</v>
      </c>
      <c r="C29" t="str">
        <f>raw_data!C29</f>
        <v>Health Care and Social Assistance</v>
      </c>
      <c r="D29">
        <f>raw_data!D29</f>
        <v>12.16</v>
      </c>
      <c r="E29">
        <f>raw_data!E29</f>
        <v>67.31</v>
      </c>
      <c r="F29">
        <f>raw_data!F29</f>
        <v>16.11</v>
      </c>
      <c r="G29">
        <f>raw_data!G29</f>
        <v>29.89</v>
      </c>
      <c r="H29">
        <f>(raw_data!D29*weights!$B$2)+(raw_data!E29*weights!$B$3)+(raw_data!F29*weights!$B$4)</f>
        <v>29.89</v>
      </c>
      <c r="I29" t="str">
        <f t="shared" si="0"/>
        <v>Moderate</v>
      </c>
      <c r="J29" t="str">
        <f t="shared" si="1"/>
        <v>2010 Q1</v>
      </c>
      <c r="K29">
        <f>raw_data!H29</f>
        <v>4.87</v>
      </c>
      <c r="L29" s="13">
        <f>raw_data!I29</f>
        <v>20.190000000000001</v>
      </c>
      <c r="M29" s="13">
        <f>raw_data!J29</f>
        <v>4.83</v>
      </c>
    </row>
    <row r="30" spans="1:13" x14ac:dyDescent="0.2">
      <c r="A30" t="str">
        <f>raw_data!A30</f>
        <v>2010Q1</v>
      </c>
      <c r="B30" t="str">
        <f>raw_data!B30</f>
        <v>Queensland</v>
      </c>
      <c r="C30" t="str">
        <f>raw_data!C30</f>
        <v>Manufacturing</v>
      </c>
      <c r="D30">
        <f>raw_data!D30</f>
        <v>17.95</v>
      </c>
      <c r="E30">
        <f>raw_data!E30</f>
        <v>34.619999999999997</v>
      </c>
      <c r="F30">
        <f>raw_data!F30</f>
        <v>5.78</v>
      </c>
      <c r="G30">
        <f>raw_data!G30</f>
        <v>19.3</v>
      </c>
      <c r="H30">
        <f>(raw_data!D30*weights!$B$2)+(raw_data!E30*weights!$B$3)+(raw_data!F30*weights!$B$4)</f>
        <v>19.299999999999997</v>
      </c>
      <c r="I30" t="str">
        <f t="shared" si="0"/>
        <v>Low</v>
      </c>
      <c r="J30" t="str">
        <f t="shared" si="1"/>
        <v>2010 Q1</v>
      </c>
      <c r="K30">
        <f>raw_data!H30</f>
        <v>7.18</v>
      </c>
      <c r="L30" s="13">
        <f>raw_data!I30</f>
        <v>10.38</v>
      </c>
      <c r="M30" s="13">
        <f>raw_data!J30</f>
        <v>1.73</v>
      </c>
    </row>
    <row r="31" spans="1:13" x14ac:dyDescent="0.2">
      <c r="A31" t="str">
        <f>raw_data!A31</f>
        <v>2010Q1</v>
      </c>
      <c r="B31" t="str">
        <f>raw_data!B31</f>
        <v>Queensland</v>
      </c>
      <c r="C31" t="str">
        <f>raw_data!C31</f>
        <v>Professional, Scientific and Technical Services</v>
      </c>
      <c r="D31">
        <f>raw_data!D31</f>
        <v>33.82</v>
      </c>
      <c r="E31">
        <f>raw_data!E31</f>
        <v>50</v>
      </c>
      <c r="F31">
        <f>raw_data!F31</f>
        <v>20.43</v>
      </c>
      <c r="G31">
        <f>raw_data!G31</f>
        <v>34.659999999999997</v>
      </c>
      <c r="H31">
        <f>(raw_data!D31*weights!$B$2)+(raw_data!E31*weights!$B$3)+(raw_data!F31*weights!$B$4)</f>
        <v>34.656999999999996</v>
      </c>
      <c r="I31" t="str">
        <f t="shared" si="0"/>
        <v>Moderate</v>
      </c>
      <c r="J31" t="str">
        <f t="shared" si="1"/>
        <v>2010 Q1</v>
      </c>
      <c r="K31">
        <f>raw_data!H31</f>
        <v>13.53</v>
      </c>
      <c r="L31" s="13">
        <f>raw_data!I31</f>
        <v>15</v>
      </c>
      <c r="M31" s="13">
        <f>raw_data!J31</f>
        <v>6.13</v>
      </c>
    </row>
    <row r="32" spans="1:13" x14ac:dyDescent="0.2">
      <c r="A32" t="str">
        <f>raw_data!A32</f>
        <v>2010Q1</v>
      </c>
      <c r="B32" t="str">
        <f>raw_data!B32</f>
        <v>Victoria</v>
      </c>
      <c r="C32" t="str">
        <f>raw_data!C32</f>
        <v>Accommodation and Food Services</v>
      </c>
      <c r="D32">
        <f>raw_data!D32</f>
        <v>24.51</v>
      </c>
      <c r="E32">
        <f>raw_data!E32</f>
        <v>28.85</v>
      </c>
      <c r="F32">
        <f>raw_data!F32</f>
        <v>6.47</v>
      </c>
      <c r="G32">
        <f>raw_data!G32</f>
        <v>20.399999999999999</v>
      </c>
      <c r="H32">
        <f>(raw_data!D32*weights!$B$2)+(raw_data!E32*weights!$B$3)+(raw_data!F32*weights!$B$4)</f>
        <v>20.400000000000002</v>
      </c>
      <c r="I32" t="str">
        <f t="shared" si="0"/>
        <v>Low</v>
      </c>
      <c r="J32" t="str">
        <f t="shared" si="1"/>
        <v>2010 Q1</v>
      </c>
      <c r="K32">
        <f>raw_data!H32</f>
        <v>9.8000000000000007</v>
      </c>
      <c r="L32" s="13">
        <f>raw_data!I32</f>
        <v>8.65</v>
      </c>
      <c r="M32" s="13">
        <f>raw_data!J32</f>
        <v>1.94</v>
      </c>
    </row>
    <row r="33" spans="1:13" x14ac:dyDescent="0.2">
      <c r="A33" t="str">
        <f>raw_data!A33</f>
        <v>2010Q1</v>
      </c>
      <c r="B33" t="str">
        <f>raw_data!B33</f>
        <v>Victoria</v>
      </c>
      <c r="C33" t="str">
        <f>raw_data!C33</f>
        <v>Construction</v>
      </c>
      <c r="D33">
        <f>raw_data!D33</f>
        <v>13.9</v>
      </c>
      <c r="E33">
        <f>raw_data!E33</f>
        <v>51.92</v>
      </c>
      <c r="F33">
        <f>raw_data!F33</f>
        <v>9.6</v>
      </c>
      <c r="G33">
        <f>raw_data!G33</f>
        <v>24.02</v>
      </c>
      <c r="H33">
        <f>(raw_data!D33*weights!$B$2)+(raw_data!E33*weights!$B$3)+(raw_data!F33*weights!$B$4)</f>
        <v>24.016000000000002</v>
      </c>
      <c r="I33" t="str">
        <f t="shared" si="0"/>
        <v>Low</v>
      </c>
      <c r="J33" t="str">
        <f t="shared" si="1"/>
        <v>2010 Q1</v>
      </c>
      <c r="K33">
        <f>raw_data!H33</f>
        <v>5.56</v>
      </c>
      <c r="L33" s="13">
        <f>raw_data!I33</f>
        <v>15.58</v>
      </c>
      <c r="M33" s="13">
        <f>raw_data!J33</f>
        <v>2.88</v>
      </c>
    </row>
    <row r="34" spans="1:13" x14ac:dyDescent="0.2">
      <c r="A34" t="str">
        <f>raw_data!A34</f>
        <v>2010Q1</v>
      </c>
      <c r="B34" t="str">
        <f>raw_data!B34</f>
        <v>Victoria</v>
      </c>
      <c r="C34" t="str">
        <f>raw_data!C34</f>
        <v>Education and Training</v>
      </c>
      <c r="D34">
        <f>raw_data!D34</f>
        <v>3.34</v>
      </c>
      <c r="E34">
        <f>raw_data!E34</f>
        <v>76.92</v>
      </c>
      <c r="F34">
        <f>raw_data!F34</f>
        <v>3.36</v>
      </c>
      <c r="G34">
        <f>raw_data!G34</f>
        <v>25.42</v>
      </c>
      <c r="H34">
        <f>(raw_data!D34*weights!$B$2)+(raw_data!E34*weights!$B$3)+(raw_data!F34*weights!$B$4)</f>
        <v>25.419999999999998</v>
      </c>
      <c r="I34" t="str">
        <f t="shared" si="0"/>
        <v>Moderate</v>
      </c>
      <c r="J34" t="str">
        <f t="shared" si="1"/>
        <v>2010 Q1</v>
      </c>
      <c r="K34">
        <f>raw_data!H34</f>
        <v>1.34</v>
      </c>
      <c r="L34" s="13">
        <f>raw_data!I34</f>
        <v>23.08</v>
      </c>
      <c r="M34" s="13">
        <f>raw_data!J34</f>
        <v>1.01</v>
      </c>
    </row>
    <row r="35" spans="1:13" x14ac:dyDescent="0.2">
      <c r="A35" t="str">
        <f>raw_data!A35</f>
        <v>2010Q1</v>
      </c>
      <c r="B35" t="str">
        <f>raw_data!B35</f>
        <v>Victoria</v>
      </c>
      <c r="C35" t="str">
        <f>raw_data!C35</f>
        <v>Health Care and Social Assistance</v>
      </c>
      <c r="D35">
        <f>raw_data!D35</f>
        <v>8.98</v>
      </c>
      <c r="E35">
        <f>raw_data!E35</f>
        <v>67.31</v>
      </c>
      <c r="F35">
        <f>raw_data!F35</f>
        <v>8.99</v>
      </c>
      <c r="G35">
        <f>raw_data!G35</f>
        <v>26.48</v>
      </c>
      <c r="H35">
        <f>(raw_data!D35*weights!$B$2)+(raw_data!E35*weights!$B$3)+(raw_data!F35*weights!$B$4)</f>
        <v>26.482000000000003</v>
      </c>
      <c r="I35" t="str">
        <f t="shared" si="0"/>
        <v>Moderate</v>
      </c>
      <c r="J35" t="str">
        <f t="shared" si="1"/>
        <v>2010 Q1</v>
      </c>
      <c r="K35">
        <f>raw_data!H35</f>
        <v>3.59</v>
      </c>
      <c r="L35" s="13">
        <f>raw_data!I35</f>
        <v>20.190000000000001</v>
      </c>
      <c r="M35" s="13">
        <f>raw_data!J35</f>
        <v>2.7</v>
      </c>
    </row>
    <row r="36" spans="1:13" x14ac:dyDescent="0.2">
      <c r="A36" t="str">
        <f>raw_data!A36</f>
        <v>2010Q1</v>
      </c>
      <c r="B36" t="str">
        <f>raw_data!B36</f>
        <v>Victoria</v>
      </c>
      <c r="C36" t="str">
        <f>raw_data!C36</f>
        <v>Manufacturing</v>
      </c>
      <c r="D36">
        <f>raw_data!D36</f>
        <v>9.16</v>
      </c>
      <c r="E36">
        <f>raw_data!E36</f>
        <v>34.619999999999997</v>
      </c>
      <c r="F36">
        <f>raw_data!F36</f>
        <v>2.9</v>
      </c>
      <c r="G36">
        <f>raw_data!G36</f>
        <v>14.92</v>
      </c>
      <c r="H36">
        <f>(raw_data!D36*weights!$B$2)+(raw_data!E36*weights!$B$3)+(raw_data!F36*weights!$B$4)</f>
        <v>14.919999999999998</v>
      </c>
      <c r="I36" t="str">
        <f t="shared" si="0"/>
        <v>Low</v>
      </c>
      <c r="J36" t="str">
        <f t="shared" si="1"/>
        <v>2010 Q1</v>
      </c>
      <c r="K36">
        <f>raw_data!H36</f>
        <v>3.67</v>
      </c>
      <c r="L36" s="13">
        <f>raw_data!I36</f>
        <v>10.38</v>
      </c>
      <c r="M36" s="13">
        <f>raw_data!J36</f>
        <v>0.87</v>
      </c>
    </row>
    <row r="37" spans="1:13" x14ac:dyDescent="0.2">
      <c r="A37" t="str">
        <f>raw_data!A37</f>
        <v>2010Q1</v>
      </c>
      <c r="B37" t="str">
        <f>raw_data!B37</f>
        <v>Victoria</v>
      </c>
      <c r="C37" t="str">
        <f>raw_data!C37</f>
        <v>Professional, Scientific and Technical Services</v>
      </c>
      <c r="D37">
        <f>raw_data!D37</f>
        <v>22.71</v>
      </c>
      <c r="E37">
        <f>raw_data!E37</f>
        <v>50</v>
      </c>
      <c r="F37">
        <f>raw_data!F37</f>
        <v>12.12</v>
      </c>
      <c r="G37">
        <f>raw_data!G37</f>
        <v>27.72</v>
      </c>
      <c r="H37">
        <f>(raw_data!D37*weights!$B$2)+(raw_data!E37*weights!$B$3)+(raw_data!F37*weights!$B$4)</f>
        <v>27.720000000000002</v>
      </c>
      <c r="I37" t="str">
        <f t="shared" si="0"/>
        <v>Moderate</v>
      </c>
      <c r="J37" t="str">
        <f t="shared" si="1"/>
        <v>2010 Q1</v>
      </c>
      <c r="K37">
        <f>raw_data!H37</f>
        <v>9.08</v>
      </c>
      <c r="L37" s="13">
        <f>raw_data!I37</f>
        <v>15</v>
      </c>
      <c r="M37" s="13">
        <f>raw_data!J37</f>
        <v>3.64</v>
      </c>
    </row>
    <row r="38" spans="1:13" x14ac:dyDescent="0.2">
      <c r="A38" t="str">
        <f>raw_data!A38</f>
        <v>2010Q2</v>
      </c>
      <c r="B38" t="str">
        <f>raw_data!B38</f>
        <v>New South Wales</v>
      </c>
      <c r="C38" t="str">
        <f>raw_data!C38</f>
        <v>Accommodation and Food Services</v>
      </c>
      <c r="D38">
        <f>raw_data!D38</f>
        <v>10.130000000000001</v>
      </c>
      <c r="E38">
        <f>raw_data!E38</f>
        <v>32.69</v>
      </c>
      <c r="F38">
        <f>raw_data!F38</f>
        <v>1.59</v>
      </c>
      <c r="G38">
        <f>raw_data!G38</f>
        <v>14.34</v>
      </c>
      <c r="H38">
        <f>(raw_data!D38*weights!$B$2)+(raw_data!E38*weights!$B$3)+(raw_data!F38*weights!$B$4)</f>
        <v>14.335999999999999</v>
      </c>
      <c r="I38" t="str">
        <f t="shared" si="0"/>
        <v>Low</v>
      </c>
      <c r="J38" t="str">
        <f t="shared" si="1"/>
        <v>2010 Q2</v>
      </c>
      <c r="K38">
        <f>raw_data!H38</f>
        <v>4.05</v>
      </c>
      <c r="L38" s="13">
        <f>raw_data!I38</f>
        <v>9.81</v>
      </c>
      <c r="M38" s="13">
        <f>raw_data!J38</f>
        <v>0.48</v>
      </c>
    </row>
    <row r="39" spans="1:13" x14ac:dyDescent="0.2">
      <c r="A39" t="str">
        <f>raw_data!A39</f>
        <v>2010Q2</v>
      </c>
      <c r="B39" t="str">
        <f>raw_data!B39</f>
        <v>New South Wales</v>
      </c>
      <c r="C39" t="str">
        <f>raw_data!C39</f>
        <v>Construction</v>
      </c>
      <c r="D39">
        <f>raw_data!D39</f>
        <v>10.57</v>
      </c>
      <c r="E39">
        <f>raw_data!E39</f>
        <v>50</v>
      </c>
      <c r="F39">
        <f>raw_data!F39</f>
        <v>6.03</v>
      </c>
      <c r="G39">
        <f>raw_data!G39</f>
        <v>21.04</v>
      </c>
      <c r="H39">
        <f>(raw_data!D39*weights!$B$2)+(raw_data!E39*weights!$B$3)+(raw_data!F39*weights!$B$4)</f>
        <v>21.037000000000003</v>
      </c>
      <c r="I39" t="str">
        <f t="shared" si="0"/>
        <v>Low</v>
      </c>
      <c r="J39" t="str">
        <f t="shared" si="1"/>
        <v>2010 Q2</v>
      </c>
      <c r="K39">
        <f>raw_data!H39</f>
        <v>4.2300000000000004</v>
      </c>
      <c r="L39" s="13">
        <f>raw_data!I39</f>
        <v>15</v>
      </c>
      <c r="M39" s="13">
        <f>raw_data!J39</f>
        <v>1.81</v>
      </c>
    </row>
    <row r="40" spans="1:13" x14ac:dyDescent="0.2">
      <c r="A40" t="str">
        <f>raw_data!A40</f>
        <v>2010Q2</v>
      </c>
      <c r="B40" t="str">
        <f>raw_data!B40</f>
        <v>New South Wales</v>
      </c>
      <c r="C40" t="str">
        <f>raw_data!C40</f>
        <v>Education and Training</v>
      </c>
      <c r="D40">
        <f>raw_data!D40</f>
        <v>2.54</v>
      </c>
      <c r="E40">
        <f>raw_data!E40</f>
        <v>69.23</v>
      </c>
      <c r="F40">
        <f>raw_data!F40</f>
        <v>6.64</v>
      </c>
      <c r="G40">
        <f>raw_data!G40</f>
        <v>23.78</v>
      </c>
      <c r="H40">
        <f>(raw_data!D40*weights!$B$2)+(raw_data!E40*weights!$B$3)+(raw_data!F40*weights!$B$4)</f>
        <v>23.777000000000005</v>
      </c>
      <c r="I40" t="str">
        <f t="shared" si="0"/>
        <v>Low</v>
      </c>
      <c r="J40" t="str">
        <f t="shared" si="1"/>
        <v>2010 Q2</v>
      </c>
      <c r="K40">
        <f>raw_data!H40</f>
        <v>1.02</v>
      </c>
      <c r="L40" s="13">
        <f>raw_data!I40</f>
        <v>20.77</v>
      </c>
      <c r="M40" s="13">
        <f>raw_data!J40</f>
        <v>1.99</v>
      </c>
    </row>
    <row r="41" spans="1:13" x14ac:dyDescent="0.2">
      <c r="A41" t="str">
        <f>raw_data!A41</f>
        <v>2010Q2</v>
      </c>
      <c r="B41" t="str">
        <f>raw_data!B41</f>
        <v>New South Wales</v>
      </c>
      <c r="C41" t="str">
        <f>raw_data!C41</f>
        <v>Health Care and Social Assistance</v>
      </c>
      <c r="D41">
        <f>raw_data!D41</f>
        <v>8.34</v>
      </c>
      <c r="E41">
        <f>raw_data!E41</f>
        <v>71.150000000000006</v>
      </c>
      <c r="F41">
        <f>raw_data!F41</f>
        <v>12.81</v>
      </c>
      <c r="G41">
        <f>raw_data!G41</f>
        <v>28.53</v>
      </c>
      <c r="H41">
        <f>(raw_data!D41*weights!$B$2)+(raw_data!E41*weights!$B$3)+(raw_data!F41*weights!$B$4)</f>
        <v>28.524000000000004</v>
      </c>
      <c r="I41" t="str">
        <f t="shared" si="0"/>
        <v>Moderate</v>
      </c>
      <c r="J41" t="str">
        <f t="shared" si="1"/>
        <v>2010 Q2</v>
      </c>
      <c r="K41">
        <f>raw_data!H41</f>
        <v>3.34</v>
      </c>
      <c r="L41" s="13">
        <f>raw_data!I41</f>
        <v>21.35</v>
      </c>
      <c r="M41" s="13">
        <f>raw_data!J41</f>
        <v>3.84</v>
      </c>
    </row>
    <row r="42" spans="1:13" x14ac:dyDescent="0.2">
      <c r="A42" t="str">
        <f>raw_data!A42</f>
        <v>2010Q2</v>
      </c>
      <c r="B42" t="str">
        <f>raw_data!B42</f>
        <v>New South Wales</v>
      </c>
      <c r="C42" t="str">
        <f>raw_data!C42</f>
        <v>Manufacturing</v>
      </c>
      <c r="D42">
        <f>raw_data!D42</f>
        <v>8.89</v>
      </c>
      <c r="E42">
        <f>raw_data!E42</f>
        <v>42.31</v>
      </c>
      <c r="F42">
        <f>raw_data!F42</f>
        <v>3.84</v>
      </c>
      <c r="G42">
        <f>raw_data!G42</f>
        <v>17.399999999999999</v>
      </c>
      <c r="H42">
        <f>(raw_data!D42*weights!$B$2)+(raw_data!E42*weights!$B$3)+(raw_data!F42*weights!$B$4)</f>
        <v>17.401</v>
      </c>
      <c r="I42" t="str">
        <f t="shared" si="0"/>
        <v>Low</v>
      </c>
      <c r="J42" t="str">
        <f t="shared" si="1"/>
        <v>2010 Q2</v>
      </c>
      <c r="K42">
        <f>raw_data!H42</f>
        <v>3.56</v>
      </c>
      <c r="L42" s="13">
        <f>raw_data!I42</f>
        <v>12.69</v>
      </c>
      <c r="M42" s="13">
        <f>raw_data!J42</f>
        <v>1.1499999999999999</v>
      </c>
    </row>
    <row r="43" spans="1:13" x14ac:dyDescent="0.2">
      <c r="A43" t="str">
        <f>raw_data!A43</f>
        <v>2010Q2</v>
      </c>
      <c r="B43" t="str">
        <f>raw_data!B43</f>
        <v>New South Wales</v>
      </c>
      <c r="C43" t="str">
        <f>raw_data!C43</f>
        <v>Professional, Scientific and Technical Services</v>
      </c>
      <c r="D43">
        <f>raw_data!D43</f>
        <v>11.69</v>
      </c>
      <c r="E43">
        <f>raw_data!E43</f>
        <v>50</v>
      </c>
      <c r="F43">
        <f>raw_data!F43</f>
        <v>7.76</v>
      </c>
      <c r="G43">
        <f>raw_data!G43</f>
        <v>22.01</v>
      </c>
      <c r="H43">
        <f>(raw_data!D43*weights!$B$2)+(raw_data!E43*weights!$B$3)+(raw_data!F43*weights!$B$4)</f>
        <v>22.004000000000001</v>
      </c>
      <c r="I43" t="str">
        <f t="shared" si="0"/>
        <v>Low</v>
      </c>
      <c r="J43" t="str">
        <f t="shared" si="1"/>
        <v>2010 Q2</v>
      </c>
      <c r="K43">
        <f>raw_data!H43</f>
        <v>4.68</v>
      </c>
      <c r="L43" s="13">
        <f>raw_data!I43</f>
        <v>15</v>
      </c>
      <c r="M43" s="13">
        <f>raw_data!J43</f>
        <v>2.33</v>
      </c>
    </row>
    <row r="44" spans="1:13" x14ac:dyDescent="0.2">
      <c r="A44" t="str">
        <f>raw_data!A44</f>
        <v>2010Q2</v>
      </c>
      <c r="B44" t="str">
        <f>raw_data!B44</f>
        <v>Queensland</v>
      </c>
      <c r="C44" t="str">
        <f>raw_data!C44</f>
        <v>Accommodation and Food Services</v>
      </c>
      <c r="D44">
        <f>raw_data!D44</f>
        <v>14.17</v>
      </c>
      <c r="E44">
        <f>raw_data!E44</f>
        <v>32.69</v>
      </c>
      <c r="F44">
        <f>raw_data!F44</f>
        <v>2.3199999999999998</v>
      </c>
      <c r="G44">
        <f>raw_data!G44</f>
        <v>16.170000000000002</v>
      </c>
      <c r="H44">
        <f>(raw_data!D44*weights!$B$2)+(raw_data!E44*weights!$B$3)+(raw_data!F44*weights!$B$4)</f>
        <v>16.170999999999999</v>
      </c>
      <c r="I44" t="str">
        <f t="shared" si="0"/>
        <v>Low</v>
      </c>
      <c r="J44" t="str">
        <f t="shared" si="1"/>
        <v>2010 Q2</v>
      </c>
      <c r="K44">
        <f>raw_data!H44</f>
        <v>5.67</v>
      </c>
      <c r="L44" s="13">
        <f>raw_data!I44</f>
        <v>9.81</v>
      </c>
      <c r="M44" s="13">
        <f>raw_data!J44</f>
        <v>0.69</v>
      </c>
    </row>
    <row r="45" spans="1:13" x14ac:dyDescent="0.2">
      <c r="A45" t="str">
        <f>raw_data!A45</f>
        <v>2010Q2</v>
      </c>
      <c r="B45" t="str">
        <f>raw_data!B45</f>
        <v>Queensland</v>
      </c>
      <c r="C45" t="str">
        <f>raw_data!C45</f>
        <v>Construction</v>
      </c>
      <c r="D45">
        <f>raw_data!D45</f>
        <v>14.64</v>
      </c>
      <c r="E45">
        <f>raw_data!E45</f>
        <v>50</v>
      </c>
      <c r="F45">
        <f>raw_data!F45</f>
        <v>6.01</v>
      </c>
      <c r="G45">
        <f>raw_data!G45</f>
        <v>22.66</v>
      </c>
      <c r="H45">
        <f>(raw_data!D45*weights!$B$2)+(raw_data!E45*weights!$B$3)+(raw_data!F45*weights!$B$4)</f>
        <v>22.659000000000002</v>
      </c>
      <c r="I45" t="str">
        <f t="shared" si="0"/>
        <v>Low</v>
      </c>
      <c r="J45" t="str">
        <f t="shared" si="1"/>
        <v>2010 Q2</v>
      </c>
      <c r="K45">
        <f>raw_data!H45</f>
        <v>5.86</v>
      </c>
      <c r="L45" s="13">
        <f>raw_data!I45</f>
        <v>15</v>
      </c>
      <c r="M45" s="13">
        <f>raw_data!J45</f>
        <v>1.8</v>
      </c>
    </row>
    <row r="46" spans="1:13" x14ac:dyDescent="0.2">
      <c r="A46" t="str">
        <f>raw_data!A46</f>
        <v>2010Q2</v>
      </c>
      <c r="B46" t="str">
        <f>raw_data!B46</f>
        <v>Queensland</v>
      </c>
      <c r="C46" t="str">
        <f>raw_data!C46</f>
        <v>Education and Training</v>
      </c>
      <c r="D46">
        <f>raw_data!D46</f>
        <v>5.15</v>
      </c>
      <c r="E46">
        <f>raw_data!E46</f>
        <v>69.23</v>
      </c>
      <c r="F46">
        <f>raw_data!F46</f>
        <v>6.96</v>
      </c>
      <c r="G46">
        <f>raw_data!G46</f>
        <v>24.92</v>
      </c>
      <c r="H46">
        <f>(raw_data!D46*weights!$B$2)+(raw_data!E46*weights!$B$3)+(raw_data!F46*weights!$B$4)</f>
        <v>24.917000000000002</v>
      </c>
      <c r="I46" t="str">
        <f t="shared" si="0"/>
        <v>Low</v>
      </c>
      <c r="J46" t="str">
        <f t="shared" si="1"/>
        <v>2010 Q2</v>
      </c>
      <c r="K46">
        <f>raw_data!H46</f>
        <v>2.06</v>
      </c>
      <c r="L46" s="13">
        <f>raw_data!I46</f>
        <v>20.77</v>
      </c>
      <c r="M46" s="13">
        <f>raw_data!J46</f>
        <v>2.09</v>
      </c>
    </row>
    <row r="47" spans="1:13" x14ac:dyDescent="0.2">
      <c r="A47" t="str">
        <f>raw_data!A47</f>
        <v>2010Q2</v>
      </c>
      <c r="B47" t="str">
        <f>raw_data!B47</f>
        <v>Queensland</v>
      </c>
      <c r="C47" t="str">
        <f>raw_data!C47</f>
        <v>Health Care and Social Assistance</v>
      </c>
      <c r="D47">
        <f>raw_data!D47</f>
        <v>14.12</v>
      </c>
      <c r="E47">
        <f>raw_data!E47</f>
        <v>71.150000000000006</v>
      </c>
      <c r="F47">
        <f>raw_data!F47</f>
        <v>14.76</v>
      </c>
      <c r="G47">
        <f>raw_data!G47</f>
        <v>31.42</v>
      </c>
      <c r="H47">
        <f>(raw_data!D47*weights!$B$2)+(raw_data!E47*weights!$B$3)+(raw_data!F47*weights!$B$4)</f>
        <v>31.421000000000003</v>
      </c>
      <c r="I47" t="str">
        <f t="shared" si="0"/>
        <v>Moderate</v>
      </c>
      <c r="J47" t="str">
        <f t="shared" si="1"/>
        <v>2010 Q2</v>
      </c>
      <c r="K47">
        <f>raw_data!H47</f>
        <v>5.65</v>
      </c>
      <c r="L47" s="13">
        <f>raw_data!I47</f>
        <v>21.35</v>
      </c>
      <c r="M47" s="13">
        <f>raw_data!J47</f>
        <v>4.43</v>
      </c>
    </row>
    <row r="48" spans="1:13" x14ac:dyDescent="0.2">
      <c r="A48" t="str">
        <f>raw_data!A48</f>
        <v>2010Q2</v>
      </c>
      <c r="B48" t="str">
        <f>raw_data!B48</f>
        <v>Queensland</v>
      </c>
      <c r="C48" t="str">
        <f>raw_data!C48</f>
        <v>Manufacturing</v>
      </c>
      <c r="D48">
        <f>raw_data!D48</f>
        <v>14.76</v>
      </c>
      <c r="E48">
        <f>raw_data!E48</f>
        <v>42.31</v>
      </c>
      <c r="F48">
        <f>raw_data!F48</f>
        <v>4.76</v>
      </c>
      <c r="G48">
        <f>raw_data!G48</f>
        <v>20.02</v>
      </c>
      <c r="H48">
        <f>(raw_data!D48*weights!$B$2)+(raw_data!E48*weights!$B$3)+(raw_data!F48*weights!$B$4)</f>
        <v>20.025000000000002</v>
      </c>
      <c r="I48" t="str">
        <f t="shared" si="0"/>
        <v>Low</v>
      </c>
      <c r="J48" t="str">
        <f t="shared" si="1"/>
        <v>2010 Q2</v>
      </c>
      <c r="K48">
        <f>raw_data!H48</f>
        <v>5.9</v>
      </c>
      <c r="L48" s="13">
        <f>raw_data!I48</f>
        <v>12.69</v>
      </c>
      <c r="M48" s="13">
        <f>raw_data!J48</f>
        <v>1.43</v>
      </c>
    </row>
    <row r="49" spans="1:13" x14ac:dyDescent="0.2">
      <c r="A49" t="str">
        <f>raw_data!A49</f>
        <v>2010Q2</v>
      </c>
      <c r="B49" t="str">
        <f>raw_data!B49</f>
        <v>Queensland</v>
      </c>
      <c r="C49" t="str">
        <f>raw_data!C49</f>
        <v>Professional, Scientific and Technical Services</v>
      </c>
      <c r="D49">
        <f>raw_data!D49</f>
        <v>25.41</v>
      </c>
      <c r="E49">
        <f>raw_data!E49</f>
        <v>50</v>
      </c>
      <c r="F49">
        <f>raw_data!F49</f>
        <v>19.11</v>
      </c>
      <c r="G49">
        <f>raw_data!G49</f>
        <v>30.9</v>
      </c>
      <c r="H49">
        <f>(raw_data!D49*weights!$B$2)+(raw_data!E49*weights!$B$3)+(raw_data!F49*weights!$B$4)</f>
        <v>30.897000000000002</v>
      </c>
      <c r="I49" t="str">
        <f t="shared" si="0"/>
        <v>Moderate</v>
      </c>
      <c r="J49" t="str">
        <f t="shared" si="1"/>
        <v>2010 Q2</v>
      </c>
      <c r="K49">
        <f>raw_data!H49</f>
        <v>10.16</v>
      </c>
      <c r="L49" s="13">
        <f>raw_data!I49</f>
        <v>15</v>
      </c>
      <c r="M49" s="13">
        <f>raw_data!J49</f>
        <v>5.73</v>
      </c>
    </row>
    <row r="50" spans="1:13" x14ac:dyDescent="0.2">
      <c r="A50" t="str">
        <f>raw_data!A50</f>
        <v>2010Q2</v>
      </c>
      <c r="B50" t="str">
        <f>raw_data!B50</f>
        <v>Victoria</v>
      </c>
      <c r="C50" t="str">
        <f>raw_data!C50</f>
        <v>Accommodation and Food Services</v>
      </c>
      <c r="D50">
        <f>raw_data!D50</f>
        <v>11</v>
      </c>
      <c r="E50">
        <f>raw_data!E50</f>
        <v>32.69</v>
      </c>
      <c r="F50">
        <f>raw_data!F50</f>
        <v>2.0699999999999998</v>
      </c>
      <c r="G50">
        <f>raw_data!G50</f>
        <v>14.83</v>
      </c>
      <c r="H50">
        <f>(raw_data!D50*weights!$B$2)+(raw_data!E50*weights!$B$3)+(raw_data!F50*weights!$B$4)</f>
        <v>14.827999999999999</v>
      </c>
      <c r="I50" t="str">
        <f t="shared" si="0"/>
        <v>Low</v>
      </c>
      <c r="J50" t="str">
        <f t="shared" si="1"/>
        <v>2010 Q2</v>
      </c>
      <c r="K50">
        <f>raw_data!H50</f>
        <v>4.4000000000000004</v>
      </c>
      <c r="L50" s="13">
        <f>raw_data!I50</f>
        <v>9.81</v>
      </c>
      <c r="M50" s="13">
        <f>raw_data!J50</f>
        <v>0.62</v>
      </c>
    </row>
    <row r="51" spans="1:13" x14ac:dyDescent="0.2">
      <c r="A51" t="str">
        <f>raw_data!A51</f>
        <v>2010Q2</v>
      </c>
      <c r="B51" t="str">
        <f>raw_data!B51</f>
        <v>Victoria</v>
      </c>
      <c r="C51" t="str">
        <f>raw_data!C51</f>
        <v>Construction</v>
      </c>
      <c r="D51">
        <f>raw_data!D51</f>
        <v>12.71</v>
      </c>
      <c r="E51">
        <f>raw_data!E51</f>
        <v>50</v>
      </c>
      <c r="F51">
        <f>raw_data!F51</f>
        <v>5.97</v>
      </c>
      <c r="G51">
        <f>raw_data!G51</f>
        <v>21.87</v>
      </c>
      <c r="H51">
        <f>(raw_data!D51*weights!$B$2)+(raw_data!E51*weights!$B$3)+(raw_data!F51*weights!$B$4)</f>
        <v>21.875</v>
      </c>
      <c r="I51" t="str">
        <f t="shared" si="0"/>
        <v>Low</v>
      </c>
      <c r="J51" t="str">
        <f t="shared" si="1"/>
        <v>2010 Q2</v>
      </c>
      <c r="K51">
        <f>raw_data!H51</f>
        <v>5.08</v>
      </c>
      <c r="L51" s="13">
        <f>raw_data!I51</f>
        <v>15</v>
      </c>
      <c r="M51" s="13">
        <f>raw_data!J51</f>
        <v>1.79</v>
      </c>
    </row>
    <row r="52" spans="1:13" x14ac:dyDescent="0.2">
      <c r="A52" t="str">
        <f>raw_data!A52</f>
        <v>2010Q2</v>
      </c>
      <c r="B52" t="str">
        <f>raw_data!B52</f>
        <v>Victoria</v>
      </c>
      <c r="C52" t="str">
        <f>raw_data!C52</f>
        <v>Education and Training</v>
      </c>
      <c r="D52">
        <f>raw_data!D52</f>
        <v>3.37</v>
      </c>
      <c r="E52">
        <f>raw_data!E52</f>
        <v>69.23</v>
      </c>
      <c r="F52">
        <f>raw_data!F52</f>
        <v>3.11</v>
      </c>
      <c r="G52">
        <f>raw_data!G52</f>
        <v>23.05</v>
      </c>
      <c r="H52">
        <f>(raw_data!D52*weights!$B$2)+(raw_data!E52*weights!$B$3)+(raw_data!F52*weights!$B$4)</f>
        <v>23.05</v>
      </c>
      <c r="I52" t="str">
        <f t="shared" si="0"/>
        <v>Low</v>
      </c>
      <c r="J52" t="str">
        <f t="shared" si="1"/>
        <v>2010 Q2</v>
      </c>
      <c r="K52">
        <f>raw_data!H52</f>
        <v>1.35</v>
      </c>
      <c r="L52" s="13">
        <f>raw_data!I52</f>
        <v>20.77</v>
      </c>
      <c r="M52" s="13">
        <f>raw_data!J52</f>
        <v>0.93</v>
      </c>
    </row>
    <row r="53" spans="1:13" x14ac:dyDescent="0.2">
      <c r="A53" t="str">
        <f>raw_data!A53</f>
        <v>2010Q2</v>
      </c>
      <c r="B53" t="str">
        <f>raw_data!B53</f>
        <v>Victoria</v>
      </c>
      <c r="C53" t="str">
        <f>raw_data!C53</f>
        <v>Health Care and Social Assistance</v>
      </c>
      <c r="D53">
        <f>raw_data!D53</f>
        <v>11.67</v>
      </c>
      <c r="E53">
        <f>raw_data!E53</f>
        <v>71.150000000000006</v>
      </c>
      <c r="F53">
        <f>raw_data!F53</f>
        <v>12.01</v>
      </c>
      <c r="G53">
        <f>raw_data!G53</f>
        <v>29.62</v>
      </c>
      <c r="H53">
        <f>(raw_data!D53*weights!$B$2)+(raw_data!E53*weights!$B$3)+(raw_data!F53*weights!$B$4)</f>
        <v>29.616</v>
      </c>
      <c r="I53" t="str">
        <f t="shared" si="0"/>
        <v>Moderate</v>
      </c>
      <c r="J53" t="str">
        <f t="shared" si="1"/>
        <v>2010 Q2</v>
      </c>
      <c r="K53">
        <f>raw_data!H53</f>
        <v>4.67</v>
      </c>
      <c r="L53" s="13">
        <f>raw_data!I53</f>
        <v>21.35</v>
      </c>
      <c r="M53" s="13">
        <f>raw_data!J53</f>
        <v>3.6</v>
      </c>
    </row>
    <row r="54" spans="1:13" x14ac:dyDescent="0.2">
      <c r="A54" t="str">
        <f>raw_data!A54</f>
        <v>2010Q2</v>
      </c>
      <c r="B54" t="str">
        <f>raw_data!B54</f>
        <v>Victoria</v>
      </c>
      <c r="C54" t="str">
        <f>raw_data!C54</f>
        <v>Manufacturing</v>
      </c>
      <c r="D54">
        <f>raw_data!D54</f>
        <v>8.8699999999999992</v>
      </c>
      <c r="E54">
        <f>raw_data!E54</f>
        <v>42.31</v>
      </c>
      <c r="F54">
        <f>raw_data!F54</f>
        <v>4.22</v>
      </c>
      <c r="G54">
        <f>raw_data!G54</f>
        <v>17.510000000000002</v>
      </c>
      <c r="H54">
        <f>(raw_data!D54*weights!$B$2)+(raw_data!E54*weights!$B$3)+(raw_data!F54*weights!$B$4)</f>
        <v>17.506999999999998</v>
      </c>
      <c r="I54" t="str">
        <f t="shared" si="0"/>
        <v>Low</v>
      </c>
      <c r="J54" t="str">
        <f t="shared" si="1"/>
        <v>2010 Q2</v>
      </c>
      <c r="K54">
        <f>raw_data!H54</f>
        <v>3.55</v>
      </c>
      <c r="L54" s="13">
        <f>raw_data!I54</f>
        <v>12.69</v>
      </c>
      <c r="M54" s="13">
        <f>raw_data!J54</f>
        <v>1.27</v>
      </c>
    </row>
    <row r="55" spans="1:13" x14ac:dyDescent="0.2">
      <c r="A55" t="str">
        <f>raw_data!A55</f>
        <v>2010Q2</v>
      </c>
      <c r="B55" t="str">
        <f>raw_data!B55</f>
        <v>Victoria</v>
      </c>
      <c r="C55" t="str">
        <f>raw_data!C55</f>
        <v>Professional, Scientific and Technical Services</v>
      </c>
      <c r="D55">
        <f>raw_data!D55</f>
        <v>16.579999999999998</v>
      </c>
      <c r="E55">
        <f>raw_data!E55</f>
        <v>50</v>
      </c>
      <c r="F55">
        <f>raw_data!F55</f>
        <v>18.72</v>
      </c>
      <c r="G55">
        <f>raw_data!G55</f>
        <v>27.25</v>
      </c>
      <c r="H55">
        <f>(raw_data!D55*weights!$B$2)+(raw_data!E55*weights!$B$3)+(raw_data!F55*weights!$B$4)</f>
        <v>27.247999999999998</v>
      </c>
      <c r="I55" t="str">
        <f t="shared" si="0"/>
        <v>Moderate</v>
      </c>
      <c r="J55" t="str">
        <f t="shared" si="1"/>
        <v>2010 Q2</v>
      </c>
      <c r="K55">
        <f>raw_data!H55</f>
        <v>6.63</v>
      </c>
      <c r="L55" s="13">
        <f>raw_data!I55</f>
        <v>15</v>
      </c>
      <c r="M55" s="13">
        <f>raw_data!J55</f>
        <v>5.62</v>
      </c>
    </row>
    <row r="56" spans="1:13" x14ac:dyDescent="0.2">
      <c r="A56" t="str">
        <f>raw_data!A56</f>
        <v>2010Q3</v>
      </c>
      <c r="B56" t="str">
        <f>raw_data!B56</f>
        <v>New South Wales</v>
      </c>
      <c r="C56" t="str">
        <f>raw_data!C56</f>
        <v>Accommodation and Food Services</v>
      </c>
      <c r="D56">
        <f>raw_data!D56</f>
        <v>20.190000000000001</v>
      </c>
      <c r="E56">
        <f>raw_data!E56</f>
        <v>59.62</v>
      </c>
      <c r="F56">
        <f>raw_data!F56</f>
        <v>6.25</v>
      </c>
      <c r="G56">
        <f>raw_data!G56</f>
        <v>27.84</v>
      </c>
      <c r="H56">
        <f>(raw_data!D56*weights!$B$2)+(raw_data!E56*weights!$B$3)+(raw_data!F56*weights!$B$4)</f>
        <v>27.837</v>
      </c>
      <c r="I56" t="str">
        <f t="shared" si="0"/>
        <v>Moderate</v>
      </c>
      <c r="J56" t="str">
        <f t="shared" si="1"/>
        <v>2010 Q3</v>
      </c>
      <c r="K56">
        <f>raw_data!H56</f>
        <v>8.08</v>
      </c>
      <c r="L56" s="13">
        <f>raw_data!I56</f>
        <v>17.88</v>
      </c>
      <c r="M56" s="13">
        <f>raw_data!J56</f>
        <v>1.87</v>
      </c>
    </row>
    <row r="57" spans="1:13" x14ac:dyDescent="0.2">
      <c r="A57" t="str">
        <f>raw_data!A57</f>
        <v>2010Q3</v>
      </c>
      <c r="B57" t="str">
        <f>raw_data!B57</f>
        <v>New South Wales</v>
      </c>
      <c r="C57" t="str">
        <f>raw_data!C57</f>
        <v>Construction</v>
      </c>
      <c r="D57">
        <f>raw_data!D57</f>
        <v>12.13</v>
      </c>
      <c r="E57">
        <f>raw_data!E57</f>
        <v>63.46</v>
      </c>
      <c r="F57">
        <f>raw_data!F57</f>
        <v>7.06</v>
      </c>
      <c r="G57">
        <f>raw_data!G57</f>
        <v>26.01</v>
      </c>
      <c r="H57">
        <f>(raw_data!D57*weights!$B$2)+(raw_data!E57*weights!$B$3)+(raw_data!F57*weights!$B$4)</f>
        <v>26.007999999999999</v>
      </c>
      <c r="I57" t="str">
        <f t="shared" si="0"/>
        <v>Moderate</v>
      </c>
      <c r="J57" t="str">
        <f t="shared" si="1"/>
        <v>2010 Q3</v>
      </c>
      <c r="K57">
        <f>raw_data!H57</f>
        <v>4.8499999999999996</v>
      </c>
      <c r="L57" s="13">
        <f>raw_data!I57</f>
        <v>19.04</v>
      </c>
      <c r="M57" s="13">
        <f>raw_data!J57</f>
        <v>2.12</v>
      </c>
    </row>
    <row r="58" spans="1:13" x14ac:dyDescent="0.2">
      <c r="A58" t="str">
        <f>raw_data!A58</f>
        <v>2010Q3</v>
      </c>
      <c r="B58" t="str">
        <f>raw_data!B58</f>
        <v>New South Wales</v>
      </c>
      <c r="C58" t="str">
        <f>raw_data!C58</f>
        <v>Education and Training</v>
      </c>
      <c r="D58">
        <f>raw_data!D58</f>
        <v>1.1399999999999999</v>
      </c>
      <c r="E58">
        <f>raw_data!E58</f>
        <v>78.849999999999994</v>
      </c>
      <c r="F58">
        <f>raw_data!F58</f>
        <v>4.0599999999999996</v>
      </c>
      <c r="G58">
        <f>raw_data!G58</f>
        <v>25.33</v>
      </c>
      <c r="H58">
        <f>(raw_data!D58*weights!$B$2)+(raw_data!E58*weights!$B$3)+(raw_data!F58*weights!$B$4)</f>
        <v>25.328999999999997</v>
      </c>
      <c r="I58" t="str">
        <f t="shared" si="0"/>
        <v>Moderate</v>
      </c>
      <c r="J58" t="str">
        <f t="shared" si="1"/>
        <v>2010 Q3</v>
      </c>
      <c r="K58">
        <f>raw_data!H58</f>
        <v>0.46</v>
      </c>
      <c r="L58" s="13">
        <f>raw_data!I58</f>
        <v>23.65</v>
      </c>
      <c r="M58" s="13">
        <f>raw_data!J58</f>
        <v>1.22</v>
      </c>
    </row>
    <row r="59" spans="1:13" x14ac:dyDescent="0.2">
      <c r="A59" t="str">
        <f>raw_data!A59</f>
        <v>2010Q3</v>
      </c>
      <c r="B59" t="str">
        <f>raw_data!B59</f>
        <v>New South Wales</v>
      </c>
      <c r="C59" t="str">
        <f>raw_data!C59</f>
        <v>Health Care and Social Assistance</v>
      </c>
      <c r="D59">
        <f>raw_data!D59</f>
        <v>11.4</v>
      </c>
      <c r="E59">
        <f>raw_data!E59</f>
        <v>67.31</v>
      </c>
      <c r="F59">
        <f>raw_data!F59</f>
        <v>22.23</v>
      </c>
      <c r="G59">
        <f>raw_data!G59</f>
        <v>31.42</v>
      </c>
      <c r="H59">
        <f>(raw_data!D59*weights!$B$2)+(raw_data!E59*weights!$B$3)+(raw_data!F59*weights!$B$4)</f>
        <v>31.422000000000001</v>
      </c>
      <c r="I59" t="str">
        <f t="shared" si="0"/>
        <v>Moderate</v>
      </c>
      <c r="J59" t="str">
        <f t="shared" si="1"/>
        <v>2010 Q3</v>
      </c>
      <c r="K59">
        <f>raw_data!H59</f>
        <v>4.5599999999999996</v>
      </c>
      <c r="L59" s="13">
        <f>raw_data!I59</f>
        <v>20.190000000000001</v>
      </c>
      <c r="M59" s="13">
        <f>raw_data!J59</f>
        <v>6.67</v>
      </c>
    </row>
    <row r="60" spans="1:13" x14ac:dyDescent="0.2">
      <c r="A60" t="str">
        <f>raw_data!A60</f>
        <v>2010Q3</v>
      </c>
      <c r="B60" t="str">
        <f>raw_data!B60</f>
        <v>New South Wales</v>
      </c>
      <c r="C60" t="str">
        <f>raw_data!C60</f>
        <v>Manufacturing</v>
      </c>
      <c r="D60">
        <f>raw_data!D60</f>
        <v>11.69</v>
      </c>
      <c r="E60">
        <f>raw_data!E60</f>
        <v>55.77</v>
      </c>
      <c r="F60">
        <f>raw_data!F60</f>
        <v>5.73</v>
      </c>
      <c r="G60">
        <f>raw_data!G60</f>
        <v>23.13</v>
      </c>
      <c r="H60">
        <f>(raw_data!D60*weights!$B$2)+(raw_data!E60*weights!$B$3)+(raw_data!F60*weights!$B$4)</f>
        <v>23.126000000000005</v>
      </c>
      <c r="I60" t="str">
        <f t="shared" si="0"/>
        <v>Low</v>
      </c>
      <c r="J60" t="str">
        <f t="shared" si="1"/>
        <v>2010 Q3</v>
      </c>
      <c r="K60">
        <f>raw_data!H60</f>
        <v>4.68</v>
      </c>
      <c r="L60" s="13">
        <f>raw_data!I60</f>
        <v>16.73</v>
      </c>
      <c r="M60" s="13">
        <f>raw_data!J60</f>
        <v>1.72</v>
      </c>
    </row>
    <row r="61" spans="1:13" x14ac:dyDescent="0.2">
      <c r="A61" t="str">
        <f>raw_data!A61</f>
        <v>2010Q3</v>
      </c>
      <c r="B61" t="str">
        <f>raw_data!B61</f>
        <v>New South Wales</v>
      </c>
      <c r="C61" t="str">
        <f>raw_data!C61</f>
        <v>Professional, Scientific and Technical Services</v>
      </c>
      <c r="D61">
        <f>raw_data!D61</f>
        <v>12.45</v>
      </c>
      <c r="E61">
        <f>raw_data!E61</f>
        <v>73.08</v>
      </c>
      <c r="F61">
        <f>raw_data!F61</f>
        <v>13.29</v>
      </c>
      <c r="G61">
        <f>raw_data!G61</f>
        <v>30.89</v>
      </c>
      <c r="H61">
        <f>(raw_data!D61*weights!$B$2)+(raw_data!E61*weights!$B$3)+(raw_data!F61*weights!$B$4)</f>
        <v>30.890999999999998</v>
      </c>
      <c r="I61" t="str">
        <f t="shared" si="0"/>
        <v>Moderate</v>
      </c>
      <c r="J61" t="str">
        <f t="shared" si="1"/>
        <v>2010 Q3</v>
      </c>
      <c r="K61">
        <f>raw_data!H61</f>
        <v>4.9800000000000004</v>
      </c>
      <c r="L61" s="13">
        <f>raw_data!I61</f>
        <v>21.92</v>
      </c>
      <c r="M61" s="13">
        <f>raw_data!J61</f>
        <v>3.99</v>
      </c>
    </row>
    <row r="62" spans="1:13" x14ac:dyDescent="0.2">
      <c r="A62" t="str">
        <f>raw_data!A62</f>
        <v>2010Q3</v>
      </c>
      <c r="B62" t="str">
        <f>raw_data!B62</f>
        <v>Queensland</v>
      </c>
      <c r="C62" t="str">
        <f>raw_data!C62</f>
        <v>Accommodation and Food Services</v>
      </c>
      <c r="D62">
        <f>raw_data!D62</f>
        <v>29.64</v>
      </c>
      <c r="E62">
        <f>raw_data!E62</f>
        <v>59.62</v>
      </c>
      <c r="F62">
        <f>raw_data!F62</f>
        <v>5.49</v>
      </c>
      <c r="G62">
        <f>raw_data!G62</f>
        <v>31.39</v>
      </c>
      <c r="H62">
        <f>(raw_data!D62*weights!$B$2)+(raw_data!E62*weights!$B$3)+(raw_data!F62*weights!$B$4)</f>
        <v>31.388999999999999</v>
      </c>
      <c r="I62" t="str">
        <f t="shared" si="0"/>
        <v>Moderate</v>
      </c>
      <c r="J62" t="str">
        <f t="shared" si="1"/>
        <v>2010 Q3</v>
      </c>
      <c r="K62">
        <f>raw_data!H62</f>
        <v>11.85</v>
      </c>
      <c r="L62" s="13">
        <f>raw_data!I62</f>
        <v>17.88</v>
      </c>
      <c r="M62" s="13">
        <f>raw_data!J62</f>
        <v>1.65</v>
      </c>
    </row>
    <row r="63" spans="1:13" x14ac:dyDescent="0.2">
      <c r="A63" t="str">
        <f>raw_data!A63</f>
        <v>2010Q3</v>
      </c>
      <c r="B63" t="str">
        <f>raw_data!B63</f>
        <v>Queensland</v>
      </c>
      <c r="C63" t="str">
        <f>raw_data!C63</f>
        <v>Construction</v>
      </c>
      <c r="D63">
        <f>raw_data!D63</f>
        <v>15.36</v>
      </c>
      <c r="E63">
        <f>raw_data!E63</f>
        <v>63.46</v>
      </c>
      <c r="F63">
        <f>raw_data!F63</f>
        <v>6.51</v>
      </c>
      <c r="G63">
        <f>raw_data!G63</f>
        <v>27.14</v>
      </c>
      <c r="H63">
        <f>(raw_data!D63*weights!$B$2)+(raw_data!E63*weights!$B$3)+(raw_data!F63*weights!$B$4)</f>
        <v>27.135000000000002</v>
      </c>
      <c r="I63" t="str">
        <f t="shared" si="0"/>
        <v>Moderate</v>
      </c>
      <c r="J63" t="str">
        <f t="shared" si="1"/>
        <v>2010 Q3</v>
      </c>
      <c r="K63">
        <f>raw_data!H63</f>
        <v>6.15</v>
      </c>
      <c r="L63" s="13">
        <f>raw_data!I63</f>
        <v>19.04</v>
      </c>
      <c r="M63" s="13">
        <f>raw_data!J63</f>
        <v>1.95</v>
      </c>
    </row>
    <row r="64" spans="1:13" x14ac:dyDescent="0.2">
      <c r="A64" t="str">
        <f>raw_data!A64</f>
        <v>2010Q3</v>
      </c>
      <c r="B64" t="str">
        <f>raw_data!B64</f>
        <v>Queensland</v>
      </c>
      <c r="C64" t="str">
        <f>raw_data!C64</f>
        <v>Education and Training</v>
      </c>
      <c r="D64">
        <f>raw_data!D64</f>
        <v>3.25</v>
      </c>
      <c r="E64">
        <f>raw_data!E64</f>
        <v>78.849999999999994</v>
      </c>
      <c r="F64">
        <f>raw_data!F64</f>
        <v>5.05</v>
      </c>
      <c r="G64">
        <f>raw_data!G64</f>
        <v>26.47</v>
      </c>
      <c r="H64">
        <f>(raw_data!D64*weights!$B$2)+(raw_data!E64*weights!$B$3)+(raw_data!F64*weights!$B$4)</f>
        <v>26.47</v>
      </c>
      <c r="I64" t="str">
        <f t="shared" si="0"/>
        <v>Moderate</v>
      </c>
      <c r="J64" t="str">
        <f t="shared" si="1"/>
        <v>2010 Q3</v>
      </c>
      <c r="K64">
        <f>raw_data!H64</f>
        <v>1.3</v>
      </c>
      <c r="L64" s="13">
        <f>raw_data!I64</f>
        <v>23.65</v>
      </c>
      <c r="M64" s="13">
        <f>raw_data!J64</f>
        <v>1.52</v>
      </c>
    </row>
    <row r="65" spans="1:13" x14ac:dyDescent="0.2">
      <c r="A65" t="str">
        <f>raw_data!A65</f>
        <v>2010Q3</v>
      </c>
      <c r="B65" t="str">
        <f>raw_data!B65</f>
        <v>Queensland</v>
      </c>
      <c r="C65" t="str">
        <f>raw_data!C65</f>
        <v>Health Care and Social Assistance</v>
      </c>
      <c r="D65">
        <f>raw_data!D65</f>
        <v>20.96</v>
      </c>
      <c r="E65">
        <f>raw_data!E65</f>
        <v>67.31</v>
      </c>
      <c r="F65">
        <f>raw_data!F65</f>
        <v>15.31</v>
      </c>
      <c r="G65">
        <f>raw_data!G65</f>
        <v>33.17</v>
      </c>
      <c r="H65">
        <f>(raw_data!D65*weights!$B$2)+(raw_data!E65*weights!$B$3)+(raw_data!F65*weights!$B$4)</f>
        <v>33.17</v>
      </c>
      <c r="I65" t="str">
        <f t="shared" si="0"/>
        <v>Moderate</v>
      </c>
      <c r="J65" t="str">
        <f t="shared" si="1"/>
        <v>2010 Q3</v>
      </c>
      <c r="K65">
        <f>raw_data!H65</f>
        <v>8.39</v>
      </c>
      <c r="L65" s="13">
        <f>raw_data!I65</f>
        <v>20.190000000000001</v>
      </c>
      <c r="M65" s="13">
        <f>raw_data!J65</f>
        <v>4.59</v>
      </c>
    </row>
    <row r="66" spans="1:13" x14ac:dyDescent="0.2">
      <c r="A66" t="str">
        <f>raw_data!A66</f>
        <v>2010Q3</v>
      </c>
      <c r="B66" t="str">
        <f>raw_data!B66</f>
        <v>Queensland</v>
      </c>
      <c r="C66" t="str">
        <f>raw_data!C66</f>
        <v>Manufacturing</v>
      </c>
      <c r="D66">
        <f>raw_data!D66</f>
        <v>18.18</v>
      </c>
      <c r="E66">
        <f>raw_data!E66</f>
        <v>55.77</v>
      </c>
      <c r="F66">
        <f>raw_data!F66</f>
        <v>7.56</v>
      </c>
      <c r="G66">
        <f>raw_data!G66</f>
        <v>26.27</v>
      </c>
      <c r="H66">
        <f>(raw_data!D66*weights!$B$2)+(raw_data!E66*weights!$B$3)+(raw_data!F66*weights!$B$4)</f>
        <v>26.271000000000001</v>
      </c>
      <c r="I66" t="str">
        <f t="shared" si="0"/>
        <v>Moderate</v>
      </c>
      <c r="J66" t="str">
        <f t="shared" si="1"/>
        <v>2010 Q3</v>
      </c>
      <c r="K66">
        <f>raw_data!H66</f>
        <v>7.27</v>
      </c>
      <c r="L66" s="13">
        <f>raw_data!I66</f>
        <v>16.73</v>
      </c>
      <c r="M66" s="13">
        <f>raw_data!J66</f>
        <v>2.27</v>
      </c>
    </row>
    <row r="67" spans="1:13" x14ac:dyDescent="0.2">
      <c r="A67" t="str">
        <f>raw_data!A67</f>
        <v>2010Q3</v>
      </c>
      <c r="B67" t="str">
        <f>raw_data!B67</f>
        <v>Queensland</v>
      </c>
      <c r="C67" t="str">
        <f>raw_data!C67</f>
        <v>Professional, Scientific and Technical Services</v>
      </c>
      <c r="D67">
        <f>raw_data!D67</f>
        <v>29.88</v>
      </c>
      <c r="E67">
        <f>raw_data!E67</f>
        <v>73.08</v>
      </c>
      <c r="F67">
        <f>raw_data!F67</f>
        <v>35.53</v>
      </c>
      <c r="G67">
        <f>raw_data!G67</f>
        <v>44.53</v>
      </c>
      <c r="H67">
        <f>(raw_data!D67*weights!$B$2)+(raw_data!E67*weights!$B$3)+(raw_data!F67*weights!$B$4)</f>
        <v>44.534999999999997</v>
      </c>
      <c r="I67" t="str">
        <f t="shared" ref="I67:I130" si="2">IF(H67&gt;=60,"Critical",IF(H67&gt;=45,"High",IF(H67&gt;=25,"Moderate","Low")))</f>
        <v>Moderate</v>
      </c>
      <c r="J67" t="str">
        <f t="shared" ref="J67:J130" si="3">LEFT(A67,4)&amp;" "&amp;RIGHT(A67,2)</f>
        <v>2010 Q3</v>
      </c>
      <c r="K67">
        <f>raw_data!H67</f>
        <v>11.95</v>
      </c>
      <c r="L67" s="13">
        <f>raw_data!I67</f>
        <v>21.92</v>
      </c>
      <c r="M67" s="13">
        <f>raw_data!J67</f>
        <v>10.66</v>
      </c>
    </row>
    <row r="68" spans="1:13" x14ac:dyDescent="0.2">
      <c r="A68" t="str">
        <f>raw_data!A68</f>
        <v>2010Q3</v>
      </c>
      <c r="B68" t="str">
        <f>raw_data!B68</f>
        <v>Victoria</v>
      </c>
      <c r="C68" t="str">
        <f>raw_data!C68</f>
        <v>Accommodation and Food Services</v>
      </c>
      <c r="D68">
        <f>raw_data!D68</f>
        <v>23.61</v>
      </c>
      <c r="E68">
        <f>raw_data!E68</f>
        <v>59.62</v>
      </c>
      <c r="F68">
        <f>raw_data!F68</f>
        <v>6.55</v>
      </c>
      <c r="G68">
        <f>raw_data!G68</f>
        <v>29.29</v>
      </c>
      <c r="H68">
        <f>(raw_data!D68*weights!$B$2)+(raw_data!E68*weights!$B$3)+(raw_data!F68*weights!$B$4)</f>
        <v>29.294999999999998</v>
      </c>
      <c r="I68" t="str">
        <f t="shared" si="2"/>
        <v>Moderate</v>
      </c>
      <c r="J68" t="str">
        <f t="shared" si="3"/>
        <v>2010 Q3</v>
      </c>
      <c r="K68">
        <f>raw_data!H68</f>
        <v>9.44</v>
      </c>
      <c r="L68" s="13">
        <f>raw_data!I68</f>
        <v>17.88</v>
      </c>
      <c r="M68" s="13">
        <f>raw_data!J68</f>
        <v>1.96</v>
      </c>
    </row>
    <row r="69" spans="1:13" x14ac:dyDescent="0.2">
      <c r="A69" t="str">
        <f>raw_data!A69</f>
        <v>2010Q3</v>
      </c>
      <c r="B69" t="str">
        <f>raw_data!B69</f>
        <v>Victoria</v>
      </c>
      <c r="C69" t="str">
        <f>raw_data!C69</f>
        <v>Construction</v>
      </c>
      <c r="D69">
        <f>raw_data!D69</f>
        <v>13.61</v>
      </c>
      <c r="E69">
        <f>raw_data!E69</f>
        <v>63.46</v>
      </c>
      <c r="F69">
        <f>raw_data!F69</f>
        <v>10.62</v>
      </c>
      <c r="G69">
        <f>raw_data!G69</f>
        <v>27.67</v>
      </c>
      <c r="H69">
        <f>(raw_data!D69*weights!$B$2)+(raw_data!E69*weights!$B$3)+(raw_data!F69*weights!$B$4)</f>
        <v>27.667999999999999</v>
      </c>
      <c r="I69" t="str">
        <f t="shared" si="2"/>
        <v>Moderate</v>
      </c>
      <c r="J69" t="str">
        <f t="shared" si="3"/>
        <v>2010 Q3</v>
      </c>
      <c r="K69">
        <f>raw_data!H69</f>
        <v>5.44</v>
      </c>
      <c r="L69" s="13">
        <f>raw_data!I69</f>
        <v>19.04</v>
      </c>
      <c r="M69" s="13">
        <f>raw_data!J69</f>
        <v>3.19</v>
      </c>
    </row>
    <row r="70" spans="1:13" x14ac:dyDescent="0.2">
      <c r="A70" t="str">
        <f>raw_data!A70</f>
        <v>2010Q3</v>
      </c>
      <c r="B70" t="str">
        <f>raw_data!B70</f>
        <v>Victoria</v>
      </c>
      <c r="C70" t="str">
        <f>raw_data!C70</f>
        <v>Education and Training</v>
      </c>
      <c r="D70">
        <f>raw_data!D70</f>
        <v>1.71</v>
      </c>
      <c r="E70">
        <f>raw_data!E70</f>
        <v>78.849999999999994</v>
      </c>
      <c r="F70">
        <f>raw_data!F70</f>
        <v>4.84</v>
      </c>
      <c r="G70">
        <f>raw_data!G70</f>
        <v>25.79</v>
      </c>
      <c r="H70">
        <f>(raw_data!D70*weights!$B$2)+(raw_data!E70*weights!$B$3)+(raw_data!F70*weights!$B$4)</f>
        <v>25.790999999999997</v>
      </c>
      <c r="I70" t="str">
        <f t="shared" si="2"/>
        <v>Moderate</v>
      </c>
      <c r="J70" t="str">
        <f t="shared" si="3"/>
        <v>2010 Q3</v>
      </c>
      <c r="K70">
        <f>raw_data!H70</f>
        <v>0.68</v>
      </c>
      <c r="L70" s="13">
        <f>raw_data!I70</f>
        <v>23.65</v>
      </c>
      <c r="M70" s="13">
        <f>raw_data!J70</f>
        <v>1.45</v>
      </c>
    </row>
    <row r="71" spans="1:13" x14ac:dyDescent="0.2">
      <c r="A71" t="str">
        <f>raw_data!A71</f>
        <v>2010Q3</v>
      </c>
      <c r="B71" t="str">
        <f>raw_data!B71</f>
        <v>Victoria</v>
      </c>
      <c r="C71" t="str">
        <f>raw_data!C71</f>
        <v>Health Care and Social Assistance</v>
      </c>
      <c r="D71">
        <f>raw_data!D71</f>
        <v>15.45</v>
      </c>
      <c r="E71">
        <f>raw_data!E71</f>
        <v>67.31</v>
      </c>
      <c r="F71">
        <f>raw_data!F71</f>
        <v>18.61</v>
      </c>
      <c r="G71">
        <f>raw_data!G71</f>
        <v>31.96</v>
      </c>
      <c r="H71">
        <f>(raw_data!D71*weights!$B$2)+(raw_data!E71*weights!$B$3)+(raw_data!F71*weights!$B$4)</f>
        <v>31.956</v>
      </c>
      <c r="I71" t="str">
        <f t="shared" si="2"/>
        <v>Moderate</v>
      </c>
      <c r="J71" t="str">
        <f t="shared" si="3"/>
        <v>2010 Q3</v>
      </c>
      <c r="K71">
        <f>raw_data!H71</f>
        <v>6.18</v>
      </c>
      <c r="L71" s="13">
        <f>raw_data!I71</f>
        <v>20.190000000000001</v>
      </c>
      <c r="M71" s="13">
        <f>raw_data!J71</f>
        <v>5.58</v>
      </c>
    </row>
    <row r="72" spans="1:13" x14ac:dyDescent="0.2">
      <c r="A72" t="str">
        <f>raw_data!A72</f>
        <v>2010Q3</v>
      </c>
      <c r="B72" t="str">
        <f>raw_data!B72</f>
        <v>Victoria</v>
      </c>
      <c r="C72" t="str">
        <f>raw_data!C72</f>
        <v>Manufacturing</v>
      </c>
      <c r="D72">
        <f>raw_data!D72</f>
        <v>11.19</v>
      </c>
      <c r="E72">
        <f>raw_data!E72</f>
        <v>55.77</v>
      </c>
      <c r="F72">
        <f>raw_data!F72</f>
        <v>7.37</v>
      </c>
      <c r="G72">
        <f>raw_data!G72</f>
        <v>23.42</v>
      </c>
      <c r="H72">
        <f>(raw_data!D72*weights!$B$2)+(raw_data!E72*weights!$B$3)+(raw_data!F72*weights!$B$4)</f>
        <v>23.417999999999999</v>
      </c>
      <c r="I72" t="str">
        <f t="shared" si="2"/>
        <v>Low</v>
      </c>
      <c r="J72" t="str">
        <f t="shared" si="3"/>
        <v>2010 Q3</v>
      </c>
      <c r="K72">
        <f>raw_data!H72</f>
        <v>4.4800000000000004</v>
      </c>
      <c r="L72" s="13">
        <f>raw_data!I72</f>
        <v>16.73</v>
      </c>
      <c r="M72" s="13">
        <f>raw_data!J72</f>
        <v>2.21</v>
      </c>
    </row>
    <row r="73" spans="1:13" x14ac:dyDescent="0.2">
      <c r="A73" t="str">
        <f>raw_data!A73</f>
        <v>2010Q3</v>
      </c>
      <c r="B73" t="str">
        <f>raw_data!B73</f>
        <v>Victoria</v>
      </c>
      <c r="C73" t="str">
        <f>raw_data!C73</f>
        <v>Professional, Scientific and Technical Services</v>
      </c>
      <c r="D73">
        <f>raw_data!D73</f>
        <v>18.510000000000002</v>
      </c>
      <c r="E73">
        <f>raw_data!E73</f>
        <v>73.08</v>
      </c>
      <c r="F73">
        <f>raw_data!F73</f>
        <v>21.79</v>
      </c>
      <c r="G73">
        <f>raw_data!G73</f>
        <v>35.86</v>
      </c>
      <c r="H73">
        <f>(raw_data!D73*weights!$B$2)+(raw_data!E73*weights!$B$3)+(raw_data!F73*weights!$B$4)</f>
        <v>35.865000000000002</v>
      </c>
      <c r="I73" t="str">
        <f t="shared" si="2"/>
        <v>Moderate</v>
      </c>
      <c r="J73" t="str">
        <f t="shared" si="3"/>
        <v>2010 Q3</v>
      </c>
      <c r="K73">
        <f>raw_data!H73</f>
        <v>7.4</v>
      </c>
      <c r="L73" s="13">
        <f>raw_data!I73</f>
        <v>21.92</v>
      </c>
      <c r="M73" s="13">
        <f>raw_data!J73</f>
        <v>6.54</v>
      </c>
    </row>
    <row r="74" spans="1:13" x14ac:dyDescent="0.2">
      <c r="A74" t="str">
        <f>raw_data!A74</f>
        <v>2010Q4</v>
      </c>
      <c r="B74" t="str">
        <f>raw_data!B74</f>
        <v>New South Wales</v>
      </c>
      <c r="C74" t="str">
        <f>raw_data!C74</f>
        <v>Accommodation and Food Services</v>
      </c>
      <c r="D74">
        <f>raw_data!D74</f>
        <v>25.43</v>
      </c>
      <c r="E74">
        <f>raw_data!E74</f>
        <v>61.54</v>
      </c>
      <c r="F74">
        <f>raw_data!F74</f>
        <v>10.01</v>
      </c>
      <c r="G74">
        <f>raw_data!G74</f>
        <v>31.64</v>
      </c>
      <c r="H74">
        <f>(raw_data!D74*weights!$B$2)+(raw_data!E74*weights!$B$3)+(raw_data!F74*weights!$B$4)</f>
        <v>31.637</v>
      </c>
      <c r="I74" t="str">
        <f t="shared" si="2"/>
        <v>Moderate</v>
      </c>
      <c r="J74" t="str">
        <f t="shared" si="3"/>
        <v>2010 Q4</v>
      </c>
      <c r="K74">
        <f>raw_data!H74</f>
        <v>10.17</v>
      </c>
      <c r="L74" s="13">
        <f>raw_data!I74</f>
        <v>18.46</v>
      </c>
      <c r="M74" s="13">
        <f>raw_data!J74</f>
        <v>3</v>
      </c>
    </row>
    <row r="75" spans="1:13" x14ac:dyDescent="0.2">
      <c r="A75" t="str">
        <f>raw_data!A75</f>
        <v>2010Q4</v>
      </c>
      <c r="B75" t="str">
        <f>raw_data!B75</f>
        <v>New South Wales</v>
      </c>
      <c r="C75" t="str">
        <f>raw_data!C75</f>
        <v>Construction</v>
      </c>
      <c r="D75">
        <f>raw_data!D75</f>
        <v>9.4600000000000009</v>
      </c>
      <c r="E75">
        <f>raw_data!E75</f>
        <v>71.150000000000006</v>
      </c>
      <c r="F75">
        <f>raw_data!F75</f>
        <v>7.96</v>
      </c>
      <c r="G75">
        <f>raw_data!G75</f>
        <v>27.52</v>
      </c>
      <c r="H75">
        <f>(raw_data!D75*weights!$B$2)+(raw_data!E75*weights!$B$3)+(raw_data!F75*weights!$B$4)</f>
        <v>27.517000000000003</v>
      </c>
      <c r="I75" t="str">
        <f t="shared" si="2"/>
        <v>Moderate</v>
      </c>
      <c r="J75" t="str">
        <f t="shared" si="3"/>
        <v>2010 Q4</v>
      </c>
      <c r="K75">
        <f>raw_data!H75</f>
        <v>3.79</v>
      </c>
      <c r="L75" s="13">
        <f>raw_data!I75</f>
        <v>21.35</v>
      </c>
      <c r="M75" s="13">
        <f>raw_data!J75</f>
        <v>2.39</v>
      </c>
    </row>
    <row r="76" spans="1:13" x14ac:dyDescent="0.2">
      <c r="A76" t="str">
        <f>raw_data!A76</f>
        <v>2010Q4</v>
      </c>
      <c r="B76" t="str">
        <f>raw_data!B76</f>
        <v>New South Wales</v>
      </c>
      <c r="C76" t="str">
        <f>raw_data!C76</f>
        <v>Education and Training</v>
      </c>
      <c r="D76">
        <f>raw_data!D76</f>
        <v>1.77</v>
      </c>
      <c r="E76">
        <f>raw_data!E76</f>
        <v>78.849999999999994</v>
      </c>
      <c r="F76">
        <f>raw_data!F76</f>
        <v>5.63</v>
      </c>
      <c r="G76">
        <f>raw_data!G76</f>
        <v>26.05</v>
      </c>
      <c r="H76">
        <f>(raw_data!D76*weights!$B$2)+(raw_data!E76*weights!$B$3)+(raw_data!F76*weights!$B$4)</f>
        <v>26.051999999999996</v>
      </c>
      <c r="I76" t="str">
        <f t="shared" si="2"/>
        <v>Moderate</v>
      </c>
      <c r="J76" t="str">
        <f t="shared" si="3"/>
        <v>2010 Q4</v>
      </c>
      <c r="K76">
        <f>raw_data!H76</f>
        <v>0.71</v>
      </c>
      <c r="L76" s="13">
        <f>raw_data!I76</f>
        <v>23.65</v>
      </c>
      <c r="M76" s="13">
        <f>raw_data!J76</f>
        <v>1.69</v>
      </c>
    </row>
    <row r="77" spans="1:13" x14ac:dyDescent="0.2">
      <c r="A77" t="str">
        <f>raw_data!A77</f>
        <v>2010Q4</v>
      </c>
      <c r="B77" t="str">
        <f>raw_data!B77</f>
        <v>New South Wales</v>
      </c>
      <c r="C77" t="str">
        <f>raw_data!C77</f>
        <v>Health Care and Social Assistance</v>
      </c>
      <c r="D77">
        <f>raw_data!D77</f>
        <v>9.1199999999999992</v>
      </c>
      <c r="E77">
        <f>raw_data!E77</f>
        <v>63.46</v>
      </c>
      <c r="F77">
        <f>raw_data!F77</f>
        <v>7.67</v>
      </c>
      <c r="G77">
        <f>raw_data!G77</f>
        <v>24.99</v>
      </c>
      <c r="H77">
        <f>(raw_data!D77*weights!$B$2)+(raw_data!E77*weights!$B$3)+(raw_data!F77*weights!$B$4)</f>
        <v>24.986999999999998</v>
      </c>
      <c r="I77" t="str">
        <f t="shared" si="2"/>
        <v>Low</v>
      </c>
      <c r="J77" t="str">
        <f t="shared" si="3"/>
        <v>2010 Q4</v>
      </c>
      <c r="K77">
        <f>raw_data!H77</f>
        <v>3.65</v>
      </c>
      <c r="L77" s="13">
        <f>raw_data!I77</f>
        <v>19.04</v>
      </c>
      <c r="M77" s="13">
        <f>raw_data!J77</f>
        <v>2.2999999999999998</v>
      </c>
    </row>
    <row r="78" spans="1:13" x14ac:dyDescent="0.2">
      <c r="A78" t="str">
        <f>raw_data!A78</f>
        <v>2010Q4</v>
      </c>
      <c r="B78" t="str">
        <f>raw_data!B78</f>
        <v>New South Wales</v>
      </c>
      <c r="C78" t="str">
        <f>raw_data!C78</f>
        <v>Manufacturing</v>
      </c>
      <c r="D78">
        <f>raw_data!D78</f>
        <v>10.15</v>
      </c>
      <c r="E78">
        <f>raw_data!E78</f>
        <v>69.23</v>
      </c>
      <c r="F78">
        <f>raw_data!F78</f>
        <v>6.01</v>
      </c>
      <c r="G78">
        <f>raw_data!G78</f>
        <v>26.63</v>
      </c>
      <c r="H78">
        <f>(raw_data!D78*weights!$B$2)+(raw_data!E78*weights!$B$3)+(raw_data!F78*weights!$B$4)</f>
        <v>26.632000000000001</v>
      </c>
      <c r="I78" t="str">
        <f t="shared" si="2"/>
        <v>Moderate</v>
      </c>
      <c r="J78" t="str">
        <f t="shared" si="3"/>
        <v>2010 Q4</v>
      </c>
      <c r="K78">
        <f>raw_data!H78</f>
        <v>4.0599999999999996</v>
      </c>
      <c r="L78" s="13">
        <f>raw_data!I78</f>
        <v>20.77</v>
      </c>
      <c r="M78" s="13">
        <f>raw_data!J78</f>
        <v>1.8</v>
      </c>
    </row>
    <row r="79" spans="1:13" x14ac:dyDescent="0.2">
      <c r="A79" t="str">
        <f>raw_data!A79</f>
        <v>2010Q4</v>
      </c>
      <c r="B79" t="str">
        <f>raw_data!B79</f>
        <v>New South Wales</v>
      </c>
      <c r="C79" t="str">
        <f>raw_data!C79</f>
        <v>Professional, Scientific and Technical Services</v>
      </c>
      <c r="D79">
        <f>raw_data!D79</f>
        <v>15.67</v>
      </c>
      <c r="E79">
        <f>raw_data!E79</f>
        <v>82.69</v>
      </c>
      <c r="F79">
        <f>raw_data!F79</f>
        <v>22.21</v>
      </c>
      <c r="G79">
        <f>raw_data!G79</f>
        <v>37.74</v>
      </c>
      <c r="H79">
        <f>(raw_data!D79*weights!$B$2)+(raw_data!E79*weights!$B$3)+(raw_data!F79*weights!$B$4)</f>
        <v>37.738</v>
      </c>
      <c r="I79" t="str">
        <f t="shared" si="2"/>
        <v>Moderate</v>
      </c>
      <c r="J79" t="str">
        <f t="shared" si="3"/>
        <v>2010 Q4</v>
      </c>
      <c r="K79">
        <f>raw_data!H79</f>
        <v>6.27</v>
      </c>
      <c r="L79" s="13">
        <f>raw_data!I79</f>
        <v>24.81</v>
      </c>
      <c r="M79" s="13">
        <f>raw_data!J79</f>
        <v>6.66</v>
      </c>
    </row>
    <row r="80" spans="1:13" x14ac:dyDescent="0.2">
      <c r="A80" t="str">
        <f>raw_data!A80</f>
        <v>2010Q4</v>
      </c>
      <c r="B80" t="str">
        <f>raw_data!B80</f>
        <v>Queensland</v>
      </c>
      <c r="C80" t="str">
        <f>raw_data!C80</f>
        <v>Accommodation and Food Services</v>
      </c>
      <c r="D80">
        <f>raw_data!D80</f>
        <v>35.19</v>
      </c>
      <c r="E80">
        <f>raw_data!E80</f>
        <v>61.54</v>
      </c>
      <c r="F80">
        <f>raw_data!F80</f>
        <v>9.2100000000000009</v>
      </c>
      <c r="G80">
        <f>raw_data!G80</f>
        <v>35.299999999999997</v>
      </c>
      <c r="H80">
        <f>(raw_data!D80*weights!$B$2)+(raw_data!E80*weights!$B$3)+(raw_data!F80*weights!$B$4)</f>
        <v>35.300999999999995</v>
      </c>
      <c r="I80" t="str">
        <f t="shared" si="2"/>
        <v>Moderate</v>
      </c>
      <c r="J80" t="str">
        <f t="shared" si="3"/>
        <v>2010 Q4</v>
      </c>
      <c r="K80">
        <f>raw_data!H80</f>
        <v>14.07</v>
      </c>
      <c r="L80" s="13">
        <f>raw_data!I80</f>
        <v>18.46</v>
      </c>
      <c r="M80" s="13">
        <f>raw_data!J80</f>
        <v>2.76</v>
      </c>
    </row>
    <row r="81" spans="1:13" x14ac:dyDescent="0.2">
      <c r="A81" t="str">
        <f>raw_data!A81</f>
        <v>2010Q4</v>
      </c>
      <c r="B81" t="str">
        <f>raw_data!B81</f>
        <v>Queensland</v>
      </c>
      <c r="C81" t="str">
        <f>raw_data!C81</f>
        <v>Construction</v>
      </c>
      <c r="D81">
        <f>raw_data!D81</f>
        <v>12.46</v>
      </c>
      <c r="E81">
        <f>raw_data!E81</f>
        <v>71.150000000000006</v>
      </c>
      <c r="F81">
        <f>raw_data!F81</f>
        <v>5.67</v>
      </c>
      <c r="G81">
        <f>raw_data!G81</f>
        <v>28.03</v>
      </c>
      <c r="H81">
        <f>(raw_data!D81*weights!$B$2)+(raw_data!E81*weights!$B$3)+(raw_data!F81*weights!$B$4)</f>
        <v>28.030000000000005</v>
      </c>
      <c r="I81" t="str">
        <f t="shared" si="2"/>
        <v>Moderate</v>
      </c>
      <c r="J81" t="str">
        <f t="shared" si="3"/>
        <v>2010 Q4</v>
      </c>
      <c r="K81">
        <f>raw_data!H81</f>
        <v>4.9800000000000004</v>
      </c>
      <c r="L81" s="13">
        <f>raw_data!I81</f>
        <v>21.35</v>
      </c>
      <c r="M81" s="13">
        <f>raw_data!J81</f>
        <v>1.7</v>
      </c>
    </row>
    <row r="82" spans="1:13" x14ac:dyDescent="0.2">
      <c r="A82" t="str">
        <f>raw_data!A82</f>
        <v>2010Q4</v>
      </c>
      <c r="B82" t="str">
        <f>raw_data!B82</f>
        <v>Queensland</v>
      </c>
      <c r="C82" t="str">
        <f>raw_data!C82</f>
        <v>Education and Training</v>
      </c>
      <c r="D82">
        <f>raw_data!D82</f>
        <v>3.87</v>
      </c>
      <c r="E82">
        <f>raw_data!E82</f>
        <v>78.849999999999994</v>
      </c>
      <c r="F82">
        <f>raw_data!F82</f>
        <v>5.76</v>
      </c>
      <c r="G82">
        <f>raw_data!G82</f>
        <v>26.93</v>
      </c>
      <c r="H82">
        <f>(raw_data!D82*weights!$B$2)+(raw_data!E82*weights!$B$3)+(raw_data!F82*weights!$B$4)</f>
        <v>26.930999999999997</v>
      </c>
      <c r="I82" t="str">
        <f t="shared" si="2"/>
        <v>Moderate</v>
      </c>
      <c r="J82" t="str">
        <f t="shared" si="3"/>
        <v>2010 Q4</v>
      </c>
      <c r="K82">
        <f>raw_data!H82</f>
        <v>1.55</v>
      </c>
      <c r="L82" s="13">
        <f>raw_data!I82</f>
        <v>23.65</v>
      </c>
      <c r="M82" s="13">
        <f>raw_data!J82</f>
        <v>1.73</v>
      </c>
    </row>
    <row r="83" spans="1:13" x14ac:dyDescent="0.2">
      <c r="A83" t="str">
        <f>raw_data!A83</f>
        <v>2010Q4</v>
      </c>
      <c r="B83" t="str">
        <f>raw_data!B83</f>
        <v>Queensland</v>
      </c>
      <c r="C83" t="str">
        <f>raw_data!C83</f>
        <v>Health Care and Social Assistance</v>
      </c>
      <c r="D83">
        <f>raw_data!D83</f>
        <v>16.63</v>
      </c>
      <c r="E83">
        <f>raw_data!E83</f>
        <v>63.46</v>
      </c>
      <c r="F83">
        <f>raw_data!F83</f>
        <v>19.75</v>
      </c>
      <c r="G83">
        <f>raw_data!G83</f>
        <v>31.61</v>
      </c>
      <c r="H83">
        <f>(raw_data!D83*weights!$B$2)+(raw_data!E83*weights!$B$3)+(raw_data!F83*weights!$B$4)</f>
        <v>31.615000000000002</v>
      </c>
      <c r="I83" t="str">
        <f t="shared" si="2"/>
        <v>Moderate</v>
      </c>
      <c r="J83" t="str">
        <f t="shared" si="3"/>
        <v>2010 Q4</v>
      </c>
      <c r="K83">
        <f>raw_data!H83</f>
        <v>6.65</v>
      </c>
      <c r="L83" s="13">
        <f>raw_data!I83</f>
        <v>19.04</v>
      </c>
      <c r="M83" s="13">
        <f>raw_data!J83</f>
        <v>5.92</v>
      </c>
    </row>
    <row r="84" spans="1:13" x14ac:dyDescent="0.2">
      <c r="A84" t="str">
        <f>raw_data!A84</f>
        <v>2010Q4</v>
      </c>
      <c r="B84" t="str">
        <f>raw_data!B84</f>
        <v>Queensland</v>
      </c>
      <c r="C84" t="str">
        <f>raw_data!C84</f>
        <v>Manufacturing</v>
      </c>
      <c r="D84">
        <f>raw_data!D84</f>
        <v>17.02</v>
      </c>
      <c r="E84">
        <f>raw_data!E84</f>
        <v>69.23</v>
      </c>
      <c r="F84">
        <f>raw_data!F84</f>
        <v>6.9</v>
      </c>
      <c r="G84">
        <f>raw_data!G84</f>
        <v>29.65</v>
      </c>
      <c r="H84">
        <f>(raw_data!D84*weights!$B$2)+(raw_data!E84*weights!$B$3)+(raw_data!F84*weights!$B$4)</f>
        <v>29.647000000000002</v>
      </c>
      <c r="I84" t="str">
        <f t="shared" si="2"/>
        <v>Moderate</v>
      </c>
      <c r="J84" t="str">
        <f t="shared" si="3"/>
        <v>2010 Q4</v>
      </c>
      <c r="K84">
        <f>raw_data!H84</f>
        <v>6.81</v>
      </c>
      <c r="L84" s="13">
        <f>raw_data!I84</f>
        <v>20.77</v>
      </c>
      <c r="M84" s="13">
        <f>raw_data!J84</f>
        <v>2.0699999999999998</v>
      </c>
    </row>
    <row r="85" spans="1:13" x14ac:dyDescent="0.2">
      <c r="A85" t="str">
        <f>raw_data!A85</f>
        <v>2010Q4</v>
      </c>
      <c r="B85" t="str">
        <f>raw_data!B85</f>
        <v>Queensland</v>
      </c>
      <c r="C85" t="str">
        <f>raw_data!C85</f>
        <v>Professional, Scientific and Technical Services</v>
      </c>
      <c r="D85">
        <f>raw_data!D85</f>
        <v>35.31</v>
      </c>
      <c r="E85">
        <f>raw_data!E85</f>
        <v>82.69</v>
      </c>
      <c r="F85">
        <f>raw_data!F85</f>
        <v>29.65</v>
      </c>
      <c r="G85">
        <f>raw_data!G85</f>
        <v>47.83</v>
      </c>
      <c r="H85">
        <f>(raw_data!D85*weights!$B$2)+(raw_data!E85*weights!$B$3)+(raw_data!F85*weights!$B$4)</f>
        <v>47.825999999999993</v>
      </c>
      <c r="I85" t="str">
        <f t="shared" si="2"/>
        <v>High</v>
      </c>
      <c r="J85" t="str">
        <f t="shared" si="3"/>
        <v>2010 Q4</v>
      </c>
      <c r="K85">
        <f>raw_data!H85</f>
        <v>14.12</v>
      </c>
      <c r="L85" s="13">
        <f>raw_data!I85</f>
        <v>24.81</v>
      </c>
      <c r="M85" s="13">
        <f>raw_data!J85</f>
        <v>8.89</v>
      </c>
    </row>
    <row r="86" spans="1:13" x14ac:dyDescent="0.2">
      <c r="A86" t="str">
        <f>raw_data!A86</f>
        <v>2010Q4</v>
      </c>
      <c r="B86" t="str">
        <f>raw_data!B86</f>
        <v>Victoria</v>
      </c>
      <c r="C86" t="str">
        <f>raw_data!C86</f>
        <v>Accommodation and Food Services</v>
      </c>
      <c r="D86">
        <f>raw_data!D86</f>
        <v>30.6</v>
      </c>
      <c r="E86">
        <f>raw_data!E86</f>
        <v>61.54</v>
      </c>
      <c r="F86">
        <f>raw_data!F86</f>
        <v>7.88</v>
      </c>
      <c r="G86">
        <f>raw_data!G86</f>
        <v>33.07</v>
      </c>
      <c r="H86">
        <f>(raw_data!D86*weights!$B$2)+(raw_data!E86*weights!$B$3)+(raw_data!F86*weights!$B$4)</f>
        <v>33.066000000000003</v>
      </c>
      <c r="I86" t="str">
        <f t="shared" si="2"/>
        <v>Moderate</v>
      </c>
      <c r="J86" t="str">
        <f t="shared" si="3"/>
        <v>2010 Q4</v>
      </c>
      <c r="K86">
        <f>raw_data!H86</f>
        <v>12.24</v>
      </c>
      <c r="L86" s="13">
        <f>raw_data!I86</f>
        <v>18.46</v>
      </c>
      <c r="M86" s="13">
        <f>raw_data!J86</f>
        <v>2.36</v>
      </c>
    </row>
    <row r="87" spans="1:13" x14ac:dyDescent="0.2">
      <c r="A87" t="str">
        <f>raw_data!A87</f>
        <v>2010Q4</v>
      </c>
      <c r="B87" t="str">
        <f>raw_data!B87</f>
        <v>Victoria</v>
      </c>
      <c r="C87" t="str">
        <f>raw_data!C87</f>
        <v>Construction</v>
      </c>
      <c r="D87">
        <f>raw_data!D87</f>
        <v>11.74</v>
      </c>
      <c r="E87">
        <f>raw_data!E87</f>
        <v>71.150000000000006</v>
      </c>
      <c r="F87">
        <f>raw_data!F87</f>
        <v>13.3</v>
      </c>
      <c r="G87">
        <f>raw_data!G87</f>
        <v>30.03</v>
      </c>
      <c r="H87">
        <f>(raw_data!D87*weights!$B$2)+(raw_data!E87*weights!$B$3)+(raw_data!F87*weights!$B$4)</f>
        <v>30.031000000000006</v>
      </c>
      <c r="I87" t="str">
        <f t="shared" si="2"/>
        <v>Moderate</v>
      </c>
      <c r="J87" t="str">
        <f t="shared" si="3"/>
        <v>2010 Q4</v>
      </c>
      <c r="K87">
        <f>raw_data!H87</f>
        <v>4.6900000000000004</v>
      </c>
      <c r="L87" s="13">
        <f>raw_data!I87</f>
        <v>21.35</v>
      </c>
      <c r="M87" s="13">
        <f>raw_data!J87</f>
        <v>3.99</v>
      </c>
    </row>
    <row r="88" spans="1:13" x14ac:dyDescent="0.2">
      <c r="A88" t="str">
        <f>raw_data!A88</f>
        <v>2010Q4</v>
      </c>
      <c r="B88" t="str">
        <f>raw_data!B88</f>
        <v>Victoria</v>
      </c>
      <c r="C88" t="str">
        <f>raw_data!C88</f>
        <v>Education and Training</v>
      </c>
      <c r="D88">
        <f>raw_data!D88</f>
        <v>2.59</v>
      </c>
      <c r="E88">
        <f>raw_data!E88</f>
        <v>78.849999999999994</v>
      </c>
      <c r="F88">
        <f>raw_data!F88</f>
        <v>5.4</v>
      </c>
      <c r="G88">
        <f>raw_data!G88</f>
        <v>26.31</v>
      </c>
      <c r="H88">
        <f>(raw_data!D88*weights!$B$2)+(raw_data!E88*weights!$B$3)+(raw_data!F88*weights!$B$4)</f>
        <v>26.311</v>
      </c>
      <c r="I88" t="str">
        <f t="shared" si="2"/>
        <v>Moderate</v>
      </c>
      <c r="J88" t="str">
        <f t="shared" si="3"/>
        <v>2010 Q4</v>
      </c>
      <c r="K88">
        <f>raw_data!H88</f>
        <v>1.04</v>
      </c>
      <c r="L88" s="13">
        <f>raw_data!I88</f>
        <v>23.65</v>
      </c>
      <c r="M88" s="13">
        <f>raw_data!J88</f>
        <v>1.62</v>
      </c>
    </row>
    <row r="89" spans="1:13" x14ac:dyDescent="0.2">
      <c r="A89" t="str">
        <f>raw_data!A89</f>
        <v>2010Q4</v>
      </c>
      <c r="B89" t="str">
        <f>raw_data!B89</f>
        <v>Victoria</v>
      </c>
      <c r="C89" t="str">
        <f>raw_data!C89</f>
        <v>Health Care and Social Assistance</v>
      </c>
      <c r="D89">
        <f>raw_data!D89</f>
        <v>12.53</v>
      </c>
      <c r="E89">
        <f>raw_data!E89</f>
        <v>63.46</v>
      </c>
      <c r="F89">
        <f>raw_data!F89</f>
        <v>16.45</v>
      </c>
      <c r="G89">
        <f>raw_data!G89</f>
        <v>28.99</v>
      </c>
      <c r="H89">
        <f>(raw_data!D89*weights!$B$2)+(raw_data!E89*weights!$B$3)+(raw_data!F89*weights!$B$4)</f>
        <v>28.984999999999999</v>
      </c>
      <c r="I89" t="str">
        <f t="shared" si="2"/>
        <v>Moderate</v>
      </c>
      <c r="J89" t="str">
        <f t="shared" si="3"/>
        <v>2010 Q4</v>
      </c>
      <c r="K89">
        <f>raw_data!H89</f>
        <v>5.01</v>
      </c>
      <c r="L89" s="13">
        <f>raw_data!I89</f>
        <v>19.04</v>
      </c>
      <c r="M89" s="13">
        <f>raw_data!J89</f>
        <v>4.9400000000000004</v>
      </c>
    </row>
    <row r="90" spans="1:13" x14ac:dyDescent="0.2">
      <c r="A90" t="str">
        <f>raw_data!A90</f>
        <v>2010Q4</v>
      </c>
      <c r="B90" t="str">
        <f>raw_data!B90</f>
        <v>Victoria</v>
      </c>
      <c r="C90" t="str">
        <f>raw_data!C90</f>
        <v>Manufacturing</v>
      </c>
      <c r="D90">
        <f>raw_data!D90</f>
        <v>9.73</v>
      </c>
      <c r="E90">
        <f>raw_data!E90</f>
        <v>69.23</v>
      </c>
      <c r="F90">
        <f>raw_data!F90</f>
        <v>5.36</v>
      </c>
      <c r="G90">
        <f>raw_data!G90</f>
        <v>26.27</v>
      </c>
      <c r="H90">
        <f>(raw_data!D90*weights!$B$2)+(raw_data!E90*weights!$B$3)+(raw_data!F90*weights!$B$4)</f>
        <v>26.269000000000002</v>
      </c>
      <c r="I90" t="str">
        <f t="shared" si="2"/>
        <v>Moderate</v>
      </c>
      <c r="J90" t="str">
        <f t="shared" si="3"/>
        <v>2010 Q4</v>
      </c>
      <c r="K90">
        <f>raw_data!H90</f>
        <v>3.89</v>
      </c>
      <c r="L90" s="13">
        <f>raw_data!I90</f>
        <v>20.77</v>
      </c>
      <c r="M90" s="13">
        <f>raw_data!J90</f>
        <v>1.61</v>
      </c>
    </row>
    <row r="91" spans="1:13" x14ac:dyDescent="0.2">
      <c r="A91" t="str">
        <f>raw_data!A91</f>
        <v>2010Q4</v>
      </c>
      <c r="B91" t="str">
        <f>raw_data!B91</f>
        <v>Victoria</v>
      </c>
      <c r="C91" t="str">
        <f>raw_data!C91</f>
        <v>Professional, Scientific and Technical Services</v>
      </c>
      <c r="D91">
        <f>raw_data!D91</f>
        <v>22.29</v>
      </c>
      <c r="E91">
        <f>raw_data!E91</f>
        <v>82.69</v>
      </c>
      <c r="F91">
        <f>raw_data!F91</f>
        <v>21.81</v>
      </c>
      <c r="G91">
        <f>raw_data!G91</f>
        <v>40.270000000000003</v>
      </c>
      <c r="H91">
        <f>(raw_data!D91*weights!$B$2)+(raw_data!E91*weights!$B$3)+(raw_data!F91*weights!$B$4)</f>
        <v>40.265999999999998</v>
      </c>
      <c r="I91" t="str">
        <f t="shared" si="2"/>
        <v>Moderate</v>
      </c>
      <c r="J91" t="str">
        <f t="shared" si="3"/>
        <v>2010 Q4</v>
      </c>
      <c r="K91">
        <f>raw_data!H91</f>
        <v>8.92</v>
      </c>
      <c r="L91" s="13">
        <f>raw_data!I91</f>
        <v>24.81</v>
      </c>
      <c r="M91" s="13">
        <f>raw_data!J91</f>
        <v>6.54</v>
      </c>
    </row>
    <row r="92" spans="1:13" x14ac:dyDescent="0.2">
      <c r="A92" t="str">
        <f>raw_data!A92</f>
        <v>2011Q1</v>
      </c>
      <c r="B92" t="str">
        <f>raw_data!B92</f>
        <v>New South Wales</v>
      </c>
      <c r="C92" t="str">
        <f>raw_data!C92</f>
        <v>Accommodation and Food Services</v>
      </c>
      <c r="D92">
        <f>raw_data!D92</f>
        <v>19</v>
      </c>
      <c r="E92">
        <f>raw_data!E92</f>
        <v>57.69</v>
      </c>
      <c r="F92">
        <f>raw_data!F92</f>
        <v>5.23</v>
      </c>
      <c r="G92">
        <f>raw_data!G92</f>
        <v>26.47</v>
      </c>
      <c r="H92">
        <f>(raw_data!D92*weights!$B$2)+(raw_data!E92*weights!$B$3)+(raw_data!F92*weights!$B$4)</f>
        <v>26.475999999999999</v>
      </c>
      <c r="I92" t="str">
        <f t="shared" si="2"/>
        <v>Moderate</v>
      </c>
      <c r="J92" t="str">
        <f t="shared" si="3"/>
        <v>2011 Q1</v>
      </c>
      <c r="K92">
        <f>raw_data!H92</f>
        <v>7.6</v>
      </c>
      <c r="L92" s="13">
        <f>raw_data!I92</f>
        <v>17.309999999999999</v>
      </c>
      <c r="M92" s="13">
        <f>raw_data!J92</f>
        <v>1.57</v>
      </c>
    </row>
    <row r="93" spans="1:13" x14ac:dyDescent="0.2">
      <c r="A93" t="str">
        <f>raw_data!A93</f>
        <v>2011Q1</v>
      </c>
      <c r="B93" t="str">
        <f>raw_data!B93</f>
        <v>New South Wales</v>
      </c>
      <c r="C93" t="str">
        <f>raw_data!C93</f>
        <v>Construction</v>
      </c>
      <c r="D93">
        <f>raw_data!D93</f>
        <v>19.489999999999998</v>
      </c>
      <c r="E93">
        <f>raw_data!E93</f>
        <v>76.92</v>
      </c>
      <c r="F93">
        <f>raw_data!F93</f>
        <v>6.59</v>
      </c>
      <c r="G93">
        <f>raw_data!G93</f>
        <v>32.85</v>
      </c>
      <c r="H93">
        <f>(raw_data!D93*weights!$B$2)+(raw_data!E93*weights!$B$3)+(raw_data!F93*weights!$B$4)</f>
        <v>32.848999999999997</v>
      </c>
      <c r="I93" t="str">
        <f t="shared" si="2"/>
        <v>Moderate</v>
      </c>
      <c r="J93" t="str">
        <f t="shared" si="3"/>
        <v>2011 Q1</v>
      </c>
      <c r="K93">
        <f>raw_data!H93</f>
        <v>7.8</v>
      </c>
      <c r="L93" s="13">
        <f>raw_data!I93</f>
        <v>23.08</v>
      </c>
      <c r="M93" s="13">
        <f>raw_data!J93</f>
        <v>1.98</v>
      </c>
    </row>
    <row r="94" spans="1:13" x14ac:dyDescent="0.2">
      <c r="A94" t="str">
        <f>raw_data!A94</f>
        <v>2011Q1</v>
      </c>
      <c r="B94" t="str">
        <f>raw_data!B94</f>
        <v>New South Wales</v>
      </c>
      <c r="C94" t="str">
        <f>raw_data!C94</f>
        <v>Education and Training</v>
      </c>
      <c r="D94">
        <f>raw_data!D94</f>
        <v>3.65</v>
      </c>
      <c r="E94">
        <f>raw_data!E94</f>
        <v>67.31</v>
      </c>
      <c r="F94">
        <f>raw_data!F94</f>
        <v>4.78</v>
      </c>
      <c r="G94">
        <f>raw_data!G94</f>
        <v>23.09</v>
      </c>
      <c r="H94">
        <f>(raw_data!D94*weights!$B$2)+(raw_data!E94*weights!$B$3)+(raw_data!F94*weights!$B$4)</f>
        <v>23.087000000000003</v>
      </c>
      <c r="I94" t="str">
        <f t="shared" si="2"/>
        <v>Low</v>
      </c>
      <c r="J94" t="str">
        <f t="shared" si="3"/>
        <v>2011 Q1</v>
      </c>
      <c r="K94">
        <f>raw_data!H94</f>
        <v>1.46</v>
      </c>
      <c r="L94" s="13">
        <f>raw_data!I94</f>
        <v>20.190000000000001</v>
      </c>
      <c r="M94" s="13">
        <f>raw_data!J94</f>
        <v>1.44</v>
      </c>
    </row>
    <row r="95" spans="1:13" x14ac:dyDescent="0.2">
      <c r="A95" t="str">
        <f>raw_data!A95</f>
        <v>2011Q1</v>
      </c>
      <c r="B95" t="str">
        <f>raw_data!B95</f>
        <v>New South Wales</v>
      </c>
      <c r="C95" t="str">
        <f>raw_data!C95</f>
        <v>Health Care and Social Assistance</v>
      </c>
      <c r="D95">
        <f>raw_data!D95</f>
        <v>8.91</v>
      </c>
      <c r="E95">
        <f>raw_data!E95</f>
        <v>57.69</v>
      </c>
      <c r="F95">
        <f>raw_data!F95</f>
        <v>13.92</v>
      </c>
      <c r="G95">
        <f>raw_data!G95</f>
        <v>25.05</v>
      </c>
      <c r="H95">
        <f>(raw_data!D95*weights!$B$2)+(raw_data!E95*weights!$B$3)+(raw_data!F95*weights!$B$4)</f>
        <v>25.046999999999997</v>
      </c>
      <c r="I95" t="str">
        <f t="shared" si="2"/>
        <v>Moderate</v>
      </c>
      <c r="J95" t="str">
        <f t="shared" si="3"/>
        <v>2011 Q1</v>
      </c>
      <c r="K95">
        <f>raw_data!H95</f>
        <v>3.56</v>
      </c>
      <c r="L95" s="13">
        <f>raw_data!I95</f>
        <v>17.309999999999999</v>
      </c>
      <c r="M95" s="13">
        <f>raw_data!J95</f>
        <v>4.18</v>
      </c>
    </row>
    <row r="96" spans="1:13" x14ac:dyDescent="0.2">
      <c r="A96" t="str">
        <f>raw_data!A96</f>
        <v>2011Q1</v>
      </c>
      <c r="B96" t="str">
        <f>raw_data!B96</f>
        <v>New South Wales</v>
      </c>
      <c r="C96" t="str">
        <f>raw_data!C96</f>
        <v>Manufacturing</v>
      </c>
      <c r="D96">
        <f>raw_data!D96</f>
        <v>8.99</v>
      </c>
      <c r="E96">
        <f>raw_data!E96</f>
        <v>73.08</v>
      </c>
      <c r="F96">
        <f>raw_data!F96</f>
        <v>7.3</v>
      </c>
      <c r="G96">
        <f>raw_data!G96</f>
        <v>27.71</v>
      </c>
      <c r="H96">
        <f>(raw_data!D96*weights!$B$2)+(raw_data!E96*weights!$B$3)+(raw_data!F96*weights!$B$4)</f>
        <v>27.71</v>
      </c>
      <c r="I96" t="str">
        <f t="shared" si="2"/>
        <v>Moderate</v>
      </c>
      <c r="J96" t="str">
        <f t="shared" si="3"/>
        <v>2011 Q1</v>
      </c>
      <c r="K96">
        <f>raw_data!H96</f>
        <v>3.6</v>
      </c>
      <c r="L96" s="13">
        <f>raw_data!I96</f>
        <v>21.92</v>
      </c>
      <c r="M96" s="13">
        <f>raw_data!J96</f>
        <v>2.19</v>
      </c>
    </row>
    <row r="97" spans="1:13" x14ac:dyDescent="0.2">
      <c r="A97" t="str">
        <f>raw_data!A97</f>
        <v>2011Q1</v>
      </c>
      <c r="B97" t="str">
        <f>raw_data!B97</f>
        <v>New South Wales</v>
      </c>
      <c r="C97" t="str">
        <f>raw_data!C97</f>
        <v>Professional, Scientific and Technical Services</v>
      </c>
      <c r="D97">
        <f>raw_data!D97</f>
        <v>20.57</v>
      </c>
      <c r="E97">
        <f>raw_data!E97</f>
        <v>82.69</v>
      </c>
      <c r="F97">
        <f>raw_data!F97</f>
        <v>12.58</v>
      </c>
      <c r="G97">
        <f>raw_data!G97</f>
        <v>36.81</v>
      </c>
      <c r="H97">
        <f>(raw_data!D97*weights!$B$2)+(raw_data!E97*weights!$B$3)+(raw_data!F97*weights!$B$4)</f>
        <v>36.808999999999997</v>
      </c>
      <c r="I97" t="str">
        <f t="shared" si="2"/>
        <v>Moderate</v>
      </c>
      <c r="J97" t="str">
        <f t="shared" si="3"/>
        <v>2011 Q1</v>
      </c>
      <c r="K97">
        <f>raw_data!H97</f>
        <v>8.23</v>
      </c>
      <c r="L97" s="13">
        <f>raw_data!I97</f>
        <v>24.81</v>
      </c>
      <c r="M97" s="13">
        <f>raw_data!J97</f>
        <v>3.77</v>
      </c>
    </row>
    <row r="98" spans="1:13" x14ac:dyDescent="0.2">
      <c r="A98" t="str">
        <f>raw_data!A98</f>
        <v>2011Q1</v>
      </c>
      <c r="B98" t="str">
        <f>raw_data!B98</f>
        <v>Queensland</v>
      </c>
      <c r="C98" t="str">
        <f>raw_data!C98</f>
        <v>Accommodation and Food Services</v>
      </c>
      <c r="D98">
        <f>raw_data!D98</f>
        <v>31.56</v>
      </c>
      <c r="E98">
        <f>raw_data!E98</f>
        <v>57.69</v>
      </c>
      <c r="F98">
        <f>raw_data!F98</f>
        <v>4.49</v>
      </c>
      <c r="G98">
        <f>raw_data!G98</f>
        <v>31.28</v>
      </c>
      <c r="H98">
        <f>(raw_data!D98*weights!$B$2)+(raw_data!E98*weights!$B$3)+(raw_data!F98*weights!$B$4)</f>
        <v>31.277999999999999</v>
      </c>
      <c r="I98" t="str">
        <f t="shared" si="2"/>
        <v>Moderate</v>
      </c>
      <c r="J98" t="str">
        <f t="shared" si="3"/>
        <v>2011 Q1</v>
      </c>
      <c r="K98">
        <f>raw_data!H98</f>
        <v>12.62</v>
      </c>
      <c r="L98" s="13">
        <f>raw_data!I98</f>
        <v>17.309999999999999</v>
      </c>
      <c r="M98" s="13">
        <f>raw_data!J98</f>
        <v>1.35</v>
      </c>
    </row>
    <row r="99" spans="1:13" x14ac:dyDescent="0.2">
      <c r="A99" t="str">
        <f>raw_data!A99</f>
        <v>2011Q1</v>
      </c>
      <c r="B99" t="str">
        <f>raw_data!B99</f>
        <v>Queensland</v>
      </c>
      <c r="C99" t="str">
        <f>raw_data!C99</f>
        <v>Construction</v>
      </c>
      <c r="D99">
        <f>raw_data!D99</f>
        <v>23.05</v>
      </c>
      <c r="E99">
        <f>raw_data!E99</f>
        <v>76.92</v>
      </c>
      <c r="F99">
        <f>raw_data!F99</f>
        <v>6.87</v>
      </c>
      <c r="G99">
        <f>raw_data!G99</f>
        <v>34.36</v>
      </c>
      <c r="H99">
        <f>(raw_data!D99*weights!$B$2)+(raw_data!E99*weights!$B$3)+(raw_data!F99*weights!$B$4)</f>
        <v>34.356999999999999</v>
      </c>
      <c r="I99" t="str">
        <f t="shared" si="2"/>
        <v>Moderate</v>
      </c>
      <c r="J99" t="str">
        <f t="shared" si="3"/>
        <v>2011 Q1</v>
      </c>
      <c r="K99">
        <f>raw_data!H99</f>
        <v>9.2200000000000006</v>
      </c>
      <c r="L99" s="13">
        <f>raw_data!I99</f>
        <v>23.08</v>
      </c>
      <c r="M99" s="13">
        <f>raw_data!J99</f>
        <v>2.06</v>
      </c>
    </row>
    <row r="100" spans="1:13" x14ac:dyDescent="0.2">
      <c r="A100" t="str">
        <f>raw_data!A100</f>
        <v>2011Q1</v>
      </c>
      <c r="B100" t="str">
        <f>raw_data!B100</f>
        <v>Queensland</v>
      </c>
      <c r="C100" t="str">
        <f>raw_data!C100</f>
        <v>Education and Training</v>
      </c>
      <c r="D100">
        <f>raw_data!D100</f>
        <v>6.92</v>
      </c>
      <c r="E100">
        <f>raw_data!E100</f>
        <v>67.31</v>
      </c>
      <c r="F100">
        <f>raw_data!F100</f>
        <v>3.44</v>
      </c>
      <c r="G100">
        <f>raw_data!G100</f>
        <v>23.99</v>
      </c>
      <c r="H100">
        <f>(raw_data!D100*weights!$B$2)+(raw_data!E100*weights!$B$3)+(raw_data!F100*weights!$B$4)</f>
        <v>23.993000000000002</v>
      </c>
      <c r="I100" t="str">
        <f t="shared" si="2"/>
        <v>Low</v>
      </c>
      <c r="J100" t="str">
        <f t="shared" si="3"/>
        <v>2011 Q1</v>
      </c>
      <c r="K100">
        <f>raw_data!H100</f>
        <v>2.77</v>
      </c>
      <c r="L100" s="13">
        <f>raw_data!I100</f>
        <v>20.190000000000001</v>
      </c>
      <c r="M100" s="13">
        <f>raw_data!J100</f>
        <v>1.03</v>
      </c>
    </row>
    <row r="101" spans="1:13" x14ac:dyDescent="0.2">
      <c r="A101" t="str">
        <f>raw_data!A101</f>
        <v>2011Q1</v>
      </c>
      <c r="B101" t="str">
        <f>raw_data!B101</f>
        <v>Queensland</v>
      </c>
      <c r="C101" t="str">
        <f>raw_data!C101</f>
        <v>Health Care and Social Assistance</v>
      </c>
      <c r="D101">
        <f>raw_data!D101</f>
        <v>15.86</v>
      </c>
      <c r="E101">
        <f>raw_data!E101</f>
        <v>57.69</v>
      </c>
      <c r="F101">
        <f>raw_data!F101</f>
        <v>12.25</v>
      </c>
      <c r="G101">
        <f>raw_data!G101</f>
        <v>27.32</v>
      </c>
      <c r="H101">
        <f>(raw_data!D101*weights!$B$2)+(raw_data!E101*weights!$B$3)+(raw_data!F101*weights!$B$4)</f>
        <v>27.326000000000001</v>
      </c>
      <c r="I101" t="str">
        <f t="shared" si="2"/>
        <v>Moderate</v>
      </c>
      <c r="J101" t="str">
        <f t="shared" si="3"/>
        <v>2011 Q1</v>
      </c>
      <c r="K101">
        <f>raw_data!H101</f>
        <v>6.34</v>
      </c>
      <c r="L101" s="13">
        <f>raw_data!I101</f>
        <v>17.309999999999999</v>
      </c>
      <c r="M101" s="13">
        <f>raw_data!J101</f>
        <v>3.68</v>
      </c>
    </row>
    <row r="102" spans="1:13" x14ac:dyDescent="0.2">
      <c r="A102" t="str">
        <f>raw_data!A102</f>
        <v>2011Q1</v>
      </c>
      <c r="B102" t="str">
        <f>raw_data!B102</f>
        <v>Queensland</v>
      </c>
      <c r="C102" t="str">
        <f>raw_data!C102</f>
        <v>Manufacturing</v>
      </c>
      <c r="D102">
        <f>raw_data!D102</f>
        <v>18.350000000000001</v>
      </c>
      <c r="E102">
        <f>raw_data!E102</f>
        <v>73.08</v>
      </c>
      <c r="F102">
        <f>raw_data!F102</f>
        <v>3.84</v>
      </c>
      <c r="G102">
        <f>raw_data!G102</f>
        <v>30.42</v>
      </c>
      <c r="H102">
        <f>(raw_data!D102*weights!$B$2)+(raw_data!E102*weights!$B$3)+(raw_data!F102*weights!$B$4)</f>
        <v>30.416</v>
      </c>
      <c r="I102" t="str">
        <f t="shared" si="2"/>
        <v>Moderate</v>
      </c>
      <c r="J102" t="str">
        <f t="shared" si="3"/>
        <v>2011 Q1</v>
      </c>
      <c r="K102">
        <f>raw_data!H102</f>
        <v>7.34</v>
      </c>
      <c r="L102" s="13">
        <f>raw_data!I102</f>
        <v>21.92</v>
      </c>
      <c r="M102" s="13">
        <f>raw_data!J102</f>
        <v>1.1499999999999999</v>
      </c>
    </row>
    <row r="103" spans="1:13" x14ac:dyDescent="0.2">
      <c r="A103" t="str">
        <f>raw_data!A103</f>
        <v>2011Q1</v>
      </c>
      <c r="B103" t="str">
        <f>raw_data!B103</f>
        <v>Queensland</v>
      </c>
      <c r="C103" t="str">
        <f>raw_data!C103</f>
        <v>Professional, Scientific and Technical Services</v>
      </c>
      <c r="D103">
        <f>raw_data!D103</f>
        <v>40.93</v>
      </c>
      <c r="E103">
        <f>raw_data!E103</f>
        <v>82.69</v>
      </c>
      <c r="F103">
        <f>raw_data!F103</f>
        <v>24.32</v>
      </c>
      <c r="G103">
        <f>raw_data!G103</f>
        <v>48.47</v>
      </c>
      <c r="H103">
        <f>(raw_data!D103*weights!$B$2)+(raw_data!E103*weights!$B$3)+(raw_data!F103*weights!$B$4)</f>
        <v>48.475000000000001</v>
      </c>
      <c r="I103" t="str">
        <f t="shared" si="2"/>
        <v>High</v>
      </c>
      <c r="J103" t="str">
        <f t="shared" si="3"/>
        <v>2011 Q1</v>
      </c>
      <c r="K103">
        <f>raw_data!H103</f>
        <v>16.37</v>
      </c>
      <c r="L103" s="13">
        <f>raw_data!I103</f>
        <v>24.81</v>
      </c>
      <c r="M103" s="13">
        <f>raw_data!J103</f>
        <v>7.3</v>
      </c>
    </row>
    <row r="104" spans="1:13" x14ac:dyDescent="0.2">
      <c r="A104" t="str">
        <f>raw_data!A104</f>
        <v>2011Q1</v>
      </c>
      <c r="B104" t="str">
        <f>raw_data!B104</f>
        <v>Victoria</v>
      </c>
      <c r="C104" t="str">
        <f>raw_data!C104</f>
        <v>Accommodation and Food Services</v>
      </c>
      <c r="D104">
        <f>raw_data!D104</f>
        <v>26.47</v>
      </c>
      <c r="E104">
        <f>raw_data!E104</f>
        <v>57.69</v>
      </c>
      <c r="F104">
        <f>raw_data!F104</f>
        <v>5.44</v>
      </c>
      <c r="G104">
        <f>raw_data!G104</f>
        <v>29.53</v>
      </c>
      <c r="H104">
        <f>(raw_data!D104*weights!$B$2)+(raw_data!E104*weights!$B$3)+(raw_data!F104*weights!$B$4)</f>
        <v>29.527000000000001</v>
      </c>
      <c r="I104" t="str">
        <f t="shared" si="2"/>
        <v>Moderate</v>
      </c>
      <c r="J104" t="str">
        <f t="shared" si="3"/>
        <v>2011 Q1</v>
      </c>
      <c r="K104">
        <f>raw_data!H104</f>
        <v>10.59</v>
      </c>
      <c r="L104" s="13">
        <f>raw_data!I104</f>
        <v>17.309999999999999</v>
      </c>
      <c r="M104" s="13">
        <f>raw_data!J104</f>
        <v>1.63</v>
      </c>
    </row>
    <row r="105" spans="1:13" x14ac:dyDescent="0.2">
      <c r="A105" t="str">
        <f>raw_data!A105</f>
        <v>2011Q1</v>
      </c>
      <c r="B105" t="str">
        <f>raw_data!B105</f>
        <v>Victoria</v>
      </c>
      <c r="C105" t="str">
        <f>raw_data!C105</f>
        <v>Construction</v>
      </c>
      <c r="D105">
        <f>raw_data!D105</f>
        <v>20.64</v>
      </c>
      <c r="E105">
        <f>raw_data!E105</f>
        <v>76.92</v>
      </c>
      <c r="F105">
        <f>raw_data!F105</f>
        <v>10.71</v>
      </c>
      <c r="G105">
        <f>raw_data!G105</f>
        <v>34.54</v>
      </c>
      <c r="H105">
        <f>(raw_data!D105*weights!$B$2)+(raw_data!E105*weights!$B$3)+(raw_data!F105*weights!$B$4)</f>
        <v>34.545000000000002</v>
      </c>
      <c r="I105" t="str">
        <f t="shared" si="2"/>
        <v>Moderate</v>
      </c>
      <c r="J105" t="str">
        <f t="shared" si="3"/>
        <v>2011 Q1</v>
      </c>
      <c r="K105">
        <f>raw_data!H105</f>
        <v>8.25</v>
      </c>
      <c r="L105" s="13">
        <f>raw_data!I105</f>
        <v>23.08</v>
      </c>
      <c r="M105" s="13">
        <f>raw_data!J105</f>
        <v>3.21</v>
      </c>
    </row>
    <row r="106" spans="1:13" x14ac:dyDescent="0.2">
      <c r="A106" t="str">
        <f>raw_data!A106</f>
        <v>2011Q1</v>
      </c>
      <c r="B106" t="str">
        <f>raw_data!B106</f>
        <v>Victoria</v>
      </c>
      <c r="C106" t="str">
        <f>raw_data!C106</f>
        <v>Education and Training</v>
      </c>
      <c r="D106">
        <f>raw_data!D106</f>
        <v>5.09</v>
      </c>
      <c r="E106">
        <f>raw_data!E106</f>
        <v>67.31</v>
      </c>
      <c r="F106">
        <f>raw_data!F106</f>
        <v>3.98</v>
      </c>
      <c r="G106">
        <f>raw_data!G106</f>
        <v>23.42</v>
      </c>
      <c r="H106">
        <f>(raw_data!D106*weights!$B$2)+(raw_data!E106*weights!$B$3)+(raw_data!F106*weights!$B$4)</f>
        <v>23.423000000000002</v>
      </c>
      <c r="I106" t="str">
        <f t="shared" si="2"/>
        <v>Low</v>
      </c>
      <c r="J106" t="str">
        <f t="shared" si="3"/>
        <v>2011 Q1</v>
      </c>
      <c r="K106">
        <f>raw_data!H106</f>
        <v>2.0299999999999998</v>
      </c>
      <c r="L106" s="13">
        <f>raw_data!I106</f>
        <v>20.190000000000001</v>
      </c>
      <c r="M106" s="13">
        <f>raw_data!J106</f>
        <v>1.19</v>
      </c>
    </row>
    <row r="107" spans="1:13" x14ac:dyDescent="0.2">
      <c r="A107" t="str">
        <f>raw_data!A107</f>
        <v>2011Q1</v>
      </c>
      <c r="B107" t="str">
        <f>raw_data!B107</f>
        <v>Victoria</v>
      </c>
      <c r="C107" t="str">
        <f>raw_data!C107</f>
        <v>Health Care and Social Assistance</v>
      </c>
      <c r="D107">
        <f>raw_data!D107</f>
        <v>12.09</v>
      </c>
      <c r="E107">
        <f>raw_data!E107</f>
        <v>57.69</v>
      </c>
      <c r="F107">
        <f>raw_data!F107</f>
        <v>17.09</v>
      </c>
      <c r="G107">
        <f>raw_data!G107</f>
        <v>27.27</v>
      </c>
      <c r="H107">
        <f>(raw_data!D107*weights!$B$2)+(raw_data!E107*weights!$B$3)+(raw_data!F107*weights!$B$4)</f>
        <v>27.27</v>
      </c>
      <c r="I107" t="str">
        <f t="shared" si="2"/>
        <v>Moderate</v>
      </c>
      <c r="J107" t="str">
        <f t="shared" si="3"/>
        <v>2011 Q1</v>
      </c>
      <c r="K107">
        <f>raw_data!H107</f>
        <v>4.83</v>
      </c>
      <c r="L107" s="13">
        <f>raw_data!I107</f>
        <v>17.309999999999999</v>
      </c>
      <c r="M107" s="13">
        <f>raw_data!J107</f>
        <v>5.13</v>
      </c>
    </row>
    <row r="108" spans="1:13" x14ac:dyDescent="0.2">
      <c r="A108" t="str">
        <f>raw_data!A108</f>
        <v>2011Q1</v>
      </c>
      <c r="B108" t="str">
        <f>raw_data!B108</f>
        <v>Victoria</v>
      </c>
      <c r="C108" t="str">
        <f>raw_data!C108</f>
        <v>Manufacturing</v>
      </c>
      <c r="D108">
        <f>raw_data!D108</f>
        <v>9.27</v>
      </c>
      <c r="E108">
        <f>raw_data!E108</f>
        <v>73.08</v>
      </c>
      <c r="F108">
        <f>raw_data!F108</f>
        <v>4.8499999999999996</v>
      </c>
      <c r="G108">
        <f>raw_data!G108</f>
        <v>27.09</v>
      </c>
      <c r="H108">
        <f>(raw_data!D108*weights!$B$2)+(raw_data!E108*weights!$B$3)+(raw_data!F108*weights!$B$4)</f>
        <v>27.086999999999996</v>
      </c>
      <c r="I108" t="str">
        <f t="shared" si="2"/>
        <v>Moderate</v>
      </c>
      <c r="J108" t="str">
        <f t="shared" si="3"/>
        <v>2011 Q1</v>
      </c>
      <c r="K108">
        <f>raw_data!H108</f>
        <v>3.71</v>
      </c>
      <c r="L108" s="13">
        <f>raw_data!I108</f>
        <v>21.92</v>
      </c>
      <c r="M108" s="13">
        <f>raw_data!J108</f>
        <v>1.45</v>
      </c>
    </row>
    <row r="109" spans="1:13" x14ac:dyDescent="0.2">
      <c r="A109" t="str">
        <f>raw_data!A109</f>
        <v>2011Q1</v>
      </c>
      <c r="B109" t="str">
        <f>raw_data!B109</f>
        <v>Victoria</v>
      </c>
      <c r="C109" t="str">
        <f>raw_data!C109</f>
        <v>Professional, Scientific and Technical Services</v>
      </c>
      <c r="D109">
        <f>raw_data!D109</f>
        <v>27.27</v>
      </c>
      <c r="E109">
        <f>raw_data!E109</f>
        <v>82.69</v>
      </c>
      <c r="F109">
        <f>raw_data!F109</f>
        <v>29.27</v>
      </c>
      <c r="G109">
        <f>raw_data!G109</f>
        <v>44.5</v>
      </c>
      <c r="H109">
        <f>(raw_data!D109*weights!$B$2)+(raw_data!E109*weights!$B$3)+(raw_data!F109*weights!$B$4)</f>
        <v>44.496000000000002</v>
      </c>
      <c r="I109" t="str">
        <f t="shared" si="2"/>
        <v>Moderate</v>
      </c>
      <c r="J109" t="str">
        <f t="shared" si="3"/>
        <v>2011 Q1</v>
      </c>
      <c r="K109">
        <f>raw_data!H109</f>
        <v>10.91</v>
      </c>
      <c r="L109" s="13">
        <f>raw_data!I109</f>
        <v>24.81</v>
      </c>
      <c r="M109" s="13">
        <f>raw_data!J109</f>
        <v>8.7799999999999994</v>
      </c>
    </row>
    <row r="110" spans="1:13" x14ac:dyDescent="0.2">
      <c r="A110" t="str">
        <f>raw_data!A110</f>
        <v>2011Q2</v>
      </c>
      <c r="B110" t="str">
        <f>raw_data!B110</f>
        <v>New South Wales</v>
      </c>
      <c r="C110" t="str">
        <f>raw_data!C110</f>
        <v>Accommodation and Food Services</v>
      </c>
      <c r="D110">
        <f>raw_data!D110</f>
        <v>15.08</v>
      </c>
      <c r="E110">
        <f>raw_data!E110</f>
        <v>51.92</v>
      </c>
      <c r="F110">
        <f>raw_data!F110</f>
        <v>2.97</v>
      </c>
      <c r="G110">
        <f>raw_data!G110</f>
        <v>22.5</v>
      </c>
      <c r="H110">
        <f>(raw_data!D110*weights!$B$2)+(raw_data!E110*weights!$B$3)+(raw_data!F110*weights!$B$4)</f>
        <v>22.499000000000002</v>
      </c>
      <c r="I110" t="str">
        <f t="shared" si="2"/>
        <v>Low</v>
      </c>
      <c r="J110" t="str">
        <f t="shared" si="3"/>
        <v>2011 Q2</v>
      </c>
      <c r="K110">
        <f>raw_data!H110</f>
        <v>6.03</v>
      </c>
      <c r="L110" s="13">
        <f>raw_data!I110</f>
        <v>15.58</v>
      </c>
      <c r="M110" s="13">
        <f>raw_data!J110</f>
        <v>0.89</v>
      </c>
    </row>
    <row r="111" spans="1:13" x14ac:dyDescent="0.2">
      <c r="A111" t="str">
        <f>raw_data!A111</f>
        <v>2011Q2</v>
      </c>
      <c r="B111" t="str">
        <f>raw_data!B111</f>
        <v>New South Wales</v>
      </c>
      <c r="C111" t="str">
        <f>raw_data!C111</f>
        <v>Construction</v>
      </c>
      <c r="D111">
        <f>raw_data!D111</f>
        <v>17.190000000000001</v>
      </c>
      <c r="E111">
        <f>raw_data!E111</f>
        <v>69.23</v>
      </c>
      <c r="F111">
        <f>raw_data!F111</f>
        <v>9.52</v>
      </c>
      <c r="G111">
        <f>raw_data!G111</f>
        <v>30.5</v>
      </c>
      <c r="H111">
        <f>(raw_data!D111*weights!$B$2)+(raw_data!E111*weights!$B$3)+(raw_data!F111*weights!$B$4)</f>
        <v>30.501000000000005</v>
      </c>
      <c r="I111" t="str">
        <f t="shared" si="2"/>
        <v>Moderate</v>
      </c>
      <c r="J111" t="str">
        <f t="shared" si="3"/>
        <v>2011 Q2</v>
      </c>
      <c r="K111">
        <f>raw_data!H111</f>
        <v>6.88</v>
      </c>
      <c r="L111" s="13">
        <f>raw_data!I111</f>
        <v>20.77</v>
      </c>
      <c r="M111" s="13">
        <f>raw_data!J111</f>
        <v>2.86</v>
      </c>
    </row>
    <row r="112" spans="1:13" x14ac:dyDescent="0.2">
      <c r="A112" t="str">
        <f>raw_data!A112</f>
        <v>2011Q2</v>
      </c>
      <c r="B112" t="str">
        <f>raw_data!B112</f>
        <v>New South Wales</v>
      </c>
      <c r="C112" t="str">
        <f>raw_data!C112</f>
        <v>Education and Training</v>
      </c>
      <c r="D112">
        <f>raw_data!D112</f>
        <v>0.93</v>
      </c>
      <c r="E112">
        <f>raw_data!E112</f>
        <v>67.31</v>
      </c>
      <c r="F112">
        <f>raw_data!F112</f>
        <v>2.2599999999999998</v>
      </c>
      <c r="G112">
        <f>raw_data!G112</f>
        <v>21.24</v>
      </c>
      <c r="H112">
        <f>(raw_data!D112*weights!$B$2)+(raw_data!E112*weights!$B$3)+(raw_data!F112*weights!$B$4)</f>
        <v>21.243000000000002</v>
      </c>
      <c r="I112" t="str">
        <f t="shared" si="2"/>
        <v>Low</v>
      </c>
      <c r="J112" t="str">
        <f t="shared" si="3"/>
        <v>2011 Q2</v>
      </c>
      <c r="K112">
        <f>raw_data!H112</f>
        <v>0.37</v>
      </c>
      <c r="L112" s="13">
        <f>raw_data!I112</f>
        <v>20.190000000000001</v>
      </c>
      <c r="M112" s="13">
        <f>raw_data!J112</f>
        <v>0.68</v>
      </c>
    </row>
    <row r="113" spans="1:13" x14ac:dyDescent="0.2">
      <c r="A113" t="str">
        <f>raw_data!A113</f>
        <v>2011Q2</v>
      </c>
      <c r="B113" t="str">
        <f>raw_data!B113</f>
        <v>New South Wales</v>
      </c>
      <c r="C113" t="str">
        <f>raw_data!C113</f>
        <v>Health Care and Social Assistance</v>
      </c>
      <c r="D113">
        <f>raw_data!D113</f>
        <v>9.7899999999999991</v>
      </c>
      <c r="E113">
        <f>raw_data!E113</f>
        <v>63.46</v>
      </c>
      <c r="F113">
        <f>raw_data!F113</f>
        <v>15.71</v>
      </c>
      <c r="G113">
        <f>raw_data!G113</f>
        <v>27.67</v>
      </c>
      <c r="H113">
        <f>(raw_data!D113*weights!$B$2)+(raw_data!E113*weights!$B$3)+(raw_data!F113*weights!$B$4)</f>
        <v>27.667000000000002</v>
      </c>
      <c r="I113" t="str">
        <f t="shared" si="2"/>
        <v>Moderate</v>
      </c>
      <c r="J113" t="str">
        <f t="shared" si="3"/>
        <v>2011 Q2</v>
      </c>
      <c r="K113">
        <f>raw_data!H113</f>
        <v>3.91</v>
      </c>
      <c r="L113" s="13">
        <f>raw_data!I113</f>
        <v>19.04</v>
      </c>
      <c r="M113" s="13">
        <f>raw_data!J113</f>
        <v>4.71</v>
      </c>
    </row>
    <row r="114" spans="1:13" x14ac:dyDescent="0.2">
      <c r="A114" t="str">
        <f>raw_data!A114</f>
        <v>2011Q2</v>
      </c>
      <c r="B114" t="str">
        <f>raw_data!B114</f>
        <v>New South Wales</v>
      </c>
      <c r="C114" t="str">
        <f>raw_data!C114</f>
        <v>Manufacturing</v>
      </c>
      <c r="D114">
        <f>raw_data!D114</f>
        <v>8.77</v>
      </c>
      <c r="E114">
        <f>raw_data!E114</f>
        <v>73.08</v>
      </c>
      <c r="F114">
        <f>raw_data!F114</f>
        <v>4.29</v>
      </c>
      <c r="G114">
        <f>raw_data!G114</f>
        <v>26.72</v>
      </c>
      <c r="H114">
        <f>(raw_data!D114*weights!$B$2)+(raw_data!E114*weights!$B$3)+(raw_data!F114*weights!$B$4)</f>
        <v>26.718999999999998</v>
      </c>
      <c r="I114" t="str">
        <f t="shared" si="2"/>
        <v>Moderate</v>
      </c>
      <c r="J114" t="str">
        <f t="shared" si="3"/>
        <v>2011 Q2</v>
      </c>
      <c r="K114">
        <f>raw_data!H114</f>
        <v>3.51</v>
      </c>
      <c r="L114" s="13">
        <f>raw_data!I114</f>
        <v>21.92</v>
      </c>
      <c r="M114" s="13">
        <f>raw_data!J114</f>
        <v>1.29</v>
      </c>
    </row>
    <row r="115" spans="1:13" x14ac:dyDescent="0.2">
      <c r="A115" t="str">
        <f>raw_data!A115</f>
        <v>2011Q2</v>
      </c>
      <c r="B115" t="str">
        <f>raw_data!B115</f>
        <v>New South Wales</v>
      </c>
      <c r="C115" t="str">
        <f>raw_data!C115</f>
        <v>Professional, Scientific and Technical Services</v>
      </c>
      <c r="D115">
        <f>raw_data!D115</f>
        <v>22.75</v>
      </c>
      <c r="E115">
        <f>raw_data!E115</f>
        <v>71.150000000000006</v>
      </c>
      <c r="F115">
        <f>raw_data!F115</f>
        <v>17.07</v>
      </c>
      <c r="G115">
        <f>raw_data!G115</f>
        <v>35.57</v>
      </c>
      <c r="H115">
        <f>(raw_data!D115*weights!$B$2)+(raw_data!E115*weights!$B$3)+(raw_data!F115*weights!$B$4)</f>
        <v>35.566000000000003</v>
      </c>
      <c r="I115" t="str">
        <f t="shared" si="2"/>
        <v>Moderate</v>
      </c>
      <c r="J115" t="str">
        <f t="shared" si="3"/>
        <v>2011 Q2</v>
      </c>
      <c r="K115">
        <f>raw_data!H115</f>
        <v>9.1</v>
      </c>
      <c r="L115" s="13">
        <f>raw_data!I115</f>
        <v>21.35</v>
      </c>
      <c r="M115" s="13">
        <f>raw_data!J115</f>
        <v>5.12</v>
      </c>
    </row>
    <row r="116" spans="1:13" x14ac:dyDescent="0.2">
      <c r="A116" t="str">
        <f>raw_data!A116</f>
        <v>2011Q2</v>
      </c>
      <c r="B116" t="str">
        <f>raw_data!B116</f>
        <v>Queensland</v>
      </c>
      <c r="C116" t="str">
        <f>raw_data!C116</f>
        <v>Accommodation and Food Services</v>
      </c>
      <c r="D116">
        <f>raw_data!D116</f>
        <v>22.64</v>
      </c>
      <c r="E116">
        <f>raw_data!E116</f>
        <v>51.92</v>
      </c>
      <c r="F116">
        <f>raw_data!F116</f>
        <v>4.42</v>
      </c>
      <c r="G116">
        <f>raw_data!G116</f>
        <v>25.96</v>
      </c>
      <c r="H116">
        <f>(raw_data!D116*weights!$B$2)+(raw_data!E116*weights!$B$3)+(raw_data!F116*weights!$B$4)</f>
        <v>25.958000000000002</v>
      </c>
      <c r="I116" t="str">
        <f t="shared" si="2"/>
        <v>Moderate</v>
      </c>
      <c r="J116" t="str">
        <f t="shared" si="3"/>
        <v>2011 Q2</v>
      </c>
      <c r="K116">
        <f>raw_data!H116</f>
        <v>9.06</v>
      </c>
      <c r="L116" s="13">
        <f>raw_data!I116</f>
        <v>15.58</v>
      </c>
      <c r="M116" s="13">
        <f>raw_data!J116</f>
        <v>1.33</v>
      </c>
    </row>
    <row r="117" spans="1:13" x14ac:dyDescent="0.2">
      <c r="A117" t="str">
        <f>raw_data!A117</f>
        <v>2011Q2</v>
      </c>
      <c r="B117" t="str">
        <f>raw_data!B117</f>
        <v>Queensland</v>
      </c>
      <c r="C117" t="str">
        <f>raw_data!C117</f>
        <v>Construction</v>
      </c>
      <c r="D117">
        <f>raw_data!D117</f>
        <v>21.89</v>
      </c>
      <c r="E117">
        <f>raw_data!E117</f>
        <v>69.23</v>
      </c>
      <c r="F117">
        <f>raw_data!F117</f>
        <v>7.44</v>
      </c>
      <c r="G117">
        <f>raw_data!G117</f>
        <v>31.76</v>
      </c>
      <c r="H117">
        <f>(raw_data!D117*weights!$B$2)+(raw_data!E117*weights!$B$3)+(raw_data!F117*weights!$B$4)</f>
        <v>31.757000000000001</v>
      </c>
      <c r="I117" t="str">
        <f t="shared" si="2"/>
        <v>Moderate</v>
      </c>
      <c r="J117" t="str">
        <f t="shared" si="3"/>
        <v>2011 Q2</v>
      </c>
      <c r="K117">
        <f>raw_data!H117</f>
        <v>8.76</v>
      </c>
      <c r="L117" s="13">
        <f>raw_data!I117</f>
        <v>20.77</v>
      </c>
      <c r="M117" s="13">
        <f>raw_data!J117</f>
        <v>2.23</v>
      </c>
    </row>
    <row r="118" spans="1:13" x14ac:dyDescent="0.2">
      <c r="A118" t="str">
        <f>raw_data!A118</f>
        <v>2011Q2</v>
      </c>
      <c r="B118" t="str">
        <f>raw_data!B118</f>
        <v>Queensland</v>
      </c>
      <c r="C118" t="str">
        <f>raw_data!C118</f>
        <v>Education and Training</v>
      </c>
      <c r="D118">
        <f>raw_data!D118</f>
        <v>2.82</v>
      </c>
      <c r="E118">
        <f>raw_data!E118</f>
        <v>67.31</v>
      </c>
      <c r="F118">
        <f>raw_data!F118</f>
        <v>4.3099999999999996</v>
      </c>
      <c r="G118">
        <f>raw_data!G118</f>
        <v>22.62</v>
      </c>
      <c r="H118">
        <f>(raw_data!D118*weights!$B$2)+(raw_data!E118*weights!$B$3)+(raw_data!F118*weights!$B$4)</f>
        <v>22.614000000000001</v>
      </c>
      <c r="I118" t="str">
        <f t="shared" si="2"/>
        <v>Low</v>
      </c>
      <c r="J118" t="str">
        <f t="shared" si="3"/>
        <v>2011 Q2</v>
      </c>
      <c r="K118">
        <f>raw_data!H118</f>
        <v>1.1299999999999999</v>
      </c>
      <c r="L118" s="13">
        <f>raw_data!I118</f>
        <v>20.190000000000001</v>
      </c>
      <c r="M118" s="13">
        <f>raw_data!J118</f>
        <v>1.29</v>
      </c>
    </row>
    <row r="119" spans="1:13" x14ac:dyDescent="0.2">
      <c r="A119" t="str">
        <f>raw_data!A119</f>
        <v>2011Q2</v>
      </c>
      <c r="B119" t="str">
        <f>raw_data!B119</f>
        <v>Queensland</v>
      </c>
      <c r="C119" t="str">
        <f>raw_data!C119</f>
        <v>Health Care and Social Assistance</v>
      </c>
      <c r="D119">
        <f>raw_data!D119</f>
        <v>15.01</v>
      </c>
      <c r="E119">
        <f>raw_data!E119</f>
        <v>63.46</v>
      </c>
      <c r="F119">
        <f>raw_data!F119</f>
        <v>13.48</v>
      </c>
      <c r="G119">
        <f>raw_data!G119</f>
        <v>29.08</v>
      </c>
      <c r="H119">
        <f>(raw_data!D119*weights!$B$2)+(raw_data!E119*weights!$B$3)+(raw_data!F119*weights!$B$4)</f>
        <v>29.086000000000002</v>
      </c>
      <c r="I119" t="str">
        <f t="shared" si="2"/>
        <v>Moderate</v>
      </c>
      <c r="J119" t="str">
        <f t="shared" si="3"/>
        <v>2011 Q2</v>
      </c>
      <c r="K119">
        <f>raw_data!H119</f>
        <v>6</v>
      </c>
      <c r="L119" s="13">
        <f>raw_data!I119</f>
        <v>19.04</v>
      </c>
      <c r="M119" s="13">
        <f>raw_data!J119</f>
        <v>4.04</v>
      </c>
    </row>
    <row r="120" spans="1:13" x14ac:dyDescent="0.2">
      <c r="A120" t="str">
        <f>raw_data!A120</f>
        <v>2011Q2</v>
      </c>
      <c r="B120" t="str">
        <f>raw_data!B120</f>
        <v>Queensland</v>
      </c>
      <c r="C120" t="str">
        <f>raw_data!C120</f>
        <v>Manufacturing</v>
      </c>
      <c r="D120">
        <f>raw_data!D120</f>
        <v>15.47</v>
      </c>
      <c r="E120">
        <f>raw_data!E120</f>
        <v>73.08</v>
      </c>
      <c r="F120">
        <f>raw_data!F120</f>
        <v>4.93</v>
      </c>
      <c r="G120">
        <f>raw_data!G120</f>
        <v>29.59</v>
      </c>
      <c r="H120">
        <f>(raw_data!D120*weights!$B$2)+(raw_data!E120*weights!$B$3)+(raw_data!F120*weights!$B$4)</f>
        <v>29.591000000000001</v>
      </c>
      <c r="I120" t="str">
        <f t="shared" si="2"/>
        <v>Moderate</v>
      </c>
      <c r="J120" t="str">
        <f t="shared" si="3"/>
        <v>2011 Q2</v>
      </c>
      <c r="K120">
        <f>raw_data!H120</f>
        <v>6.19</v>
      </c>
      <c r="L120" s="13">
        <f>raw_data!I120</f>
        <v>21.92</v>
      </c>
      <c r="M120" s="13">
        <f>raw_data!J120</f>
        <v>1.48</v>
      </c>
    </row>
    <row r="121" spans="1:13" x14ac:dyDescent="0.2">
      <c r="A121" t="str">
        <f>raw_data!A121</f>
        <v>2011Q2</v>
      </c>
      <c r="B121" t="str">
        <f>raw_data!B121</f>
        <v>Queensland</v>
      </c>
      <c r="C121" t="str">
        <f>raw_data!C121</f>
        <v>Professional, Scientific and Technical Services</v>
      </c>
      <c r="D121">
        <f>raw_data!D121</f>
        <v>43.5</v>
      </c>
      <c r="E121">
        <f>raw_data!E121</f>
        <v>71.150000000000006</v>
      </c>
      <c r="F121">
        <f>raw_data!F121</f>
        <v>31.71</v>
      </c>
      <c r="G121">
        <f>raw_data!G121</f>
        <v>48.26</v>
      </c>
      <c r="H121">
        <f>(raw_data!D121*weights!$B$2)+(raw_data!E121*weights!$B$3)+(raw_data!F121*weights!$B$4)</f>
        <v>48.258000000000003</v>
      </c>
      <c r="I121" t="str">
        <f t="shared" si="2"/>
        <v>High</v>
      </c>
      <c r="J121" t="str">
        <f t="shared" si="3"/>
        <v>2011 Q2</v>
      </c>
      <c r="K121">
        <f>raw_data!H121</f>
        <v>17.399999999999999</v>
      </c>
      <c r="L121" s="13">
        <f>raw_data!I121</f>
        <v>21.35</v>
      </c>
      <c r="M121" s="13">
        <f>raw_data!J121</f>
        <v>9.51</v>
      </c>
    </row>
    <row r="122" spans="1:13" x14ac:dyDescent="0.2">
      <c r="A122" t="str">
        <f>raw_data!A122</f>
        <v>2011Q2</v>
      </c>
      <c r="B122" t="str">
        <f>raw_data!B122</f>
        <v>Victoria</v>
      </c>
      <c r="C122" t="str">
        <f>raw_data!C122</f>
        <v>Accommodation and Food Services</v>
      </c>
      <c r="D122">
        <f>raw_data!D122</f>
        <v>20.059999999999999</v>
      </c>
      <c r="E122">
        <f>raw_data!E122</f>
        <v>51.92</v>
      </c>
      <c r="F122">
        <f>raw_data!F122</f>
        <v>7.36</v>
      </c>
      <c r="G122">
        <f>raw_data!G122</f>
        <v>25.81</v>
      </c>
      <c r="H122">
        <f>(raw_data!D122*weights!$B$2)+(raw_data!E122*weights!$B$3)+(raw_data!F122*weights!$B$4)</f>
        <v>25.808</v>
      </c>
      <c r="I122" t="str">
        <f t="shared" si="2"/>
        <v>Moderate</v>
      </c>
      <c r="J122" t="str">
        <f t="shared" si="3"/>
        <v>2011 Q2</v>
      </c>
      <c r="K122">
        <f>raw_data!H122</f>
        <v>8.02</v>
      </c>
      <c r="L122" s="13">
        <f>raw_data!I122</f>
        <v>15.58</v>
      </c>
      <c r="M122" s="13">
        <f>raw_data!J122</f>
        <v>2.21</v>
      </c>
    </row>
    <row r="123" spans="1:13" x14ac:dyDescent="0.2">
      <c r="A123" t="str">
        <f>raw_data!A123</f>
        <v>2011Q2</v>
      </c>
      <c r="B123" t="str">
        <f>raw_data!B123</f>
        <v>Victoria</v>
      </c>
      <c r="C123" t="str">
        <f>raw_data!C123</f>
        <v>Construction</v>
      </c>
      <c r="D123">
        <f>raw_data!D123</f>
        <v>19.78</v>
      </c>
      <c r="E123">
        <f>raw_data!E123</f>
        <v>69.23</v>
      </c>
      <c r="F123">
        <f>raw_data!F123</f>
        <v>11.59</v>
      </c>
      <c r="G123">
        <f>raw_data!G123</f>
        <v>32.159999999999997</v>
      </c>
      <c r="H123">
        <f>(raw_data!D123*weights!$B$2)+(raw_data!E123*weights!$B$3)+(raw_data!F123*weights!$B$4)</f>
        <v>32.158000000000001</v>
      </c>
      <c r="I123" t="str">
        <f t="shared" si="2"/>
        <v>Moderate</v>
      </c>
      <c r="J123" t="str">
        <f t="shared" si="3"/>
        <v>2011 Q2</v>
      </c>
      <c r="K123">
        <f>raw_data!H123</f>
        <v>7.91</v>
      </c>
      <c r="L123" s="13">
        <f>raw_data!I123</f>
        <v>20.77</v>
      </c>
      <c r="M123" s="13">
        <f>raw_data!J123</f>
        <v>3.48</v>
      </c>
    </row>
    <row r="124" spans="1:13" x14ac:dyDescent="0.2">
      <c r="A124" t="str">
        <f>raw_data!A124</f>
        <v>2011Q2</v>
      </c>
      <c r="B124" t="str">
        <f>raw_data!B124</f>
        <v>Victoria</v>
      </c>
      <c r="C124" t="str">
        <f>raw_data!C124</f>
        <v>Education and Training</v>
      </c>
      <c r="D124">
        <f>raw_data!D124</f>
        <v>1.6</v>
      </c>
      <c r="E124">
        <f>raw_data!E124</f>
        <v>67.31</v>
      </c>
      <c r="F124">
        <f>raw_data!F124</f>
        <v>9.1300000000000008</v>
      </c>
      <c r="G124">
        <f>raw_data!G124</f>
        <v>23.57</v>
      </c>
      <c r="H124">
        <f>(raw_data!D124*weights!$B$2)+(raw_data!E124*weights!$B$3)+(raw_data!F124*weights!$B$4)</f>
        <v>23.572000000000003</v>
      </c>
      <c r="I124" t="str">
        <f t="shared" si="2"/>
        <v>Low</v>
      </c>
      <c r="J124" t="str">
        <f t="shared" si="3"/>
        <v>2011 Q2</v>
      </c>
      <c r="K124">
        <f>raw_data!H124</f>
        <v>0.64</v>
      </c>
      <c r="L124" s="13">
        <f>raw_data!I124</f>
        <v>20.190000000000001</v>
      </c>
      <c r="M124" s="13">
        <f>raw_data!J124</f>
        <v>2.74</v>
      </c>
    </row>
    <row r="125" spans="1:13" x14ac:dyDescent="0.2">
      <c r="A125" t="str">
        <f>raw_data!A125</f>
        <v>2011Q2</v>
      </c>
      <c r="B125" t="str">
        <f>raw_data!B125</f>
        <v>Victoria</v>
      </c>
      <c r="C125" t="str">
        <f>raw_data!C125</f>
        <v>Health Care and Social Assistance</v>
      </c>
      <c r="D125">
        <f>raw_data!D125</f>
        <v>11.79</v>
      </c>
      <c r="E125">
        <f>raw_data!E125</f>
        <v>63.46</v>
      </c>
      <c r="F125">
        <f>raw_data!F125</f>
        <v>10.79</v>
      </c>
      <c r="G125">
        <f>raw_data!G125</f>
        <v>26.99</v>
      </c>
      <c r="H125">
        <f>(raw_data!D125*weights!$B$2)+(raw_data!E125*weights!$B$3)+(raw_data!F125*weights!$B$4)</f>
        <v>26.991</v>
      </c>
      <c r="I125" t="str">
        <f t="shared" si="2"/>
        <v>Moderate</v>
      </c>
      <c r="J125" t="str">
        <f t="shared" si="3"/>
        <v>2011 Q2</v>
      </c>
      <c r="K125">
        <f>raw_data!H125</f>
        <v>4.72</v>
      </c>
      <c r="L125" s="13">
        <f>raw_data!I125</f>
        <v>19.04</v>
      </c>
      <c r="M125" s="13">
        <f>raw_data!J125</f>
        <v>3.24</v>
      </c>
    </row>
    <row r="126" spans="1:13" x14ac:dyDescent="0.2">
      <c r="A126" t="str">
        <f>raw_data!A126</f>
        <v>2011Q2</v>
      </c>
      <c r="B126" t="str">
        <f>raw_data!B126</f>
        <v>Victoria</v>
      </c>
      <c r="C126" t="str">
        <f>raw_data!C126</f>
        <v>Manufacturing</v>
      </c>
      <c r="D126">
        <f>raw_data!D126</f>
        <v>7.98</v>
      </c>
      <c r="E126">
        <f>raw_data!E126</f>
        <v>73.08</v>
      </c>
      <c r="F126">
        <f>raw_data!F126</f>
        <v>5.71</v>
      </c>
      <c r="G126">
        <f>raw_data!G126</f>
        <v>26.83</v>
      </c>
      <c r="H126">
        <f>(raw_data!D126*weights!$B$2)+(raw_data!E126*weights!$B$3)+(raw_data!F126*weights!$B$4)</f>
        <v>26.829000000000001</v>
      </c>
      <c r="I126" t="str">
        <f t="shared" si="2"/>
        <v>Moderate</v>
      </c>
      <c r="J126" t="str">
        <f t="shared" si="3"/>
        <v>2011 Q2</v>
      </c>
      <c r="K126">
        <f>raw_data!H126</f>
        <v>3.19</v>
      </c>
      <c r="L126" s="13">
        <f>raw_data!I126</f>
        <v>21.92</v>
      </c>
      <c r="M126" s="13">
        <f>raw_data!J126</f>
        <v>1.71</v>
      </c>
    </row>
    <row r="127" spans="1:13" x14ac:dyDescent="0.2">
      <c r="A127" t="str">
        <f>raw_data!A127</f>
        <v>2011Q2</v>
      </c>
      <c r="B127" t="str">
        <f>raw_data!B127</f>
        <v>Victoria</v>
      </c>
      <c r="C127" t="str">
        <f>raw_data!C127</f>
        <v>Professional, Scientific and Technical Services</v>
      </c>
      <c r="D127">
        <f>raw_data!D127</f>
        <v>30.09</v>
      </c>
      <c r="E127">
        <f>raw_data!E127</f>
        <v>71.150000000000006</v>
      </c>
      <c r="F127">
        <f>raw_data!F127</f>
        <v>43.49</v>
      </c>
      <c r="G127">
        <f>raw_data!G127</f>
        <v>46.43</v>
      </c>
      <c r="H127">
        <f>(raw_data!D127*weights!$B$2)+(raw_data!E127*weights!$B$3)+(raw_data!F127*weights!$B$4)</f>
        <v>46.427999999999997</v>
      </c>
      <c r="I127" t="str">
        <f t="shared" si="2"/>
        <v>High</v>
      </c>
      <c r="J127" t="str">
        <f t="shared" si="3"/>
        <v>2011 Q2</v>
      </c>
      <c r="K127">
        <f>raw_data!H127</f>
        <v>12.04</v>
      </c>
      <c r="L127" s="13">
        <f>raw_data!I127</f>
        <v>21.35</v>
      </c>
      <c r="M127" s="13">
        <f>raw_data!J127</f>
        <v>13.05</v>
      </c>
    </row>
    <row r="128" spans="1:13" x14ac:dyDescent="0.2">
      <c r="A128" t="str">
        <f>raw_data!A128</f>
        <v>2011Q3</v>
      </c>
      <c r="B128" t="str">
        <f>raw_data!B128</f>
        <v>New South Wales</v>
      </c>
      <c r="C128" t="str">
        <f>raw_data!C128</f>
        <v>Accommodation and Food Services</v>
      </c>
      <c r="D128">
        <f>raw_data!D128</f>
        <v>13.97</v>
      </c>
      <c r="E128">
        <f>raw_data!E128</f>
        <v>53.85</v>
      </c>
      <c r="F128">
        <f>raw_data!F128</f>
        <v>2.91</v>
      </c>
      <c r="G128">
        <f>raw_data!G128</f>
        <v>22.62</v>
      </c>
      <c r="H128">
        <f>(raw_data!D128*weights!$B$2)+(raw_data!E128*weights!$B$3)+(raw_data!F128*weights!$B$4)</f>
        <v>22.616000000000003</v>
      </c>
      <c r="I128" t="str">
        <f t="shared" si="2"/>
        <v>Low</v>
      </c>
      <c r="J128" t="str">
        <f t="shared" si="3"/>
        <v>2011 Q3</v>
      </c>
      <c r="K128">
        <f>raw_data!H128</f>
        <v>5.59</v>
      </c>
      <c r="L128" s="13">
        <f>raw_data!I128</f>
        <v>16.149999999999999</v>
      </c>
      <c r="M128" s="13">
        <f>raw_data!J128</f>
        <v>0.87</v>
      </c>
    </row>
    <row r="129" spans="1:13" x14ac:dyDescent="0.2">
      <c r="A129" t="str">
        <f>raw_data!A129</f>
        <v>2011Q3</v>
      </c>
      <c r="B129" t="str">
        <f>raw_data!B129</f>
        <v>New South Wales</v>
      </c>
      <c r="C129" t="str">
        <f>raw_data!C129</f>
        <v>Construction</v>
      </c>
      <c r="D129">
        <f>raw_data!D129</f>
        <v>22.57</v>
      </c>
      <c r="E129">
        <f>raw_data!E129</f>
        <v>69.23</v>
      </c>
      <c r="F129">
        <f>raw_data!F129</f>
        <v>12.43</v>
      </c>
      <c r="G129">
        <f>raw_data!G129</f>
        <v>33.53</v>
      </c>
      <c r="H129">
        <f>(raw_data!D129*weights!$B$2)+(raw_data!E129*weights!$B$3)+(raw_data!F129*weights!$B$4)</f>
        <v>33.526000000000003</v>
      </c>
      <c r="I129" t="str">
        <f t="shared" si="2"/>
        <v>Moderate</v>
      </c>
      <c r="J129" t="str">
        <f t="shared" si="3"/>
        <v>2011 Q3</v>
      </c>
      <c r="K129">
        <f>raw_data!H129</f>
        <v>9.0299999999999994</v>
      </c>
      <c r="L129" s="13">
        <f>raw_data!I129</f>
        <v>20.77</v>
      </c>
      <c r="M129" s="13">
        <f>raw_data!J129</f>
        <v>3.73</v>
      </c>
    </row>
    <row r="130" spans="1:13" x14ac:dyDescent="0.2">
      <c r="A130" t="str">
        <f>raw_data!A130</f>
        <v>2011Q3</v>
      </c>
      <c r="B130" t="str">
        <f>raw_data!B130</f>
        <v>New South Wales</v>
      </c>
      <c r="C130" t="str">
        <f>raw_data!C130</f>
        <v>Education and Training</v>
      </c>
      <c r="D130">
        <f>raw_data!D130</f>
        <v>2.27</v>
      </c>
      <c r="E130">
        <f>raw_data!E130</f>
        <v>69.23</v>
      </c>
      <c r="F130">
        <f>raw_data!F130</f>
        <v>4.17</v>
      </c>
      <c r="G130">
        <f>raw_data!G130</f>
        <v>22.93</v>
      </c>
      <c r="H130">
        <f>(raw_data!D130*weights!$B$2)+(raw_data!E130*weights!$B$3)+(raw_data!F130*weights!$B$4)</f>
        <v>22.928000000000004</v>
      </c>
      <c r="I130" t="str">
        <f t="shared" si="2"/>
        <v>Low</v>
      </c>
      <c r="J130" t="str">
        <f t="shared" si="3"/>
        <v>2011 Q3</v>
      </c>
      <c r="K130">
        <f>raw_data!H130</f>
        <v>0.91</v>
      </c>
      <c r="L130" s="13">
        <f>raw_data!I130</f>
        <v>20.77</v>
      </c>
      <c r="M130" s="13">
        <f>raw_data!J130</f>
        <v>1.25</v>
      </c>
    </row>
    <row r="131" spans="1:13" x14ac:dyDescent="0.2">
      <c r="A131" t="str">
        <f>raw_data!A131</f>
        <v>2011Q3</v>
      </c>
      <c r="B131" t="str">
        <f>raw_data!B131</f>
        <v>New South Wales</v>
      </c>
      <c r="C131" t="str">
        <f>raw_data!C131</f>
        <v>Health Care and Social Assistance</v>
      </c>
      <c r="D131">
        <f>raw_data!D131</f>
        <v>8.08</v>
      </c>
      <c r="E131">
        <f>raw_data!E131</f>
        <v>53.85</v>
      </c>
      <c r="F131">
        <f>raw_data!F131</f>
        <v>10.17</v>
      </c>
      <c r="G131">
        <f>raw_data!G131</f>
        <v>22.44</v>
      </c>
      <c r="H131">
        <f>(raw_data!D131*weights!$B$2)+(raw_data!E131*weights!$B$3)+(raw_data!F131*weights!$B$4)</f>
        <v>22.437999999999999</v>
      </c>
      <c r="I131" t="str">
        <f t="shared" ref="I131:I194" si="4">IF(H131&gt;=60,"Critical",IF(H131&gt;=45,"High",IF(H131&gt;=25,"Moderate","Low")))</f>
        <v>Low</v>
      </c>
      <c r="J131" t="str">
        <f t="shared" ref="J131:J194" si="5">LEFT(A131,4)&amp;" "&amp;RIGHT(A131,2)</f>
        <v>2011 Q3</v>
      </c>
      <c r="K131">
        <f>raw_data!H131</f>
        <v>3.23</v>
      </c>
      <c r="L131" s="13">
        <f>raw_data!I131</f>
        <v>16.149999999999999</v>
      </c>
      <c r="M131" s="13">
        <f>raw_data!J131</f>
        <v>3.05</v>
      </c>
    </row>
    <row r="132" spans="1:13" x14ac:dyDescent="0.2">
      <c r="A132" t="str">
        <f>raw_data!A132</f>
        <v>2011Q3</v>
      </c>
      <c r="B132" t="str">
        <f>raw_data!B132</f>
        <v>New South Wales</v>
      </c>
      <c r="C132" t="str">
        <f>raw_data!C132</f>
        <v>Manufacturing</v>
      </c>
      <c r="D132">
        <f>raw_data!D132</f>
        <v>8.84</v>
      </c>
      <c r="E132">
        <f>raw_data!E132</f>
        <v>63.46</v>
      </c>
      <c r="F132">
        <f>raw_data!F132</f>
        <v>4.82</v>
      </c>
      <c r="G132">
        <f>raw_data!G132</f>
        <v>24.02</v>
      </c>
      <c r="H132">
        <f>(raw_data!D132*weights!$B$2)+(raw_data!E132*weights!$B$3)+(raw_data!F132*weights!$B$4)</f>
        <v>24.020000000000003</v>
      </c>
      <c r="I132" t="str">
        <f t="shared" si="4"/>
        <v>Low</v>
      </c>
      <c r="J132" t="str">
        <f t="shared" si="5"/>
        <v>2011 Q3</v>
      </c>
      <c r="K132">
        <f>raw_data!H132</f>
        <v>3.54</v>
      </c>
      <c r="L132" s="13">
        <f>raw_data!I132</f>
        <v>19.04</v>
      </c>
      <c r="M132" s="13">
        <f>raw_data!J132</f>
        <v>1.45</v>
      </c>
    </row>
    <row r="133" spans="1:13" x14ac:dyDescent="0.2">
      <c r="A133" t="str">
        <f>raw_data!A133</f>
        <v>2011Q3</v>
      </c>
      <c r="B133" t="str">
        <f>raw_data!B133</f>
        <v>New South Wales</v>
      </c>
      <c r="C133" t="str">
        <f>raw_data!C133</f>
        <v>Professional, Scientific and Technical Services</v>
      </c>
      <c r="D133">
        <f>raw_data!D133</f>
        <v>18.45</v>
      </c>
      <c r="E133">
        <f>raw_data!E133</f>
        <v>73.08</v>
      </c>
      <c r="F133">
        <f>raw_data!F133</f>
        <v>12.7</v>
      </c>
      <c r="G133">
        <f>raw_data!G133</f>
        <v>33.11</v>
      </c>
      <c r="H133">
        <f>(raw_data!D133*weights!$B$2)+(raw_data!E133*weights!$B$3)+(raw_data!F133*weights!$B$4)</f>
        <v>33.113999999999997</v>
      </c>
      <c r="I133" t="str">
        <f t="shared" si="4"/>
        <v>Moderate</v>
      </c>
      <c r="J133" t="str">
        <f t="shared" si="5"/>
        <v>2011 Q3</v>
      </c>
      <c r="K133">
        <f>raw_data!H133</f>
        <v>7.38</v>
      </c>
      <c r="L133" s="13">
        <f>raw_data!I133</f>
        <v>21.92</v>
      </c>
      <c r="M133" s="13">
        <f>raw_data!J133</f>
        <v>3.81</v>
      </c>
    </row>
    <row r="134" spans="1:13" x14ac:dyDescent="0.2">
      <c r="A134" t="str">
        <f>raw_data!A134</f>
        <v>2011Q3</v>
      </c>
      <c r="B134" t="str">
        <f>raw_data!B134</f>
        <v>Queensland</v>
      </c>
      <c r="C134" t="str">
        <f>raw_data!C134</f>
        <v>Accommodation and Food Services</v>
      </c>
      <c r="D134">
        <f>raw_data!D134</f>
        <v>21.36</v>
      </c>
      <c r="E134">
        <f>raw_data!E134</f>
        <v>53.85</v>
      </c>
      <c r="F134">
        <f>raw_data!F134</f>
        <v>6.17</v>
      </c>
      <c r="G134">
        <f>raw_data!G134</f>
        <v>26.55</v>
      </c>
      <c r="H134">
        <f>(raw_data!D134*weights!$B$2)+(raw_data!E134*weights!$B$3)+(raw_data!F134*weights!$B$4)</f>
        <v>26.55</v>
      </c>
      <c r="I134" t="str">
        <f t="shared" si="4"/>
        <v>Moderate</v>
      </c>
      <c r="J134" t="str">
        <f t="shared" si="5"/>
        <v>2011 Q3</v>
      </c>
      <c r="K134">
        <f>raw_data!H134</f>
        <v>8.5399999999999991</v>
      </c>
      <c r="L134" s="13">
        <f>raw_data!I134</f>
        <v>16.149999999999999</v>
      </c>
      <c r="M134" s="13">
        <f>raw_data!J134</f>
        <v>1.85</v>
      </c>
    </row>
    <row r="135" spans="1:13" x14ac:dyDescent="0.2">
      <c r="A135" t="str">
        <f>raw_data!A135</f>
        <v>2011Q3</v>
      </c>
      <c r="B135" t="str">
        <f>raw_data!B135</f>
        <v>Queensland</v>
      </c>
      <c r="C135" t="str">
        <f>raw_data!C135</f>
        <v>Construction</v>
      </c>
      <c r="D135">
        <f>raw_data!D135</f>
        <v>28.5</v>
      </c>
      <c r="E135">
        <f>raw_data!E135</f>
        <v>69.23</v>
      </c>
      <c r="F135">
        <f>raw_data!F135</f>
        <v>9.2799999999999994</v>
      </c>
      <c r="G135">
        <f>raw_data!G135</f>
        <v>34.950000000000003</v>
      </c>
      <c r="H135">
        <f>(raw_data!D135*weights!$B$2)+(raw_data!E135*weights!$B$3)+(raw_data!F135*weights!$B$4)</f>
        <v>34.953000000000003</v>
      </c>
      <c r="I135" t="str">
        <f t="shared" si="4"/>
        <v>Moderate</v>
      </c>
      <c r="J135" t="str">
        <f t="shared" si="5"/>
        <v>2011 Q3</v>
      </c>
      <c r="K135">
        <f>raw_data!H135</f>
        <v>11.4</v>
      </c>
      <c r="L135" s="13">
        <f>raw_data!I135</f>
        <v>20.77</v>
      </c>
      <c r="M135" s="13">
        <f>raw_data!J135</f>
        <v>2.78</v>
      </c>
    </row>
    <row r="136" spans="1:13" x14ac:dyDescent="0.2">
      <c r="A136" t="str">
        <f>raw_data!A136</f>
        <v>2011Q3</v>
      </c>
      <c r="B136" t="str">
        <f>raw_data!B136</f>
        <v>Queensland</v>
      </c>
      <c r="C136" t="str">
        <f>raw_data!C136</f>
        <v>Education and Training</v>
      </c>
      <c r="D136">
        <f>raw_data!D136</f>
        <v>4.4000000000000004</v>
      </c>
      <c r="E136">
        <f>raw_data!E136</f>
        <v>69.23</v>
      </c>
      <c r="F136">
        <f>raw_data!F136</f>
        <v>14.27</v>
      </c>
      <c r="G136">
        <f>raw_data!G136</f>
        <v>26.81</v>
      </c>
      <c r="H136">
        <f>(raw_data!D136*weights!$B$2)+(raw_data!E136*weights!$B$3)+(raw_data!F136*weights!$B$4)</f>
        <v>26.810000000000002</v>
      </c>
      <c r="I136" t="str">
        <f t="shared" si="4"/>
        <v>Moderate</v>
      </c>
      <c r="J136" t="str">
        <f t="shared" si="5"/>
        <v>2011 Q3</v>
      </c>
      <c r="K136">
        <f>raw_data!H136</f>
        <v>1.76</v>
      </c>
      <c r="L136" s="13">
        <f>raw_data!I136</f>
        <v>20.77</v>
      </c>
      <c r="M136" s="13">
        <f>raw_data!J136</f>
        <v>4.28</v>
      </c>
    </row>
    <row r="137" spans="1:13" x14ac:dyDescent="0.2">
      <c r="A137" t="str">
        <f>raw_data!A137</f>
        <v>2011Q3</v>
      </c>
      <c r="B137" t="str">
        <f>raw_data!B137</f>
        <v>Queensland</v>
      </c>
      <c r="C137" t="str">
        <f>raw_data!C137</f>
        <v>Health Care and Social Assistance</v>
      </c>
      <c r="D137">
        <f>raw_data!D137</f>
        <v>14.53</v>
      </c>
      <c r="E137">
        <f>raw_data!E137</f>
        <v>53.85</v>
      </c>
      <c r="F137">
        <f>raw_data!F137</f>
        <v>9.0399999999999991</v>
      </c>
      <c r="G137">
        <f>raw_data!G137</f>
        <v>24.68</v>
      </c>
      <c r="H137">
        <f>(raw_data!D137*weights!$B$2)+(raw_data!E137*weights!$B$3)+(raw_data!F137*weights!$B$4)</f>
        <v>24.679000000000002</v>
      </c>
      <c r="I137" t="str">
        <f t="shared" si="4"/>
        <v>Low</v>
      </c>
      <c r="J137" t="str">
        <f t="shared" si="5"/>
        <v>2011 Q3</v>
      </c>
      <c r="K137">
        <f>raw_data!H137</f>
        <v>5.81</v>
      </c>
      <c r="L137" s="13">
        <f>raw_data!I137</f>
        <v>16.149999999999999</v>
      </c>
      <c r="M137" s="13">
        <f>raw_data!J137</f>
        <v>2.71</v>
      </c>
    </row>
    <row r="138" spans="1:13" x14ac:dyDescent="0.2">
      <c r="A138" t="str">
        <f>raw_data!A138</f>
        <v>2011Q3</v>
      </c>
      <c r="B138" t="str">
        <f>raw_data!B138</f>
        <v>Queensland</v>
      </c>
      <c r="C138" t="str">
        <f>raw_data!C138</f>
        <v>Manufacturing</v>
      </c>
      <c r="D138">
        <f>raw_data!D138</f>
        <v>13.88</v>
      </c>
      <c r="E138">
        <f>raw_data!E138</f>
        <v>63.46</v>
      </c>
      <c r="F138">
        <f>raw_data!F138</f>
        <v>7.22</v>
      </c>
      <c r="G138">
        <f>raw_data!G138</f>
        <v>26.76</v>
      </c>
      <c r="H138">
        <f>(raw_data!D138*weights!$B$2)+(raw_data!E138*weights!$B$3)+(raw_data!F138*weights!$B$4)</f>
        <v>26.756</v>
      </c>
      <c r="I138" t="str">
        <f t="shared" si="4"/>
        <v>Moderate</v>
      </c>
      <c r="J138" t="str">
        <f t="shared" si="5"/>
        <v>2011 Q3</v>
      </c>
      <c r="K138">
        <f>raw_data!H138</f>
        <v>5.55</v>
      </c>
      <c r="L138" s="13">
        <f>raw_data!I138</f>
        <v>19.04</v>
      </c>
      <c r="M138" s="13">
        <f>raw_data!J138</f>
        <v>2.17</v>
      </c>
    </row>
    <row r="139" spans="1:13" x14ac:dyDescent="0.2">
      <c r="A139" t="str">
        <f>raw_data!A139</f>
        <v>2011Q3</v>
      </c>
      <c r="B139" t="str">
        <f>raw_data!B139</f>
        <v>Queensland</v>
      </c>
      <c r="C139" t="str">
        <f>raw_data!C139</f>
        <v>Professional, Scientific and Technical Services</v>
      </c>
      <c r="D139">
        <f>raw_data!D139</f>
        <v>39.08</v>
      </c>
      <c r="E139">
        <f>raw_data!E139</f>
        <v>73.08</v>
      </c>
      <c r="F139">
        <f>raw_data!F139</f>
        <v>23.74</v>
      </c>
      <c r="G139">
        <f>raw_data!G139</f>
        <v>44.68</v>
      </c>
      <c r="H139">
        <f>(raw_data!D139*weights!$B$2)+(raw_data!E139*weights!$B$3)+(raw_data!F139*weights!$B$4)</f>
        <v>44.677999999999997</v>
      </c>
      <c r="I139" t="str">
        <f t="shared" si="4"/>
        <v>Moderate</v>
      </c>
      <c r="J139" t="str">
        <f t="shared" si="5"/>
        <v>2011 Q3</v>
      </c>
      <c r="K139">
        <f>raw_data!H139</f>
        <v>15.63</v>
      </c>
      <c r="L139" s="13">
        <f>raw_data!I139</f>
        <v>21.92</v>
      </c>
      <c r="M139" s="13">
        <f>raw_data!J139</f>
        <v>7.12</v>
      </c>
    </row>
    <row r="140" spans="1:13" x14ac:dyDescent="0.2">
      <c r="A140" t="str">
        <f>raw_data!A140</f>
        <v>2011Q3</v>
      </c>
      <c r="B140" t="str">
        <f>raw_data!B140</f>
        <v>Victoria</v>
      </c>
      <c r="C140" t="str">
        <f>raw_data!C140</f>
        <v>Accommodation and Food Services</v>
      </c>
      <c r="D140">
        <f>raw_data!D140</f>
        <v>17.170000000000002</v>
      </c>
      <c r="E140">
        <f>raw_data!E140</f>
        <v>53.85</v>
      </c>
      <c r="F140">
        <f>raw_data!F140</f>
        <v>6.61</v>
      </c>
      <c r="G140">
        <f>raw_data!G140</f>
        <v>25.01</v>
      </c>
      <c r="H140">
        <f>(raw_data!D140*weights!$B$2)+(raw_data!E140*weights!$B$3)+(raw_data!F140*weights!$B$4)</f>
        <v>25.006000000000004</v>
      </c>
      <c r="I140" t="str">
        <f t="shared" si="4"/>
        <v>Moderate</v>
      </c>
      <c r="J140" t="str">
        <f t="shared" si="5"/>
        <v>2011 Q3</v>
      </c>
      <c r="K140">
        <f>raw_data!H140</f>
        <v>6.87</v>
      </c>
      <c r="L140" s="13">
        <f>raw_data!I140</f>
        <v>16.149999999999999</v>
      </c>
      <c r="M140" s="13">
        <f>raw_data!J140</f>
        <v>1.98</v>
      </c>
    </row>
    <row r="141" spans="1:13" x14ac:dyDescent="0.2">
      <c r="A141" t="str">
        <f>raw_data!A141</f>
        <v>2011Q3</v>
      </c>
      <c r="B141" t="str">
        <f>raw_data!B141</f>
        <v>Victoria</v>
      </c>
      <c r="C141" t="str">
        <f>raw_data!C141</f>
        <v>Construction</v>
      </c>
      <c r="D141">
        <f>raw_data!D141</f>
        <v>24.72</v>
      </c>
      <c r="E141">
        <f>raw_data!E141</f>
        <v>69.23</v>
      </c>
      <c r="F141">
        <f>raw_data!F141</f>
        <v>15.86</v>
      </c>
      <c r="G141">
        <f>raw_data!G141</f>
        <v>35.42</v>
      </c>
      <c r="H141">
        <f>(raw_data!D141*weights!$B$2)+(raw_data!E141*weights!$B$3)+(raw_data!F141*weights!$B$4)</f>
        <v>35.415000000000006</v>
      </c>
      <c r="I141" t="str">
        <f t="shared" si="4"/>
        <v>Moderate</v>
      </c>
      <c r="J141" t="str">
        <f t="shared" si="5"/>
        <v>2011 Q3</v>
      </c>
      <c r="K141">
        <f>raw_data!H141</f>
        <v>9.89</v>
      </c>
      <c r="L141" s="13">
        <f>raw_data!I141</f>
        <v>20.77</v>
      </c>
      <c r="M141" s="13">
        <f>raw_data!J141</f>
        <v>4.76</v>
      </c>
    </row>
    <row r="142" spans="1:13" x14ac:dyDescent="0.2">
      <c r="A142" t="str">
        <f>raw_data!A142</f>
        <v>2011Q3</v>
      </c>
      <c r="B142" t="str">
        <f>raw_data!B142</f>
        <v>Victoria</v>
      </c>
      <c r="C142" t="str">
        <f>raw_data!C142</f>
        <v>Education and Training</v>
      </c>
      <c r="D142">
        <f>raw_data!D142</f>
        <v>3.1</v>
      </c>
      <c r="E142">
        <f>raw_data!E142</f>
        <v>69.23</v>
      </c>
      <c r="F142">
        <f>raw_data!F142</f>
        <v>6.51</v>
      </c>
      <c r="G142">
        <f>raw_data!G142</f>
        <v>23.96</v>
      </c>
      <c r="H142">
        <f>(raw_data!D142*weights!$B$2)+(raw_data!E142*weights!$B$3)+(raw_data!F142*weights!$B$4)</f>
        <v>23.962</v>
      </c>
      <c r="I142" t="str">
        <f t="shared" si="4"/>
        <v>Low</v>
      </c>
      <c r="J142" t="str">
        <f t="shared" si="5"/>
        <v>2011 Q3</v>
      </c>
      <c r="K142">
        <f>raw_data!H142</f>
        <v>1.24</v>
      </c>
      <c r="L142" s="13">
        <f>raw_data!I142</f>
        <v>20.77</v>
      </c>
      <c r="M142" s="13">
        <f>raw_data!J142</f>
        <v>1.95</v>
      </c>
    </row>
    <row r="143" spans="1:13" x14ac:dyDescent="0.2">
      <c r="A143" t="str">
        <f>raw_data!A143</f>
        <v>2011Q3</v>
      </c>
      <c r="B143" t="str">
        <f>raw_data!B143</f>
        <v>Victoria</v>
      </c>
      <c r="C143" t="str">
        <f>raw_data!C143</f>
        <v>Health Care and Social Assistance</v>
      </c>
      <c r="D143">
        <f>raw_data!D143</f>
        <v>10.75</v>
      </c>
      <c r="E143">
        <f>raw_data!E143</f>
        <v>53.85</v>
      </c>
      <c r="F143">
        <f>raw_data!F143</f>
        <v>16.14</v>
      </c>
      <c r="G143">
        <f>raw_data!G143</f>
        <v>25.3</v>
      </c>
      <c r="H143">
        <f>(raw_data!D143*weights!$B$2)+(raw_data!E143*weights!$B$3)+(raw_data!F143*weights!$B$4)</f>
        <v>25.297000000000001</v>
      </c>
      <c r="I143" t="str">
        <f t="shared" si="4"/>
        <v>Moderate</v>
      </c>
      <c r="J143" t="str">
        <f t="shared" si="5"/>
        <v>2011 Q3</v>
      </c>
      <c r="K143">
        <f>raw_data!H143</f>
        <v>4.3</v>
      </c>
      <c r="L143" s="13">
        <f>raw_data!I143</f>
        <v>16.149999999999999</v>
      </c>
      <c r="M143" s="13">
        <f>raw_data!J143</f>
        <v>4.84</v>
      </c>
    </row>
    <row r="144" spans="1:13" x14ac:dyDescent="0.2">
      <c r="A144" t="str">
        <f>raw_data!A144</f>
        <v>2011Q3</v>
      </c>
      <c r="B144" t="str">
        <f>raw_data!B144</f>
        <v>Victoria</v>
      </c>
      <c r="C144" t="str">
        <f>raw_data!C144</f>
        <v>Manufacturing</v>
      </c>
      <c r="D144">
        <f>raw_data!D144</f>
        <v>8.14</v>
      </c>
      <c r="E144">
        <f>raw_data!E144</f>
        <v>63.46</v>
      </c>
      <c r="F144">
        <f>raw_data!F144</f>
        <v>4.07</v>
      </c>
      <c r="G144">
        <f>raw_data!G144</f>
        <v>23.52</v>
      </c>
      <c r="H144">
        <f>(raw_data!D144*weights!$B$2)+(raw_data!E144*weights!$B$3)+(raw_data!F144*weights!$B$4)</f>
        <v>23.515000000000001</v>
      </c>
      <c r="I144" t="str">
        <f t="shared" si="4"/>
        <v>Low</v>
      </c>
      <c r="J144" t="str">
        <f t="shared" si="5"/>
        <v>2011 Q3</v>
      </c>
      <c r="K144">
        <f>raw_data!H144</f>
        <v>3.26</v>
      </c>
      <c r="L144" s="13">
        <f>raw_data!I144</f>
        <v>19.04</v>
      </c>
      <c r="M144" s="13">
        <f>raw_data!J144</f>
        <v>1.22</v>
      </c>
    </row>
    <row r="145" spans="1:13" x14ac:dyDescent="0.2">
      <c r="A145" t="str">
        <f>raw_data!A145</f>
        <v>2011Q3</v>
      </c>
      <c r="B145" t="str">
        <f>raw_data!B145</f>
        <v>Victoria</v>
      </c>
      <c r="C145" t="str">
        <f>raw_data!C145</f>
        <v>Professional, Scientific and Technical Services</v>
      </c>
      <c r="D145">
        <f>raw_data!D145</f>
        <v>24.23</v>
      </c>
      <c r="E145">
        <f>raw_data!E145</f>
        <v>73.08</v>
      </c>
      <c r="F145">
        <f>raw_data!F145</f>
        <v>45.64</v>
      </c>
      <c r="G145">
        <f>raw_data!G145</f>
        <v>45.31</v>
      </c>
      <c r="H145">
        <f>(raw_data!D145*weights!$B$2)+(raw_data!E145*weights!$B$3)+(raw_data!F145*weights!$B$4)</f>
        <v>45.308</v>
      </c>
      <c r="I145" t="str">
        <f t="shared" si="4"/>
        <v>High</v>
      </c>
      <c r="J145" t="str">
        <f t="shared" si="5"/>
        <v>2011 Q3</v>
      </c>
      <c r="K145">
        <f>raw_data!H145</f>
        <v>9.69</v>
      </c>
      <c r="L145" s="13">
        <f>raw_data!I145</f>
        <v>21.92</v>
      </c>
      <c r="M145" s="13">
        <f>raw_data!J145</f>
        <v>13.69</v>
      </c>
    </row>
    <row r="146" spans="1:13" x14ac:dyDescent="0.2">
      <c r="A146" t="str">
        <f>raw_data!A146</f>
        <v>2011Q4</v>
      </c>
      <c r="B146" t="str">
        <f>raw_data!B146</f>
        <v>New South Wales</v>
      </c>
      <c r="C146" t="str">
        <f>raw_data!C146</f>
        <v>Accommodation and Food Services</v>
      </c>
      <c r="D146">
        <f>raw_data!D146</f>
        <v>26.32</v>
      </c>
      <c r="E146">
        <f>raw_data!E146</f>
        <v>67.31</v>
      </c>
      <c r="F146">
        <f>raw_data!F146</f>
        <v>5.3</v>
      </c>
      <c r="G146">
        <f>raw_data!G146</f>
        <v>32.31</v>
      </c>
      <c r="H146">
        <f>(raw_data!D146*weights!$B$2)+(raw_data!E146*weights!$B$3)+(raw_data!F146*weights!$B$4)</f>
        <v>32.311000000000007</v>
      </c>
      <c r="I146" t="str">
        <f t="shared" si="4"/>
        <v>Moderate</v>
      </c>
      <c r="J146" t="str">
        <f t="shared" si="5"/>
        <v>2011 Q4</v>
      </c>
      <c r="K146">
        <f>raw_data!H146</f>
        <v>10.53</v>
      </c>
      <c r="L146" s="13">
        <f>raw_data!I146</f>
        <v>20.190000000000001</v>
      </c>
      <c r="M146" s="13">
        <f>raw_data!J146</f>
        <v>1.59</v>
      </c>
    </row>
    <row r="147" spans="1:13" x14ac:dyDescent="0.2">
      <c r="A147" t="str">
        <f>raw_data!A147</f>
        <v>2011Q4</v>
      </c>
      <c r="B147" t="str">
        <f>raw_data!B147</f>
        <v>New South Wales</v>
      </c>
      <c r="C147" t="str">
        <f>raw_data!C147</f>
        <v>Construction</v>
      </c>
      <c r="D147">
        <f>raw_data!D147</f>
        <v>11.2</v>
      </c>
      <c r="E147">
        <f>raw_data!E147</f>
        <v>71.150000000000006</v>
      </c>
      <c r="F147">
        <f>raw_data!F147</f>
        <v>5.36</v>
      </c>
      <c r="G147">
        <f>raw_data!G147</f>
        <v>27.43</v>
      </c>
      <c r="H147">
        <f>(raw_data!D147*weights!$B$2)+(raw_data!E147*weights!$B$3)+(raw_data!F147*weights!$B$4)</f>
        <v>27.433000000000003</v>
      </c>
      <c r="I147" t="str">
        <f t="shared" si="4"/>
        <v>Moderate</v>
      </c>
      <c r="J147" t="str">
        <f t="shared" si="5"/>
        <v>2011 Q4</v>
      </c>
      <c r="K147">
        <f>raw_data!H147</f>
        <v>4.4800000000000004</v>
      </c>
      <c r="L147" s="13">
        <f>raw_data!I147</f>
        <v>21.35</v>
      </c>
      <c r="M147" s="13">
        <f>raw_data!J147</f>
        <v>1.61</v>
      </c>
    </row>
    <row r="148" spans="1:13" x14ac:dyDescent="0.2">
      <c r="A148" t="str">
        <f>raw_data!A148</f>
        <v>2011Q4</v>
      </c>
      <c r="B148" t="str">
        <f>raw_data!B148</f>
        <v>New South Wales</v>
      </c>
      <c r="C148" t="str">
        <f>raw_data!C148</f>
        <v>Education and Training</v>
      </c>
      <c r="D148">
        <f>raw_data!D148</f>
        <v>2.98</v>
      </c>
      <c r="E148">
        <f>raw_data!E148</f>
        <v>63.46</v>
      </c>
      <c r="F148">
        <f>raw_data!F148</f>
        <v>6.48</v>
      </c>
      <c r="G148">
        <f>raw_data!G148</f>
        <v>22.17</v>
      </c>
      <c r="H148">
        <f>(raw_data!D148*weights!$B$2)+(raw_data!E148*weights!$B$3)+(raw_data!F148*weights!$B$4)</f>
        <v>22.173999999999999</v>
      </c>
      <c r="I148" t="str">
        <f t="shared" si="4"/>
        <v>Low</v>
      </c>
      <c r="J148" t="str">
        <f t="shared" si="5"/>
        <v>2011 Q4</v>
      </c>
      <c r="K148">
        <f>raw_data!H148</f>
        <v>1.19</v>
      </c>
      <c r="L148" s="13">
        <f>raw_data!I148</f>
        <v>19.04</v>
      </c>
      <c r="M148" s="13">
        <f>raw_data!J148</f>
        <v>1.94</v>
      </c>
    </row>
    <row r="149" spans="1:13" x14ac:dyDescent="0.2">
      <c r="A149" t="str">
        <f>raw_data!A149</f>
        <v>2011Q4</v>
      </c>
      <c r="B149" t="str">
        <f>raw_data!B149</f>
        <v>New South Wales</v>
      </c>
      <c r="C149" t="str">
        <f>raw_data!C149</f>
        <v>Health Care and Social Assistance</v>
      </c>
      <c r="D149">
        <f>raw_data!D149</f>
        <v>6.43</v>
      </c>
      <c r="E149">
        <f>raw_data!E149</f>
        <v>51.92</v>
      </c>
      <c r="F149">
        <f>raw_data!F149</f>
        <v>11.5</v>
      </c>
      <c r="G149">
        <f>raw_data!G149</f>
        <v>21.6</v>
      </c>
      <c r="H149">
        <f>(raw_data!D149*weights!$B$2)+(raw_data!E149*weights!$B$3)+(raw_data!F149*weights!$B$4)</f>
        <v>21.597999999999999</v>
      </c>
      <c r="I149" t="str">
        <f t="shared" si="4"/>
        <v>Low</v>
      </c>
      <c r="J149" t="str">
        <f t="shared" si="5"/>
        <v>2011 Q4</v>
      </c>
      <c r="K149">
        <f>raw_data!H149</f>
        <v>2.57</v>
      </c>
      <c r="L149" s="13">
        <f>raw_data!I149</f>
        <v>15.58</v>
      </c>
      <c r="M149" s="13">
        <f>raw_data!J149</f>
        <v>3.45</v>
      </c>
    </row>
    <row r="150" spans="1:13" x14ac:dyDescent="0.2">
      <c r="A150" t="str">
        <f>raw_data!A150</f>
        <v>2011Q4</v>
      </c>
      <c r="B150" t="str">
        <f>raw_data!B150</f>
        <v>New South Wales</v>
      </c>
      <c r="C150" t="str">
        <f>raw_data!C150</f>
        <v>Manufacturing</v>
      </c>
      <c r="D150">
        <f>raw_data!D150</f>
        <v>9.0500000000000007</v>
      </c>
      <c r="E150">
        <f>raw_data!E150</f>
        <v>65.38</v>
      </c>
      <c r="F150">
        <f>raw_data!F150</f>
        <v>5.03</v>
      </c>
      <c r="G150">
        <f>raw_data!G150</f>
        <v>24.74</v>
      </c>
      <c r="H150">
        <f>(raw_data!D150*weights!$B$2)+(raw_data!E150*weights!$B$3)+(raw_data!F150*weights!$B$4)</f>
        <v>24.742999999999999</v>
      </c>
      <c r="I150" t="str">
        <f t="shared" si="4"/>
        <v>Low</v>
      </c>
      <c r="J150" t="str">
        <f t="shared" si="5"/>
        <v>2011 Q4</v>
      </c>
      <c r="K150">
        <f>raw_data!H150</f>
        <v>3.62</v>
      </c>
      <c r="L150" s="13">
        <f>raw_data!I150</f>
        <v>19.62</v>
      </c>
      <c r="M150" s="13">
        <f>raw_data!J150</f>
        <v>1.51</v>
      </c>
    </row>
    <row r="151" spans="1:13" x14ac:dyDescent="0.2">
      <c r="A151" t="str">
        <f>raw_data!A151</f>
        <v>2011Q4</v>
      </c>
      <c r="B151" t="str">
        <f>raw_data!B151</f>
        <v>New South Wales</v>
      </c>
      <c r="C151" t="str">
        <f>raw_data!C151</f>
        <v>Professional, Scientific and Technical Services</v>
      </c>
      <c r="D151">
        <f>raw_data!D151</f>
        <v>19.53</v>
      </c>
      <c r="E151">
        <f>raw_data!E151</f>
        <v>84.62</v>
      </c>
      <c r="F151">
        <f>raw_data!F151</f>
        <v>12.98</v>
      </c>
      <c r="G151">
        <f>raw_data!G151</f>
        <v>37.090000000000003</v>
      </c>
      <c r="H151">
        <f>(raw_data!D151*weights!$B$2)+(raw_data!E151*weights!$B$3)+(raw_data!F151*weights!$B$4)</f>
        <v>37.091999999999999</v>
      </c>
      <c r="I151" t="str">
        <f t="shared" si="4"/>
        <v>Moderate</v>
      </c>
      <c r="J151" t="str">
        <f t="shared" si="5"/>
        <v>2011 Q4</v>
      </c>
      <c r="K151">
        <f>raw_data!H151</f>
        <v>7.81</v>
      </c>
      <c r="L151" s="13">
        <f>raw_data!I151</f>
        <v>25.38</v>
      </c>
      <c r="M151" s="13">
        <f>raw_data!J151</f>
        <v>3.89</v>
      </c>
    </row>
    <row r="152" spans="1:13" x14ac:dyDescent="0.2">
      <c r="A152" t="str">
        <f>raw_data!A152</f>
        <v>2011Q4</v>
      </c>
      <c r="B152" t="str">
        <f>raw_data!B152</f>
        <v>Queensland</v>
      </c>
      <c r="C152" t="str">
        <f>raw_data!C152</f>
        <v>Accommodation and Food Services</v>
      </c>
      <c r="D152">
        <f>raw_data!D152</f>
        <v>41.09</v>
      </c>
      <c r="E152">
        <f>raw_data!E152</f>
        <v>67.31</v>
      </c>
      <c r="F152">
        <f>raw_data!F152</f>
        <v>7.17</v>
      </c>
      <c r="G152">
        <f>raw_data!G152</f>
        <v>38.78</v>
      </c>
      <c r="H152">
        <f>(raw_data!D152*weights!$B$2)+(raw_data!E152*weights!$B$3)+(raw_data!F152*weights!$B$4)</f>
        <v>38.78</v>
      </c>
      <c r="I152" t="str">
        <f t="shared" si="4"/>
        <v>Moderate</v>
      </c>
      <c r="J152" t="str">
        <f t="shared" si="5"/>
        <v>2011 Q4</v>
      </c>
      <c r="K152">
        <f>raw_data!H152</f>
        <v>16.43</v>
      </c>
      <c r="L152" s="13">
        <f>raw_data!I152</f>
        <v>20.190000000000001</v>
      </c>
      <c r="M152" s="13">
        <f>raw_data!J152</f>
        <v>2.15</v>
      </c>
    </row>
    <row r="153" spans="1:13" x14ac:dyDescent="0.2">
      <c r="A153" t="str">
        <f>raw_data!A153</f>
        <v>2011Q4</v>
      </c>
      <c r="B153" t="str">
        <f>raw_data!B153</f>
        <v>Queensland</v>
      </c>
      <c r="C153" t="str">
        <f>raw_data!C153</f>
        <v>Construction</v>
      </c>
      <c r="D153">
        <f>raw_data!D153</f>
        <v>14.99</v>
      </c>
      <c r="E153">
        <f>raw_data!E153</f>
        <v>71.150000000000006</v>
      </c>
      <c r="F153">
        <f>raw_data!F153</f>
        <v>7.97</v>
      </c>
      <c r="G153">
        <f>raw_data!G153</f>
        <v>29.73</v>
      </c>
      <c r="H153">
        <f>(raw_data!D153*weights!$B$2)+(raw_data!E153*weights!$B$3)+(raw_data!F153*weights!$B$4)</f>
        <v>29.731999999999999</v>
      </c>
      <c r="I153" t="str">
        <f t="shared" si="4"/>
        <v>Moderate</v>
      </c>
      <c r="J153" t="str">
        <f t="shared" si="5"/>
        <v>2011 Q4</v>
      </c>
      <c r="K153">
        <f>raw_data!H153</f>
        <v>6</v>
      </c>
      <c r="L153" s="13">
        <f>raw_data!I153</f>
        <v>21.35</v>
      </c>
      <c r="M153" s="13">
        <f>raw_data!J153</f>
        <v>2.39</v>
      </c>
    </row>
    <row r="154" spans="1:13" x14ac:dyDescent="0.2">
      <c r="A154" t="str">
        <f>raw_data!A154</f>
        <v>2011Q4</v>
      </c>
      <c r="B154" t="str">
        <f>raw_data!B154</f>
        <v>Queensland</v>
      </c>
      <c r="C154" t="str">
        <f>raw_data!C154</f>
        <v>Education and Training</v>
      </c>
      <c r="D154">
        <f>raw_data!D154</f>
        <v>5.25</v>
      </c>
      <c r="E154">
        <f>raw_data!E154</f>
        <v>63.46</v>
      </c>
      <c r="F154">
        <f>raw_data!F154</f>
        <v>7.38</v>
      </c>
      <c r="G154">
        <f>raw_data!G154</f>
        <v>23.35</v>
      </c>
      <c r="H154">
        <f>(raw_data!D154*weights!$B$2)+(raw_data!E154*weights!$B$3)+(raw_data!F154*weights!$B$4)</f>
        <v>23.352</v>
      </c>
      <c r="I154" t="str">
        <f t="shared" si="4"/>
        <v>Low</v>
      </c>
      <c r="J154" t="str">
        <f t="shared" si="5"/>
        <v>2011 Q4</v>
      </c>
      <c r="K154">
        <f>raw_data!H154</f>
        <v>2.1</v>
      </c>
      <c r="L154" s="13">
        <f>raw_data!I154</f>
        <v>19.04</v>
      </c>
      <c r="M154" s="13">
        <f>raw_data!J154</f>
        <v>2.21</v>
      </c>
    </row>
    <row r="155" spans="1:13" x14ac:dyDescent="0.2">
      <c r="A155" t="str">
        <f>raw_data!A155</f>
        <v>2011Q4</v>
      </c>
      <c r="B155" t="str">
        <f>raw_data!B155</f>
        <v>Queensland</v>
      </c>
      <c r="C155" t="str">
        <f>raw_data!C155</f>
        <v>Health Care and Social Assistance</v>
      </c>
      <c r="D155">
        <f>raw_data!D155</f>
        <v>11.17</v>
      </c>
      <c r="E155">
        <f>raw_data!E155</f>
        <v>51.92</v>
      </c>
      <c r="F155">
        <f>raw_data!F155</f>
        <v>8.9600000000000009</v>
      </c>
      <c r="G155">
        <f>raw_data!G155</f>
        <v>22.73</v>
      </c>
      <c r="H155">
        <f>(raw_data!D155*weights!$B$2)+(raw_data!E155*weights!$B$3)+(raw_data!F155*weights!$B$4)</f>
        <v>22.731999999999999</v>
      </c>
      <c r="I155" t="str">
        <f t="shared" si="4"/>
        <v>Low</v>
      </c>
      <c r="J155" t="str">
        <f t="shared" si="5"/>
        <v>2011 Q4</v>
      </c>
      <c r="K155">
        <f>raw_data!H155</f>
        <v>4.47</v>
      </c>
      <c r="L155" s="13">
        <f>raw_data!I155</f>
        <v>15.58</v>
      </c>
      <c r="M155" s="13">
        <f>raw_data!J155</f>
        <v>2.69</v>
      </c>
    </row>
    <row r="156" spans="1:13" x14ac:dyDescent="0.2">
      <c r="A156" t="str">
        <f>raw_data!A156</f>
        <v>2011Q4</v>
      </c>
      <c r="B156" t="str">
        <f>raw_data!B156</f>
        <v>Queensland</v>
      </c>
      <c r="C156" t="str">
        <f>raw_data!C156</f>
        <v>Manufacturing</v>
      </c>
      <c r="D156">
        <f>raw_data!D156</f>
        <v>15.71</v>
      </c>
      <c r="E156">
        <f>raw_data!E156</f>
        <v>65.38</v>
      </c>
      <c r="F156">
        <f>raw_data!F156</f>
        <v>7.12</v>
      </c>
      <c r="G156">
        <f>raw_data!G156</f>
        <v>28.03</v>
      </c>
      <c r="H156">
        <f>(raw_data!D156*weights!$B$2)+(raw_data!E156*weights!$B$3)+(raw_data!F156*weights!$B$4)</f>
        <v>28.033999999999995</v>
      </c>
      <c r="I156" t="str">
        <f t="shared" si="4"/>
        <v>Moderate</v>
      </c>
      <c r="J156" t="str">
        <f t="shared" si="5"/>
        <v>2011 Q4</v>
      </c>
      <c r="K156">
        <f>raw_data!H156</f>
        <v>6.28</v>
      </c>
      <c r="L156" s="13">
        <f>raw_data!I156</f>
        <v>19.62</v>
      </c>
      <c r="M156" s="13">
        <f>raw_data!J156</f>
        <v>2.14</v>
      </c>
    </row>
    <row r="157" spans="1:13" x14ac:dyDescent="0.2">
      <c r="A157" t="str">
        <f>raw_data!A157</f>
        <v>2011Q4</v>
      </c>
      <c r="B157" t="str">
        <f>raw_data!B157</f>
        <v>Queensland</v>
      </c>
      <c r="C157" t="str">
        <f>raw_data!C157</f>
        <v>Professional, Scientific and Technical Services</v>
      </c>
      <c r="D157">
        <f>raw_data!D157</f>
        <v>42.95</v>
      </c>
      <c r="E157">
        <f>raw_data!E157</f>
        <v>84.62</v>
      </c>
      <c r="F157">
        <f>raw_data!F157</f>
        <v>26.17</v>
      </c>
      <c r="G157">
        <f>raw_data!G157</f>
        <v>50.42</v>
      </c>
      <c r="H157">
        <f>(raw_data!D157*weights!$B$2)+(raw_data!E157*weights!$B$3)+(raw_data!F157*weights!$B$4)</f>
        <v>50.417000000000002</v>
      </c>
      <c r="I157" t="str">
        <f t="shared" si="4"/>
        <v>High</v>
      </c>
      <c r="J157" t="str">
        <f t="shared" si="5"/>
        <v>2011 Q4</v>
      </c>
      <c r="K157">
        <f>raw_data!H157</f>
        <v>17.18</v>
      </c>
      <c r="L157" s="13">
        <f>raw_data!I157</f>
        <v>25.38</v>
      </c>
      <c r="M157" s="13">
        <f>raw_data!J157</f>
        <v>7.85</v>
      </c>
    </row>
    <row r="158" spans="1:13" x14ac:dyDescent="0.2">
      <c r="A158" t="str">
        <f>raw_data!A158</f>
        <v>2011Q4</v>
      </c>
      <c r="B158" t="str">
        <f>raw_data!B158</f>
        <v>Victoria</v>
      </c>
      <c r="C158" t="str">
        <f>raw_data!C158</f>
        <v>Accommodation and Food Services</v>
      </c>
      <c r="D158">
        <f>raw_data!D158</f>
        <v>35.32</v>
      </c>
      <c r="E158">
        <f>raw_data!E158</f>
        <v>67.31</v>
      </c>
      <c r="F158">
        <f>raw_data!F158</f>
        <v>10.35</v>
      </c>
      <c r="G158">
        <f>raw_data!G158</f>
        <v>37.43</v>
      </c>
      <c r="H158">
        <f>(raw_data!D158*weights!$B$2)+(raw_data!E158*weights!$B$3)+(raw_data!F158*weights!$B$4)</f>
        <v>37.425999999999995</v>
      </c>
      <c r="I158" t="str">
        <f t="shared" si="4"/>
        <v>Moderate</v>
      </c>
      <c r="J158" t="str">
        <f t="shared" si="5"/>
        <v>2011 Q4</v>
      </c>
      <c r="K158">
        <f>raw_data!H158</f>
        <v>14.13</v>
      </c>
      <c r="L158" s="13">
        <f>raw_data!I158</f>
        <v>20.190000000000001</v>
      </c>
      <c r="M158" s="13">
        <f>raw_data!J158</f>
        <v>3.11</v>
      </c>
    </row>
    <row r="159" spans="1:13" x14ac:dyDescent="0.2">
      <c r="A159" t="str">
        <f>raw_data!A159</f>
        <v>2011Q4</v>
      </c>
      <c r="B159" t="str">
        <f>raw_data!B159</f>
        <v>Victoria</v>
      </c>
      <c r="C159" t="str">
        <f>raw_data!C159</f>
        <v>Construction</v>
      </c>
      <c r="D159">
        <f>raw_data!D159</f>
        <v>12.84</v>
      </c>
      <c r="E159">
        <f>raw_data!E159</f>
        <v>71.150000000000006</v>
      </c>
      <c r="F159">
        <f>raw_data!F159</f>
        <v>9.6199999999999992</v>
      </c>
      <c r="G159">
        <f>raw_data!G159</f>
        <v>29.37</v>
      </c>
      <c r="H159">
        <f>(raw_data!D159*weights!$B$2)+(raw_data!E159*weights!$B$3)+(raw_data!F159*weights!$B$4)</f>
        <v>29.367000000000001</v>
      </c>
      <c r="I159" t="str">
        <f t="shared" si="4"/>
        <v>Moderate</v>
      </c>
      <c r="J159" t="str">
        <f t="shared" si="5"/>
        <v>2011 Q4</v>
      </c>
      <c r="K159">
        <f>raw_data!H159</f>
        <v>5.14</v>
      </c>
      <c r="L159" s="13">
        <f>raw_data!I159</f>
        <v>21.35</v>
      </c>
      <c r="M159" s="13">
        <f>raw_data!J159</f>
        <v>2.89</v>
      </c>
    </row>
    <row r="160" spans="1:13" x14ac:dyDescent="0.2">
      <c r="A160" t="str">
        <f>raw_data!A160</f>
        <v>2011Q4</v>
      </c>
      <c r="B160" t="str">
        <f>raw_data!B160</f>
        <v>Victoria</v>
      </c>
      <c r="C160" t="str">
        <f>raw_data!C160</f>
        <v>Education and Training</v>
      </c>
      <c r="D160">
        <f>raw_data!D160</f>
        <v>3.84</v>
      </c>
      <c r="E160">
        <f>raw_data!E160</f>
        <v>63.46</v>
      </c>
      <c r="F160">
        <f>raw_data!F160</f>
        <v>7.01</v>
      </c>
      <c r="G160">
        <f>raw_data!G160</f>
        <v>22.68</v>
      </c>
      <c r="H160">
        <f>(raw_data!D160*weights!$B$2)+(raw_data!E160*weights!$B$3)+(raw_data!F160*weights!$B$4)</f>
        <v>22.677</v>
      </c>
      <c r="I160" t="str">
        <f t="shared" si="4"/>
        <v>Low</v>
      </c>
      <c r="J160" t="str">
        <f t="shared" si="5"/>
        <v>2011 Q4</v>
      </c>
      <c r="K160">
        <f>raw_data!H160</f>
        <v>1.53</v>
      </c>
      <c r="L160" s="13">
        <f>raw_data!I160</f>
        <v>19.04</v>
      </c>
      <c r="M160" s="13">
        <f>raw_data!J160</f>
        <v>2.1</v>
      </c>
    </row>
    <row r="161" spans="1:13" x14ac:dyDescent="0.2">
      <c r="A161" t="str">
        <f>raw_data!A161</f>
        <v>2011Q4</v>
      </c>
      <c r="B161" t="str">
        <f>raw_data!B161</f>
        <v>Victoria</v>
      </c>
      <c r="C161" t="str">
        <f>raw_data!C161</f>
        <v>Health Care and Social Assistance</v>
      </c>
      <c r="D161">
        <f>raw_data!D161</f>
        <v>9.0399999999999991</v>
      </c>
      <c r="E161">
        <f>raw_data!E161</f>
        <v>51.92</v>
      </c>
      <c r="F161">
        <f>raw_data!F161</f>
        <v>10.88</v>
      </c>
      <c r="G161">
        <f>raw_data!G161</f>
        <v>22.46</v>
      </c>
      <c r="H161">
        <f>(raw_data!D161*weights!$B$2)+(raw_data!E161*weights!$B$3)+(raw_data!F161*weights!$B$4)</f>
        <v>22.456</v>
      </c>
      <c r="I161" t="str">
        <f t="shared" si="4"/>
        <v>Low</v>
      </c>
      <c r="J161" t="str">
        <f t="shared" si="5"/>
        <v>2011 Q4</v>
      </c>
      <c r="K161">
        <f>raw_data!H161</f>
        <v>3.62</v>
      </c>
      <c r="L161" s="13">
        <f>raw_data!I161</f>
        <v>15.58</v>
      </c>
      <c r="M161" s="13">
        <f>raw_data!J161</f>
        <v>3.26</v>
      </c>
    </row>
    <row r="162" spans="1:13" x14ac:dyDescent="0.2">
      <c r="A162" t="str">
        <f>raw_data!A162</f>
        <v>2011Q4</v>
      </c>
      <c r="B162" t="str">
        <f>raw_data!B162</f>
        <v>Victoria</v>
      </c>
      <c r="C162" t="str">
        <f>raw_data!C162</f>
        <v>Manufacturing</v>
      </c>
      <c r="D162">
        <f>raw_data!D162</f>
        <v>8.6300000000000008</v>
      </c>
      <c r="E162">
        <f>raw_data!E162</f>
        <v>65.38</v>
      </c>
      <c r="F162">
        <f>raw_data!F162</f>
        <v>5.52</v>
      </c>
      <c r="G162">
        <f>raw_data!G162</f>
        <v>24.73</v>
      </c>
      <c r="H162">
        <f>(raw_data!D162*weights!$B$2)+(raw_data!E162*weights!$B$3)+(raw_data!F162*weights!$B$4)</f>
        <v>24.721999999999998</v>
      </c>
      <c r="I162" t="str">
        <f t="shared" si="4"/>
        <v>Low</v>
      </c>
      <c r="J162" t="str">
        <f t="shared" si="5"/>
        <v>2011 Q4</v>
      </c>
      <c r="K162">
        <f>raw_data!H162</f>
        <v>3.45</v>
      </c>
      <c r="L162" s="13">
        <f>raw_data!I162</f>
        <v>19.62</v>
      </c>
      <c r="M162" s="13">
        <f>raw_data!J162</f>
        <v>1.66</v>
      </c>
    </row>
    <row r="163" spans="1:13" x14ac:dyDescent="0.2">
      <c r="A163" t="str">
        <f>raw_data!A163</f>
        <v>2011Q4</v>
      </c>
      <c r="B163" t="str">
        <f>raw_data!B163</f>
        <v>Victoria</v>
      </c>
      <c r="C163" t="str">
        <f>raw_data!C163</f>
        <v>Professional, Scientific and Technical Services</v>
      </c>
      <c r="D163">
        <f>raw_data!D163</f>
        <v>27.43</v>
      </c>
      <c r="E163">
        <f>raw_data!E163</f>
        <v>84.62</v>
      </c>
      <c r="F163">
        <f>raw_data!F163</f>
        <v>24.11</v>
      </c>
      <c r="G163">
        <f>raw_data!G163</f>
        <v>43.59</v>
      </c>
      <c r="H163">
        <f>(raw_data!D163*weights!$B$2)+(raw_data!E163*weights!$B$3)+(raw_data!F163*weights!$B$4)</f>
        <v>43.591000000000001</v>
      </c>
      <c r="I163" t="str">
        <f t="shared" si="4"/>
        <v>Moderate</v>
      </c>
      <c r="J163" t="str">
        <f t="shared" si="5"/>
        <v>2011 Q4</v>
      </c>
      <c r="K163">
        <f>raw_data!H163</f>
        <v>10.97</v>
      </c>
      <c r="L163" s="13">
        <f>raw_data!I163</f>
        <v>25.38</v>
      </c>
      <c r="M163" s="13">
        <f>raw_data!J163</f>
        <v>7.23</v>
      </c>
    </row>
    <row r="164" spans="1:13" x14ac:dyDescent="0.2">
      <c r="A164" t="str">
        <f>raw_data!A164</f>
        <v>2012Q1</v>
      </c>
      <c r="B164" t="str">
        <f>raw_data!B164</f>
        <v>New South Wales</v>
      </c>
      <c r="C164" t="str">
        <f>raw_data!C164</f>
        <v>Accommodation and Food Services</v>
      </c>
      <c r="D164">
        <f>raw_data!D164</f>
        <v>22.8</v>
      </c>
      <c r="E164">
        <f>raw_data!E164</f>
        <v>59.62</v>
      </c>
      <c r="F164">
        <f>raw_data!F164</f>
        <v>3.4</v>
      </c>
      <c r="G164">
        <f>raw_data!G164</f>
        <v>28.02</v>
      </c>
      <c r="H164">
        <f>(raw_data!D164*weights!$B$2)+(raw_data!E164*weights!$B$3)+(raw_data!F164*weights!$B$4)</f>
        <v>28.026</v>
      </c>
      <c r="I164" t="str">
        <f t="shared" si="4"/>
        <v>Moderate</v>
      </c>
      <c r="J164" t="str">
        <f t="shared" si="5"/>
        <v>2012 Q1</v>
      </c>
      <c r="K164">
        <f>raw_data!H164</f>
        <v>9.1199999999999992</v>
      </c>
      <c r="L164" s="13">
        <f>raw_data!I164</f>
        <v>17.88</v>
      </c>
      <c r="M164" s="13">
        <f>raw_data!J164</f>
        <v>1.02</v>
      </c>
    </row>
    <row r="165" spans="1:13" x14ac:dyDescent="0.2">
      <c r="A165" t="str">
        <f>raw_data!A165</f>
        <v>2012Q1</v>
      </c>
      <c r="B165" t="str">
        <f>raw_data!B165</f>
        <v>New South Wales</v>
      </c>
      <c r="C165" t="str">
        <f>raw_data!C165</f>
        <v>Construction</v>
      </c>
      <c r="D165">
        <f>raw_data!D165</f>
        <v>13.38</v>
      </c>
      <c r="E165">
        <f>raw_data!E165</f>
        <v>75</v>
      </c>
      <c r="F165">
        <f>raw_data!F165</f>
        <v>5.92</v>
      </c>
      <c r="G165">
        <f>raw_data!G165</f>
        <v>29.63</v>
      </c>
      <c r="H165">
        <f>(raw_data!D165*weights!$B$2)+(raw_data!E165*weights!$B$3)+(raw_data!F165*weights!$B$4)</f>
        <v>29.628</v>
      </c>
      <c r="I165" t="str">
        <f t="shared" si="4"/>
        <v>Moderate</v>
      </c>
      <c r="J165" t="str">
        <f t="shared" si="5"/>
        <v>2012 Q1</v>
      </c>
      <c r="K165">
        <f>raw_data!H165</f>
        <v>5.35</v>
      </c>
      <c r="L165" s="13">
        <f>raw_data!I165</f>
        <v>22.5</v>
      </c>
      <c r="M165" s="13">
        <f>raw_data!J165</f>
        <v>1.78</v>
      </c>
    </row>
    <row r="166" spans="1:13" x14ac:dyDescent="0.2">
      <c r="A166" t="str">
        <f>raw_data!A166</f>
        <v>2012Q1</v>
      </c>
      <c r="B166" t="str">
        <f>raw_data!B166</f>
        <v>New South Wales</v>
      </c>
      <c r="C166" t="str">
        <f>raw_data!C166</f>
        <v>Education and Training</v>
      </c>
      <c r="D166">
        <f>raw_data!D166</f>
        <v>1.59</v>
      </c>
      <c r="E166">
        <f>raw_data!E166</f>
        <v>63.46</v>
      </c>
      <c r="F166">
        <f>raw_data!F166</f>
        <v>2.34</v>
      </c>
      <c r="G166">
        <f>raw_data!G166</f>
        <v>20.38</v>
      </c>
      <c r="H166">
        <f>(raw_data!D166*weights!$B$2)+(raw_data!E166*weights!$B$3)+(raw_data!F166*weights!$B$4)</f>
        <v>20.375999999999998</v>
      </c>
      <c r="I166" t="str">
        <f t="shared" si="4"/>
        <v>Low</v>
      </c>
      <c r="J166" t="str">
        <f t="shared" si="5"/>
        <v>2012 Q1</v>
      </c>
      <c r="K166">
        <f>raw_data!H166</f>
        <v>0.64</v>
      </c>
      <c r="L166" s="13">
        <f>raw_data!I166</f>
        <v>19.04</v>
      </c>
      <c r="M166" s="13">
        <f>raw_data!J166</f>
        <v>0.7</v>
      </c>
    </row>
    <row r="167" spans="1:13" x14ac:dyDescent="0.2">
      <c r="A167" t="str">
        <f>raw_data!A167</f>
        <v>2012Q1</v>
      </c>
      <c r="B167" t="str">
        <f>raw_data!B167</f>
        <v>New South Wales</v>
      </c>
      <c r="C167" t="str">
        <f>raw_data!C167</f>
        <v>Health Care and Social Assistance</v>
      </c>
      <c r="D167">
        <f>raw_data!D167</f>
        <v>7.17</v>
      </c>
      <c r="E167">
        <f>raw_data!E167</f>
        <v>51.92</v>
      </c>
      <c r="F167">
        <f>raw_data!F167</f>
        <v>7.06</v>
      </c>
      <c r="G167">
        <f>raw_data!G167</f>
        <v>20.56</v>
      </c>
      <c r="H167">
        <f>(raw_data!D167*weights!$B$2)+(raw_data!E167*weights!$B$3)+(raw_data!F167*weights!$B$4)</f>
        <v>20.562000000000001</v>
      </c>
      <c r="I167" t="str">
        <f t="shared" si="4"/>
        <v>Low</v>
      </c>
      <c r="J167" t="str">
        <f t="shared" si="5"/>
        <v>2012 Q1</v>
      </c>
      <c r="K167">
        <f>raw_data!H167</f>
        <v>2.87</v>
      </c>
      <c r="L167" s="13">
        <f>raw_data!I167</f>
        <v>15.58</v>
      </c>
      <c r="M167" s="13">
        <f>raw_data!J167</f>
        <v>2.12</v>
      </c>
    </row>
    <row r="168" spans="1:13" x14ac:dyDescent="0.2">
      <c r="A168" t="str">
        <f>raw_data!A168</f>
        <v>2012Q1</v>
      </c>
      <c r="B168" t="str">
        <f>raw_data!B168</f>
        <v>New South Wales</v>
      </c>
      <c r="C168" t="str">
        <f>raw_data!C168</f>
        <v>Manufacturing</v>
      </c>
      <c r="D168">
        <f>raw_data!D168</f>
        <v>10.06</v>
      </c>
      <c r="E168">
        <f>raw_data!E168</f>
        <v>67.31</v>
      </c>
      <c r="F168">
        <f>raw_data!F168</f>
        <v>4.7</v>
      </c>
      <c r="G168">
        <f>raw_data!G168</f>
        <v>25.63</v>
      </c>
      <c r="H168">
        <f>(raw_data!D168*weights!$B$2)+(raw_data!E168*weights!$B$3)+(raw_data!F168*weights!$B$4)</f>
        <v>25.627000000000002</v>
      </c>
      <c r="I168" t="str">
        <f t="shared" si="4"/>
        <v>Moderate</v>
      </c>
      <c r="J168" t="str">
        <f t="shared" si="5"/>
        <v>2012 Q1</v>
      </c>
      <c r="K168">
        <f>raw_data!H168</f>
        <v>4.0199999999999996</v>
      </c>
      <c r="L168" s="13">
        <f>raw_data!I168</f>
        <v>20.190000000000001</v>
      </c>
      <c r="M168" s="13">
        <f>raw_data!J168</f>
        <v>1.41</v>
      </c>
    </row>
    <row r="169" spans="1:13" x14ac:dyDescent="0.2">
      <c r="A169" t="str">
        <f>raw_data!A169</f>
        <v>2012Q1</v>
      </c>
      <c r="B169" t="str">
        <f>raw_data!B169</f>
        <v>New South Wales</v>
      </c>
      <c r="C169" t="str">
        <f>raw_data!C169</f>
        <v>Professional, Scientific and Technical Services</v>
      </c>
      <c r="D169">
        <f>raw_data!D169</f>
        <v>18.170000000000002</v>
      </c>
      <c r="E169">
        <f>raw_data!E169</f>
        <v>76.92</v>
      </c>
      <c r="F169">
        <f>raw_data!F169</f>
        <v>10.08</v>
      </c>
      <c r="G169">
        <f>raw_data!G169</f>
        <v>33.369999999999997</v>
      </c>
      <c r="H169">
        <f>(raw_data!D169*weights!$B$2)+(raw_data!E169*weights!$B$3)+(raw_data!F169*weights!$B$4)</f>
        <v>33.368000000000002</v>
      </c>
      <c r="I169" t="str">
        <f t="shared" si="4"/>
        <v>Moderate</v>
      </c>
      <c r="J169" t="str">
        <f t="shared" si="5"/>
        <v>2012 Q1</v>
      </c>
      <c r="K169">
        <f>raw_data!H169</f>
        <v>7.27</v>
      </c>
      <c r="L169" s="13">
        <f>raw_data!I169</f>
        <v>23.08</v>
      </c>
      <c r="M169" s="13">
        <f>raw_data!J169</f>
        <v>3.02</v>
      </c>
    </row>
    <row r="170" spans="1:13" x14ac:dyDescent="0.2">
      <c r="A170" t="str">
        <f>raw_data!A170</f>
        <v>2012Q1</v>
      </c>
      <c r="B170" t="str">
        <f>raw_data!B170</f>
        <v>Queensland</v>
      </c>
      <c r="C170" t="str">
        <f>raw_data!C170</f>
        <v>Accommodation and Food Services</v>
      </c>
      <c r="D170">
        <f>raw_data!D170</f>
        <v>36.35</v>
      </c>
      <c r="E170">
        <f>raw_data!E170</f>
        <v>59.62</v>
      </c>
      <c r="F170">
        <f>raw_data!F170</f>
        <v>6.7</v>
      </c>
      <c r="G170">
        <f>raw_data!G170</f>
        <v>34.43</v>
      </c>
      <c r="H170">
        <f>(raw_data!D170*weights!$B$2)+(raw_data!E170*weights!$B$3)+(raw_data!F170*weights!$B$4)</f>
        <v>34.436</v>
      </c>
      <c r="I170" t="str">
        <f t="shared" si="4"/>
        <v>Moderate</v>
      </c>
      <c r="J170" t="str">
        <f t="shared" si="5"/>
        <v>2012 Q1</v>
      </c>
      <c r="K170">
        <f>raw_data!H170</f>
        <v>14.54</v>
      </c>
      <c r="L170" s="13">
        <f>raw_data!I170</f>
        <v>17.88</v>
      </c>
      <c r="M170" s="13">
        <f>raw_data!J170</f>
        <v>2.0099999999999998</v>
      </c>
    </row>
    <row r="171" spans="1:13" x14ac:dyDescent="0.2">
      <c r="A171" t="str">
        <f>raw_data!A171</f>
        <v>2012Q1</v>
      </c>
      <c r="B171" t="str">
        <f>raw_data!B171</f>
        <v>Queensland</v>
      </c>
      <c r="C171" t="str">
        <f>raw_data!C171</f>
        <v>Construction</v>
      </c>
      <c r="D171">
        <f>raw_data!D171</f>
        <v>18.55</v>
      </c>
      <c r="E171">
        <f>raw_data!E171</f>
        <v>75</v>
      </c>
      <c r="F171">
        <f>raw_data!F171</f>
        <v>5.85</v>
      </c>
      <c r="G171">
        <f>raw_data!G171</f>
        <v>31.68</v>
      </c>
      <c r="H171">
        <f>(raw_data!D171*weights!$B$2)+(raw_data!E171*weights!$B$3)+(raw_data!F171*weights!$B$4)</f>
        <v>31.675000000000001</v>
      </c>
      <c r="I171" t="str">
        <f t="shared" si="4"/>
        <v>Moderate</v>
      </c>
      <c r="J171" t="str">
        <f t="shared" si="5"/>
        <v>2012 Q1</v>
      </c>
      <c r="K171">
        <f>raw_data!H171</f>
        <v>7.42</v>
      </c>
      <c r="L171" s="13">
        <f>raw_data!I171</f>
        <v>22.5</v>
      </c>
      <c r="M171" s="13">
        <f>raw_data!J171</f>
        <v>1.76</v>
      </c>
    </row>
    <row r="172" spans="1:13" x14ac:dyDescent="0.2">
      <c r="A172" t="str">
        <f>raw_data!A172</f>
        <v>2012Q1</v>
      </c>
      <c r="B172" t="str">
        <f>raw_data!B172</f>
        <v>Queensland</v>
      </c>
      <c r="C172" t="str">
        <f>raw_data!C172</f>
        <v>Education and Training</v>
      </c>
      <c r="D172">
        <f>raw_data!D172</f>
        <v>2.81</v>
      </c>
      <c r="E172">
        <f>raw_data!E172</f>
        <v>63.46</v>
      </c>
      <c r="F172">
        <f>raw_data!F172</f>
        <v>3.2</v>
      </c>
      <c r="G172">
        <f>raw_data!G172</f>
        <v>21.12</v>
      </c>
      <c r="H172">
        <f>(raw_data!D172*weights!$B$2)+(raw_data!E172*weights!$B$3)+(raw_data!F172*weights!$B$4)</f>
        <v>21.122</v>
      </c>
      <c r="I172" t="str">
        <f t="shared" si="4"/>
        <v>Low</v>
      </c>
      <c r="J172" t="str">
        <f t="shared" si="5"/>
        <v>2012 Q1</v>
      </c>
      <c r="K172">
        <f>raw_data!H172</f>
        <v>1.1200000000000001</v>
      </c>
      <c r="L172" s="13">
        <f>raw_data!I172</f>
        <v>19.04</v>
      </c>
      <c r="M172" s="13">
        <f>raw_data!J172</f>
        <v>0.96</v>
      </c>
    </row>
    <row r="173" spans="1:13" x14ac:dyDescent="0.2">
      <c r="A173" t="str">
        <f>raw_data!A173</f>
        <v>2012Q1</v>
      </c>
      <c r="B173" t="str">
        <f>raw_data!B173</f>
        <v>Queensland</v>
      </c>
      <c r="C173" t="str">
        <f>raw_data!C173</f>
        <v>Health Care and Social Assistance</v>
      </c>
      <c r="D173">
        <f>raw_data!D173</f>
        <v>11.96</v>
      </c>
      <c r="E173">
        <f>raw_data!E173</f>
        <v>51.92</v>
      </c>
      <c r="F173">
        <f>raw_data!F173</f>
        <v>5.91</v>
      </c>
      <c r="G173">
        <f>raw_data!G173</f>
        <v>22.13</v>
      </c>
      <c r="H173">
        <f>(raw_data!D173*weights!$B$2)+(raw_data!E173*weights!$B$3)+(raw_data!F173*weights!$B$4)</f>
        <v>22.132999999999999</v>
      </c>
      <c r="I173" t="str">
        <f t="shared" si="4"/>
        <v>Low</v>
      </c>
      <c r="J173" t="str">
        <f t="shared" si="5"/>
        <v>2012 Q1</v>
      </c>
      <c r="K173">
        <f>raw_data!H173</f>
        <v>4.78</v>
      </c>
      <c r="L173" s="13">
        <f>raw_data!I173</f>
        <v>15.58</v>
      </c>
      <c r="M173" s="13">
        <f>raw_data!J173</f>
        <v>1.77</v>
      </c>
    </row>
    <row r="174" spans="1:13" x14ac:dyDescent="0.2">
      <c r="A174" t="str">
        <f>raw_data!A174</f>
        <v>2012Q1</v>
      </c>
      <c r="B174" t="str">
        <f>raw_data!B174</f>
        <v>Queensland</v>
      </c>
      <c r="C174" t="str">
        <f>raw_data!C174</f>
        <v>Manufacturing</v>
      </c>
      <c r="D174">
        <f>raw_data!D174</f>
        <v>17.86</v>
      </c>
      <c r="E174">
        <f>raw_data!E174</f>
        <v>67.31</v>
      </c>
      <c r="F174">
        <f>raw_data!F174</f>
        <v>6.48</v>
      </c>
      <c r="G174">
        <f>raw_data!G174</f>
        <v>29.28</v>
      </c>
      <c r="H174">
        <f>(raw_data!D174*weights!$B$2)+(raw_data!E174*weights!$B$3)+(raw_data!F174*weights!$B$4)</f>
        <v>29.281000000000002</v>
      </c>
      <c r="I174" t="str">
        <f t="shared" si="4"/>
        <v>Moderate</v>
      </c>
      <c r="J174" t="str">
        <f t="shared" si="5"/>
        <v>2012 Q1</v>
      </c>
      <c r="K174">
        <f>raw_data!H174</f>
        <v>7.14</v>
      </c>
      <c r="L174" s="13">
        <f>raw_data!I174</f>
        <v>20.190000000000001</v>
      </c>
      <c r="M174" s="13">
        <f>raw_data!J174</f>
        <v>1.94</v>
      </c>
    </row>
    <row r="175" spans="1:13" x14ac:dyDescent="0.2">
      <c r="A175" t="str">
        <f>raw_data!A175</f>
        <v>2012Q1</v>
      </c>
      <c r="B175" t="str">
        <f>raw_data!B175</f>
        <v>Queensland</v>
      </c>
      <c r="C175" t="str">
        <f>raw_data!C175</f>
        <v>Professional, Scientific and Technical Services</v>
      </c>
      <c r="D175">
        <f>raw_data!D175</f>
        <v>42.73</v>
      </c>
      <c r="E175">
        <f>raw_data!E175</f>
        <v>76.92</v>
      </c>
      <c r="F175">
        <f>raw_data!F175</f>
        <v>16.34</v>
      </c>
      <c r="G175">
        <f>raw_data!G175</f>
        <v>45.07</v>
      </c>
      <c r="H175">
        <f>(raw_data!D175*weights!$B$2)+(raw_data!E175*weights!$B$3)+(raw_data!F175*weights!$B$4)</f>
        <v>45.07</v>
      </c>
      <c r="I175" t="str">
        <f t="shared" si="4"/>
        <v>High</v>
      </c>
      <c r="J175" t="str">
        <f t="shared" si="5"/>
        <v>2012 Q1</v>
      </c>
      <c r="K175">
        <f>raw_data!H175</f>
        <v>17.09</v>
      </c>
      <c r="L175" s="13">
        <f>raw_data!I175</f>
        <v>23.08</v>
      </c>
      <c r="M175" s="13">
        <f>raw_data!J175</f>
        <v>4.9000000000000004</v>
      </c>
    </row>
    <row r="176" spans="1:13" x14ac:dyDescent="0.2">
      <c r="A176" t="str">
        <f>raw_data!A176</f>
        <v>2012Q1</v>
      </c>
      <c r="B176" t="str">
        <f>raw_data!B176</f>
        <v>Victoria</v>
      </c>
      <c r="C176" t="str">
        <f>raw_data!C176</f>
        <v>Accommodation and Food Services</v>
      </c>
      <c r="D176">
        <f>raw_data!D176</f>
        <v>27.73</v>
      </c>
      <c r="E176">
        <f>raw_data!E176</f>
        <v>59.62</v>
      </c>
      <c r="F176">
        <f>raw_data!F176</f>
        <v>6.02</v>
      </c>
      <c r="G176">
        <f>raw_data!G176</f>
        <v>30.78</v>
      </c>
      <c r="H176">
        <f>(raw_data!D176*weights!$B$2)+(raw_data!E176*weights!$B$3)+(raw_data!F176*weights!$B$4)</f>
        <v>30.784000000000002</v>
      </c>
      <c r="I176" t="str">
        <f t="shared" si="4"/>
        <v>Moderate</v>
      </c>
      <c r="J176" t="str">
        <f t="shared" si="5"/>
        <v>2012 Q1</v>
      </c>
      <c r="K176">
        <f>raw_data!H176</f>
        <v>11.09</v>
      </c>
      <c r="L176" s="13">
        <f>raw_data!I176</f>
        <v>17.88</v>
      </c>
      <c r="M176" s="13">
        <f>raw_data!J176</f>
        <v>1.81</v>
      </c>
    </row>
    <row r="177" spans="1:13" x14ac:dyDescent="0.2">
      <c r="A177" t="str">
        <f>raw_data!A177</f>
        <v>2012Q1</v>
      </c>
      <c r="B177" t="str">
        <f>raw_data!B177</f>
        <v>Victoria</v>
      </c>
      <c r="C177" t="str">
        <f>raw_data!C177</f>
        <v>Construction</v>
      </c>
      <c r="D177">
        <f>raw_data!D177</f>
        <v>17.32</v>
      </c>
      <c r="E177">
        <f>raw_data!E177</f>
        <v>75</v>
      </c>
      <c r="F177">
        <f>raw_data!F177</f>
        <v>6.56</v>
      </c>
      <c r="G177">
        <f>raw_data!G177</f>
        <v>31.39</v>
      </c>
      <c r="H177">
        <f>(raw_data!D177*weights!$B$2)+(raw_data!E177*weights!$B$3)+(raw_data!F177*weights!$B$4)</f>
        <v>31.396000000000001</v>
      </c>
      <c r="I177" t="str">
        <f t="shared" si="4"/>
        <v>Moderate</v>
      </c>
      <c r="J177" t="str">
        <f t="shared" si="5"/>
        <v>2012 Q1</v>
      </c>
      <c r="K177">
        <f>raw_data!H177</f>
        <v>6.93</v>
      </c>
      <c r="L177" s="13">
        <f>raw_data!I177</f>
        <v>22.5</v>
      </c>
      <c r="M177" s="13">
        <f>raw_data!J177</f>
        <v>1.97</v>
      </c>
    </row>
    <row r="178" spans="1:13" x14ac:dyDescent="0.2">
      <c r="A178" t="str">
        <f>raw_data!A178</f>
        <v>2012Q1</v>
      </c>
      <c r="B178" t="str">
        <f>raw_data!B178</f>
        <v>Victoria</v>
      </c>
      <c r="C178" t="str">
        <f>raw_data!C178</f>
        <v>Education and Training</v>
      </c>
      <c r="D178">
        <f>raw_data!D178</f>
        <v>1.88</v>
      </c>
      <c r="E178">
        <f>raw_data!E178</f>
        <v>63.46</v>
      </c>
      <c r="F178">
        <f>raw_data!F178</f>
        <v>2.1800000000000002</v>
      </c>
      <c r="G178">
        <f>raw_data!G178</f>
        <v>20.45</v>
      </c>
      <c r="H178">
        <f>(raw_data!D178*weights!$B$2)+(raw_data!E178*weights!$B$3)+(raw_data!F178*weights!$B$4)</f>
        <v>20.443999999999999</v>
      </c>
      <c r="I178" t="str">
        <f t="shared" si="4"/>
        <v>Low</v>
      </c>
      <c r="J178" t="str">
        <f t="shared" si="5"/>
        <v>2012 Q1</v>
      </c>
      <c r="K178">
        <f>raw_data!H178</f>
        <v>0.75</v>
      </c>
      <c r="L178" s="13">
        <f>raw_data!I178</f>
        <v>19.04</v>
      </c>
      <c r="M178" s="13">
        <f>raw_data!J178</f>
        <v>0.66</v>
      </c>
    </row>
    <row r="179" spans="1:13" x14ac:dyDescent="0.2">
      <c r="A179" t="str">
        <f>raw_data!A179</f>
        <v>2012Q1</v>
      </c>
      <c r="B179" t="str">
        <f>raw_data!B179</f>
        <v>Victoria</v>
      </c>
      <c r="C179" t="str">
        <f>raw_data!C179</f>
        <v>Health Care and Social Assistance</v>
      </c>
      <c r="D179">
        <f>raw_data!D179</f>
        <v>9.5399999999999991</v>
      </c>
      <c r="E179">
        <f>raw_data!E179</f>
        <v>51.92</v>
      </c>
      <c r="F179">
        <f>raw_data!F179</f>
        <v>8.86</v>
      </c>
      <c r="G179">
        <f>raw_data!G179</f>
        <v>22.05</v>
      </c>
      <c r="H179">
        <f>(raw_data!D179*weights!$B$2)+(raw_data!E179*weights!$B$3)+(raw_data!F179*weights!$B$4)</f>
        <v>22.05</v>
      </c>
      <c r="I179" t="str">
        <f t="shared" si="4"/>
        <v>Low</v>
      </c>
      <c r="J179" t="str">
        <f t="shared" si="5"/>
        <v>2012 Q1</v>
      </c>
      <c r="K179">
        <f>raw_data!H179</f>
        <v>3.82</v>
      </c>
      <c r="L179" s="13">
        <f>raw_data!I179</f>
        <v>15.58</v>
      </c>
      <c r="M179" s="13">
        <f>raw_data!J179</f>
        <v>2.66</v>
      </c>
    </row>
    <row r="180" spans="1:13" x14ac:dyDescent="0.2">
      <c r="A180" t="str">
        <f>raw_data!A180</f>
        <v>2012Q1</v>
      </c>
      <c r="B180" t="str">
        <f>raw_data!B180</f>
        <v>Victoria</v>
      </c>
      <c r="C180" t="str">
        <f>raw_data!C180</f>
        <v>Manufacturing</v>
      </c>
      <c r="D180">
        <f>raw_data!D180</f>
        <v>9.16</v>
      </c>
      <c r="E180">
        <f>raw_data!E180</f>
        <v>67.31</v>
      </c>
      <c r="F180">
        <f>raw_data!F180</f>
        <v>4.4400000000000004</v>
      </c>
      <c r="G180">
        <f>raw_data!G180</f>
        <v>25.19</v>
      </c>
      <c r="H180">
        <f>(raw_data!D180*weights!$B$2)+(raw_data!E180*weights!$B$3)+(raw_data!F180*weights!$B$4)</f>
        <v>25.189000000000004</v>
      </c>
      <c r="I180" t="str">
        <f t="shared" si="4"/>
        <v>Moderate</v>
      </c>
      <c r="J180" t="str">
        <f t="shared" si="5"/>
        <v>2012 Q1</v>
      </c>
      <c r="K180">
        <f>raw_data!H180</f>
        <v>3.66</v>
      </c>
      <c r="L180" s="13">
        <f>raw_data!I180</f>
        <v>20.190000000000001</v>
      </c>
      <c r="M180" s="13">
        <f>raw_data!J180</f>
        <v>1.33</v>
      </c>
    </row>
    <row r="181" spans="1:13" x14ac:dyDescent="0.2">
      <c r="A181" t="str">
        <f>raw_data!A181</f>
        <v>2012Q1</v>
      </c>
      <c r="B181" t="str">
        <f>raw_data!B181</f>
        <v>Victoria</v>
      </c>
      <c r="C181" t="str">
        <f>raw_data!C181</f>
        <v>Professional, Scientific and Technical Services</v>
      </c>
      <c r="D181">
        <f>raw_data!D181</f>
        <v>24.04</v>
      </c>
      <c r="E181">
        <f>raw_data!E181</f>
        <v>76.92</v>
      </c>
      <c r="F181">
        <f>raw_data!F181</f>
        <v>15.25</v>
      </c>
      <c r="G181">
        <f>raw_data!G181</f>
        <v>37.270000000000003</v>
      </c>
      <c r="H181">
        <f>(raw_data!D181*weights!$B$2)+(raw_data!E181*weights!$B$3)+(raw_data!F181*weights!$B$4)</f>
        <v>37.267000000000003</v>
      </c>
      <c r="I181" t="str">
        <f t="shared" si="4"/>
        <v>Moderate</v>
      </c>
      <c r="J181" t="str">
        <f t="shared" si="5"/>
        <v>2012 Q1</v>
      </c>
      <c r="K181">
        <f>raw_data!H181</f>
        <v>9.61</v>
      </c>
      <c r="L181" s="13">
        <f>raw_data!I181</f>
        <v>23.08</v>
      </c>
      <c r="M181" s="13">
        <f>raw_data!J181</f>
        <v>4.58</v>
      </c>
    </row>
    <row r="182" spans="1:13" x14ac:dyDescent="0.2">
      <c r="A182" t="str">
        <f>raw_data!A182</f>
        <v>2012Q2</v>
      </c>
      <c r="B182" t="str">
        <f>raw_data!B182</f>
        <v>New South Wales</v>
      </c>
      <c r="C182" t="str">
        <f>raw_data!C182</f>
        <v>Accommodation and Food Services</v>
      </c>
      <c r="D182">
        <f>raw_data!D182</f>
        <v>16.98</v>
      </c>
      <c r="E182">
        <f>raw_data!E182</f>
        <v>59.62</v>
      </c>
      <c r="F182">
        <f>raw_data!F182</f>
        <v>4.43</v>
      </c>
      <c r="G182">
        <f>raw_data!G182</f>
        <v>26.01</v>
      </c>
      <c r="H182">
        <f>(raw_data!D182*weights!$B$2)+(raw_data!E182*weights!$B$3)+(raw_data!F182*weights!$B$4)</f>
        <v>26.007000000000001</v>
      </c>
      <c r="I182" t="str">
        <f t="shared" si="4"/>
        <v>Moderate</v>
      </c>
      <c r="J182" t="str">
        <f t="shared" si="5"/>
        <v>2012 Q2</v>
      </c>
      <c r="K182">
        <f>raw_data!H182</f>
        <v>6.79</v>
      </c>
      <c r="L182" s="13">
        <f>raw_data!I182</f>
        <v>17.88</v>
      </c>
      <c r="M182" s="13">
        <f>raw_data!J182</f>
        <v>1.33</v>
      </c>
    </row>
    <row r="183" spans="1:13" x14ac:dyDescent="0.2">
      <c r="A183" t="str">
        <f>raw_data!A183</f>
        <v>2012Q2</v>
      </c>
      <c r="B183" t="str">
        <f>raw_data!B183</f>
        <v>New South Wales</v>
      </c>
      <c r="C183" t="str">
        <f>raw_data!C183</f>
        <v>Construction</v>
      </c>
      <c r="D183">
        <f>raw_data!D183</f>
        <v>17.079999999999998</v>
      </c>
      <c r="E183">
        <f>raw_data!E183</f>
        <v>75</v>
      </c>
      <c r="F183">
        <f>raw_data!F183</f>
        <v>7.38</v>
      </c>
      <c r="G183">
        <f>raw_data!G183</f>
        <v>31.55</v>
      </c>
      <c r="H183">
        <f>(raw_data!D183*weights!$B$2)+(raw_data!E183*weights!$B$3)+(raw_data!F183*weights!$B$4)</f>
        <v>31.545999999999999</v>
      </c>
      <c r="I183" t="str">
        <f t="shared" si="4"/>
        <v>Moderate</v>
      </c>
      <c r="J183" t="str">
        <f t="shared" si="5"/>
        <v>2012 Q2</v>
      </c>
      <c r="K183">
        <f>raw_data!H183</f>
        <v>6.83</v>
      </c>
      <c r="L183" s="13">
        <f>raw_data!I183</f>
        <v>22.5</v>
      </c>
      <c r="M183" s="13">
        <f>raw_data!J183</f>
        <v>2.21</v>
      </c>
    </row>
    <row r="184" spans="1:13" x14ac:dyDescent="0.2">
      <c r="A184" t="str">
        <f>raw_data!A184</f>
        <v>2012Q2</v>
      </c>
      <c r="B184" t="str">
        <f>raw_data!B184</f>
        <v>New South Wales</v>
      </c>
      <c r="C184" t="str">
        <f>raw_data!C184</f>
        <v>Education and Training</v>
      </c>
      <c r="D184">
        <f>raw_data!D184</f>
        <v>2.5</v>
      </c>
      <c r="E184">
        <f>raw_data!E184</f>
        <v>63.46</v>
      </c>
      <c r="F184">
        <f>raw_data!F184</f>
        <v>11.41</v>
      </c>
      <c r="G184">
        <f>raw_data!G184</f>
        <v>23.46</v>
      </c>
      <c r="H184">
        <f>(raw_data!D184*weights!$B$2)+(raw_data!E184*weights!$B$3)+(raw_data!F184*weights!$B$4)</f>
        <v>23.460999999999999</v>
      </c>
      <c r="I184" t="str">
        <f t="shared" si="4"/>
        <v>Low</v>
      </c>
      <c r="J184" t="str">
        <f t="shared" si="5"/>
        <v>2012 Q2</v>
      </c>
      <c r="K184">
        <f>raw_data!H184</f>
        <v>1</v>
      </c>
      <c r="L184" s="13">
        <f>raw_data!I184</f>
        <v>19.04</v>
      </c>
      <c r="M184" s="13">
        <f>raw_data!J184</f>
        <v>3.42</v>
      </c>
    </row>
    <row r="185" spans="1:13" x14ac:dyDescent="0.2">
      <c r="A185" t="str">
        <f>raw_data!A185</f>
        <v>2012Q2</v>
      </c>
      <c r="B185" t="str">
        <f>raw_data!B185</f>
        <v>New South Wales</v>
      </c>
      <c r="C185" t="str">
        <f>raw_data!C185</f>
        <v>Health Care and Social Assistance</v>
      </c>
      <c r="D185">
        <f>raw_data!D185</f>
        <v>6.55</v>
      </c>
      <c r="E185">
        <f>raw_data!E185</f>
        <v>44.23</v>
      </c>
      <c r="F185">
        <f>raw_data!F185</f>
        <v>7.44</v>
      </c>
      <c r="G185">
        <f>raw_data!G185</f>
        <v>18.12</v>
      </c>
      <c r="H185">
        <f>(raw_data!D185*weights!$B$2)+(raw_data!E185*weights!$B$3)+(raw_data!F185*weights!$B$4)</f>
        <v>18.120999999999999</v>
      </c>
      <c r="I185" t="str">
        <f t="shared" si="4"/>
        <v>Low</v>
      </c>
      <c r="J185" t="str">
        <f t="shared" si="5"/>
        <v>2012 Q2</v>
      </c>
      <c r="K185">
        <f>raw_data!H185</f>
        <v>2.62</v>
      </c>
      <c r="L185" s="13">
        <f>raw_data!I185</f>
        <v>13.27</v>
      </c>
      <c r="M185" s="13">
        <f>raw_data!J185</f>
        <v>2.23</v>
      </c>
    </row>
    <row r="186" spans="1:13" x14ac:dyDescent="0.2">
      <c r="A186" t="str">
        <f>raw_data!A186</f>
        <v>2012Q2</v>
      </c>
      <c r="B186" t="str">
        <f>raw_data!B186</f>
        <v>New South Wales</v>
      </c>
      <c r="C186" t="str">
        <f>raw_data!C186</f>
        <v>Manufacturing</v>
      </c>
      <c r="D186">
        <f>raw_data!D186</f>
        <v>10.93</v>
      </c>
      <c r="E186">
        <f>raw_data!E186</f>
        <v>67.31</v>
      </c>
      <c r="F186">
        <f>raw_data!F186</f>
        <v>4.4000000000000004</v>
      </c>
      <c r="G186">
        <f>raw_data!G186</f>
        <v>25.88</v>
      </c>
      <c r="H186">
        <f>(raw_data!D186*weights!$B$2)+(raw_data!E186*weights!$B$3)+(raw_data!F186*weights!$B$4)</f>
        <v>25.885000000000002</v>
      </c>
      <c r="I186" t="str">
        <f t="shared" si="4"/>
        <v>Moderate</v>
      </c>
      <c r="J186" t="str">
        <f t="shared" si="5"/>
        <v>2012 Q2</v>
      </c>
      <c r="K186">
        <f>raw_data!H186</f>
        <v>4.37</v>
      </c>
      <c r="L186" s="13">
        <f>raw_data!I186</f>
        <v>20.190000000000001</v>
      </c>
      <c r="M186" s="13">
        <f>raw_data!J186</f>
        <v>1.32</v>
      </c>
    </row>
    <row r="187" spans="1:13" x14ac:dyDescent="0.2">
      <c r="A187" t="str">
        <f>raw_data!A187</f>
        <v>2012Q2</v>
      </c>
      <c r="B187" t="str">
        <f>raw_data!B187</f>
        <v>New South Wales</v>
      </c>
      <c r="C187" t="str">
        <f>raw_data!C187</f>
        <v>Professional, Scientific and Technical Services</v>
      </c>
      <c r="D187">
        <f>raw_data!D187</f>
        <v>15.35</v>
      </c>
      <c r="E187">
        <f>raw_data!E187</f>
        <v>80.77</v>
      </c>
      <c r="F187">
        <f>raw_data!F187</f>
        <v>15.49</v>
      </c>
      <c r="G187">
        <f>raw_data!G187</f>
        <v>35.020000000000003</v>
      </c>
      <c r="H187">
        <f>(raw_data!D187*weights!$B$2)+(raw_data!E187*weights!$B$3)+(raw_data!F187*weights!$B$4)</f>
        <v>35.018000000000001</v>
      </c>
      <c r="I187" t="str">
        <f t="shared" si="4"/>
        <v>Moderate</v>
      </c>
      <c r="J187" t="str">
        <f t="shared" si="5"/>
        <v>2012 Q2</v>
      </c>
      <c r="K187">
        <f>raw_data!H187</f>
        <v>6.14</v>
      </c>
      <c r="L187" s="13">
        <f>raw_data!I187</f>
        <v>24.23</v>
      </c>
      <c r="M187" s="13">
        <f>raw_data!J187</f>
        <v>4.6500000000000004</v>
      </c>
    </row>
    <row r="188" spans="1:13" x14ac:dyDescent="0.2">
      <c r="A188" t="str">
        <f>raw_data!A188</f>
        <v>2012Q2</v>
      </c>
      <c r="B188" t="str">
        <f>raw_data!B188</f>
        <v>Queensland</v>
      </c>
      <c r="C188" t="str">
        <f>raw_data!C188</f>
        <v>Accommodation and Food Services</v>
      </c>
      <c r="D188">
        <f>raw_data!D188</f>
        <v>27.15</v>
      </c>
      <c r="E188">
        <f>raw_data!E188</f>
        <v>59.62</v>
      </c>
      <c r="F188">
        <f>raw_data!F188</f>
        <v>4.82</v>
      </c>
      <c r="G188">
        <f>raw_data!G188</f>
        <v>30.19</v>
      </c>
      <c r="H188">
        <f>(raw_data!D188*weights!$B$2)+(raw_data!E188*weights!$B$3)+(raw_data!F188*weights!$B$4)</f>
        <v>30.192</v>
      </c>
      <c r="I188" t="str">
        <f t="shared" si="4"/>
        <v>Moderate</v>
      </c>
      <c r="J188" t="str">
        <f t="shared" si="5"/>
        <v>2012 Q2</v>
      </c>
      <c r="K188">
        <f>raw_data!H188</f>
        <v>10.86</v>
      </c>
      <c r="L188" s="13">
        <f>raw_data!I188</f>
        <v>17.88</v>
      </c>
      <c r="M188" s="13">
        <f>raw_data!J188</f>
        <v>1.44</v>
      </c>
    </row>
    <row r="189" spans="1:13" x14ac:dyDescent="0.2">
      <c r="A189" t="str">
        <f>raw_data!A189</f>
        <v>2012Q2</v>
      </c>
      <c r="B189" t="str">
        <f>raw_data!B189</f>
        <v>Queensland</v>
      </c>
      <c r="C189" t="str">
        <f>raw_data!C189</f>
        <v>Construction</v>
      </c>
      <c r="D189">
        <f>raw_data!D189</f>
        <v>24.94</v>
      </c>
      <c r="E189">
        <f>raw_data!E189</f>
        <v>75</v>
      </c>
      <c r="F189">
        <f>raw_data!F189</f>
        <v>7.89</v>
      </c>
      <c r="G189">
        <f>raw_data!G189</f>
        <v>34.840000000000003</v>
      </c>
      <c r="H189">
        <f>(raw_data!D189*weights!$B$2)+(raw_data!E189*weights!$B$3)+(raw_data!F189*weights!$B$4)</f>
        <v>34.842999999999996</v>
      </c>
      <c r="I189" t="str">
        <f t="shared" si="4"/>
        <v>Moderate</v>
      </c>
      <c r="J189" t="str">
        <f t="shared" si="5"/>
        <v>2012 Q2</v>
      </c>
      <c r="K189">
        <f>raw_data!H189</f>
        <v>9.98</v>
      </c>
      <c r="L189" s="13">
        <f>raw_data!I189</f>
        <v>22.5</v>
      </c>
      <c r="M189" s="13">
        <f>raw_data!J189</f>
        <v>2.37</v>
      </c>
    </row>
    <row r="190" spans="1:13" x14ac:dyDescent="0.2">
      <c r="A190" t="str">
        <f>raw_data!A190</f>
        <v>2012Q2</v>
      </c>
      <c r="B190" t="str">
        <f>raw_data!B190</f>
        <v>Queensland</v>
      </c>
      <c r="C190" t="str">
        <f>raw_data!C190</f>
        <v>Education and Training</v>
      </c>
      <c r="D190">
        <f>raw_data!D190</f>
        <v>5.16</v>
      </c>
      <c r="E190">
        <f>raw_data!E190</f>
        <v>63.46</v>
      </c>
      <c r="F190">
        <f>raw_data!F190</f>
        <v>2.61</v>
      </c>
      <c r="G190">
        <f>raw_data!G190</f>
        <v>21.89</v>
      </c>
      <c r="H190">
        <f>(raw_data!D190*weights!$B$2)+(raw_data!E190*weights!$B$3)+(raw_data!F190*weights!$B$4)</f>
        <v>21.885000000000002</v>
      </c>
      <c r="I190" t="str">
        <f t="shared" si="4"/>
        <v>Low</v>
      </c>
      <c r="J190" t="str">
        <f t="shared" si="5"/>
        <v>2012 Q2</v>
      </c>
      <c r="K190">
        <f>raw_data!H190</f>
        <v>2.06</v>
      </c>
      <c r="L190" s="13">
        <f>raw_data!I190</f>
        <v>19.04</v>
      </c>
      <c r="M190" s="13">
        <f>raw_data!J190</f>
        <v>0.78</v>
      </c>
    </row>
    <row r="191" spans="1:13" x14ac:dyDescent="0.2">
      <c r="A191" t="str">
        <f>raw_data!A191</f>
        <v>2012Q2</v>
      </c>
      <c r="B191" t="str">
        <f>raw_data!B191</f>
        <v>Queensland</v>
      </c>
      <c r="C191" t="str">
        <f>raw_data!C191</f>
        <v>Health Care and Social Assistance</v>
      </c>
      <c r="D191">
        <f>raw_data!D191</f>
        <v>11.03</v>
      </c>
      <c r="E191">
        <f>raw_data!E191</f>
        <v>44.23</v>
      </c>
      <c r="F191">
        <f>raw_data!F191</f>
        <v>10.57</v>
      </c>
      <c r="G191">
        <f>raw_data!G191</f>
        <v>20.85</v>
      </c>
      <c r="H191">
        <f>(raw_data!D191*weights!$B$2)+(raw_data!E191*weights!$B$3)+(raw_data!F191*weights!$B$4)</f>
        <v>20.851999999999997</v>
      </c>
      <c r="I191" t="str">
        <f t="shared" si="4"/>
        <v>Low</v>
      </c>
      <c r="J191" t="str">
        <f t="shared" si="5"/>
        <v>2012 Q2</v>
      </c>
      <c r="K191">
        <f>raw_data!H191</f>
        <v>4.41</v>
      </c>
      <c r="L191" s="13">
        <f>raw_data!I191</f>
        <v>13.27</v>
      </c>
      <c r="M191" s="13">
        <f>raw_data!J191</f>
        <v>3.17</v>
      </c>
    </row>
    <row r="192" spans="1:13" x14ac:dyDescent="0.2">
      <c r="A192" t="str">
        <f>raw_data!A192</f>
        <v>2012Q2</v>
      </c>
      <c r="B192" t="str">
        <f>raw_data!B192</f>
        <v>Queensland</v>
      </c>
      <c r="C192" t="str">
        <f>raw_data!C192</f>
        <v>Manufacturing</v>
      </c>
      <c r="D192">
        <f>raw_data!D192</f>
        <v>18.57</v>
      </c>
      <c r="E192">
        <f>raw_data!E192</f>
        <v>67.31</v>
      </c>
      <c r="F192">
        <f>raw_data!F192</f>
        <v>9.19</v>
      </c>
      <c r="G192">
        <f>raw_data!G192</f>
        <v>30.38</v>
      </c>
      <c r="H192">
        <f>(raw_data!D192*weights!$B$2)+(raw_data!E192*weights!$B$3)+(raw_data!F192*weights!$B$4)</f>
        <v>30.378</v>
      </c>
      <c r="I192" t="str">
        <f t="shared" si="4"/>
        <v>Moderate</v>
      </c>
      <c r="J192" t="str">
        <f t="shared" si="5"/>
        <v>2012 Q2</v>
      </c>
      <c r="K192">
        <f>raw_data!H192</f>
        <v>7.43</v>
      </c>
      <c r="L192" s="13">
        <f>raw_data!I192</f>
        <v>20.190000000000001</v>
      </c>
      <c r="M192" s="13">
        <f>raw_data!J192</f>
        <v>2.76</v>
      </c>
    </row>
    <row r="193" spans="1:13" x14ac:dyDescent="0.2">
      <c r="A193" t="str">
        <f>raw_data!A193</f>
        <v>2012Q2</v>
      </c>
      <c r="B193" t="str">
        <f>raw_data!B193</f>
        <v>Queensland</v>
      </c>
      <c r="C193" t="str">
        <f>raw_data!C193</f>
        <v>Professional, Scientific and Technical Services</v>
      </c>
      <c r="D193">
        <f>raw_data!D193</f>
        <v>34.25</v>
      </c>
      <c r="E193">
        <f>raw_data!E193</f>
        <v>80.77</v>
      </c>
      <c r="F193">
        <f>raw_data!F193</f>
        <v>17.559999999999999</v>
      </c>
      <c r="G193">
        <f>raw_data!G193</f>
        <v>43.2</v>
      </c>
      <c r="H193">
        <f>(raw_data!D193*weights!$B$2)+(raw_data!E193*weights!$B$3)+(raw_data!F193*weights!$B$4)</f>
        <v>43.198999999999998</v>
      </c>
      <c r="I193" t="str">
        <f t="shared" si="4"/>
        <v>Moderate</v>
      </c>
      <c r="J193" t="str">
        <f t="shared" si="5"/>
        <v>2012 Q2</v>
      </c>
      <c r="K193">
        <f>raw_data!H193</f>
        <v>13.7</v>
      </c>
      <c r="L193" s="13">
        <f>raw_data!I193</f>
        <v>24.23</v>
      </c>
      <c r="M193" s="13">
        <f>raw_data!J193</f>
        <v>5.27</v>
      </c>
    </row>
    <row r="194" spans="1:13" x14ac:dyDescent="0.2">
      <c r="A194" t="str">
        <f>raw_data!A194</f>
        <v>2012Q2</v>
      </c>
      <c r="B194" t="str">
        <f>raw_data!B194</f>
        <v>Victoria</v>
      </c>
      <c r="C194" t="str">
        <f>raw_data!C194</f>
        <v>Accommodation and Food Services</v>
      </c>
      <c r="D194">
        <f>raw_data!D194</f>
        <v>18.88</v>
      </c>
      <c r="E194">
        <f>raw_data!E194</f>
        <v>59.62</v>
      </c>
      <c r="F194">
        <f>raw_data!F194</f>
        <v>5.15</v>
      </c>
      <c r="G194">
        <f>raw_data!G194</f>
        <v>26.98</v>
      </c>
      <c r="H194">
        <f>(raw_data!D194*weights!$B$2)+(raw_data!E194*weights!$B$3)+(raw_data!F194*weights!$B$4)</f>
        <v>26.983000000000001</v>
      </c>
      <c r="I194" t="str">
        <f t="shared" si="4"/>
        <v>Moderate</v>
      </c>
      <c r="J194" t="str">
        <f t="shared" si="5"/>
        <v>2012 Q2</v>
      </c>
      <c r="K194">
        <f>raw_data!H194</f>
        <v>7.55</v>
      </c>
      <c r="L194" s="13">
        <f>raw_data!I194</f>
        <v>17.88</v>
      </c>
      <c r="M194" s="13">
        <f>raw_data!J194</f>
        <v>1.55</v>
      </c>
    </row>
    <row r="195" spans="1:13" x14ac:dyDescent="0.2">
      <c r="A195" t="str">
        <f>raw_data!A195</f>
        <v>2012Q2</v>
      </c>
      <c r="B195" t="str">
        <f>raw_data!B195</f>
        <v>Victoria</v>
      </c>
      <c r="C195" t="str">
        <f>raw_data!C195</f>
        <v>Construction</v>
      </c>
      <c r="D195">
        <f>raw_data!D195</f>
        <v>22.65</v>
      </c>
      <c r="E195">
        <f>raw_data!E195</f>
        <v>75</v>
      </c>
      <c r="F195">
        <f>raw_data!F195</f>
        <v>8.3000000000000007</v>
      </c>
      <c r="G195">
        <f>raw_data!G195</f>
        <v>34.049999999999997</v>
      </c>
      <c r="H195">
        <f>(raw_data!D195*weights!$B$2)+(raw_data!E195*weights!$B$3)+(raw_data!F195*weights!$B$4)</f>
        <v>34.050000000000004</v>
      </c>
      <c r="I195" t="str">
        <f t="shared" ref="I195:I258" si="6">IF(H195&gt;=60,"Critical",IF(H195&gt;=45,"High",IF(H195&gt;=25,"Moderate","Low")))</f>
        <v>Moderate</v>
      </c>
      <c r="J195" t="str">
        <f t="shared" ref="J195:J258" si="7">LEFT(A195,4)&amp;" "&amp;RIGHT(A195,2)</f>
        <v>2012 Q2</v>
      </c>
      <c r="K195">
        <f>raw_data!H195</f>
        <v>9.06</v>
      </c>
      <c r="L195" s="13">
        <f>raw_data!I195</f>
        <v>22.5</v>
      </c>
      <c r="M195" s="13">
        <f>raw_data!J195</f>
        <v>2.4900000000000002</v>
      </c>
    </row>
    <row r="196" spans="1:13" x14ac:dyDescent="0.2">
      <c r="A196" t="str">
        <f>raw_data!A196</f>
        <v>2012Q2</v>
      </c>
      <c r="B196" t="str">
        <f>raw_data!B196</f>
        <v>Victoria</v>
      </c>
      <c r="C196" t="str">
        <f>raw_data!C196</f>
        <v>Education and Training</v>
      </c>
      <c r="D196">
        <f>raw_data!D196</f>
        <v>3.19</v>
      </c>
      <c r="E196">
        <f>raw_data!E196</f>
        <v>63.46</v>
      </c>
      <c r="F196">
        <f>raw_data!F196</f>
        <v>9.15</v>
      </c>
      <c r="G196">
        <f>raw_data!G196</f>
        <v>23.06</v>
      </c>
      <c r="H196">
        <f>(raw_data!D196*weights!$B$2)+(raw_data!E196*weights!$B$3)+(raw_data!F196*weights!$B$4)</f>
        <v>23.059000000000001</v>
      </c>
      <c r="I196" t="str">
        <f t="shared" si="6"/>
        <v>Low</v>
      </c>
      <c r="J196" t="str">
        <f t="shared" si="7"/>
        <v>2012 Q2</v>
      </c>
      <c r="K196">
        <f>raw_data!H196</f>
        <v>1.28</v>
      </c>
      <c r="L196" s="13">
        <f>raw_data!I196</f>
        <v>19.04</v>
      </c>
      <c r="M196" s="13">
        <f>raw_data!J196</f>
        <v>2.75</v>
      </c>
    </row>
    <row r="197" spans="1:13" x14ac:dyDescent="0.2">
      <c r="A197" t="str">
        <f>raw_data!A197</f>
        <v>2012Q2</v>
      </c>
      <c r="B197" t="str">
        <f>raw_data!B197</f>
        <v>Victoria</v>
      </c>
      <c r="C197" t="str">
        <f>raw_data!C197</f>
        <v>Health Care and Social Assistance</v>
      </c>
      <c r="D197">
        <f>raw_data!D197</f>
        <v>9.73</v>
      </c>
      <c r="E197">
        <f>raw_data!E197</f>
        <v>44.23</v>
      </c>
      <c r="F197">
        <f>raw_data!F197</f>
        <v>13.84</v>
      </c>
      <c r="G197">
        <f>raw_data!G197</f>
        <v>21.31</v>
      </c>
      <c r="H197">
        <f>(raw_data!D197*weights!$B$2)+(raw_data!E197*weights!$B$3)+(raw_data!F197*weights!$B$4)</f>
        <v>21.312999999999999</v>
      </c>
      <c r="I197" t="str">
        <f t="shared" si="6"/>
        <v>Low</v>
      </c>
      <c r="J197" t="str">
        <f t="shared" si="7"/>
        <v>2012 Q2</v>
      </c>
      <c r="K197">
        <f>raw_data!H197</f>
        <v>3.89</v>
      </c>
      <c r="L197" s="13">
        <f>raw_data!I197</f>
        <v>13.27</v>
      </c>
      <c r="M197" s="13">
        <f>raw_data!J197</f>
        <v>4.1500000000000004</v>
      </c>
    </row>
    <row r="198" spans="1:13" x14ac:dyDescent="0.2">
      <c r="A198" t="str">
        <f>raw_data!A198</f>
        <v>2012Q2</v>
      </c>
      <c r="B198" t="str">
        <f>raw_data!B198</f>
        <v>Victoria</v>
      </c>
      <c r="C198" t="str">
        <f>raw_data!C198</f>
        <v>Manufacturing</v>
      </c>
      <c r="D198">
        <f>raw_data!D198</f>
        <v>9.14</v>
      </c>
      <c r="E198">
        <f>raw_data!E198</f>
        <v>67.31</v>
      </c>
      <c r="F198">
        <f>raw_data!F198</f>
        <v>3.73</v>
      </c>
      <c r="G198">
        <f>raw_data!G198</f>
        <v>24.97</v>
      </c>
      <c r="H198">
        <f>(raw_data!D198*weights!$B$2)+(raw_data!E198*weights!$B$3)+(raw_data!F198*weights!$B$4)</f>
        <v>24.968000000000004</v>
      </c>
      <c r="I198" t="str">
        <f t="shared" si="6"/>
        <v>Low</v>
      </c>
      <c r="J198" t="str">
        <f t="shared" si="7"/>
        <v>2012 Q2</v>
      </c>
      <c r="K198">
        <f>raw_data!H198</f>
        <v>3.66</v>
      </c>
      <c r="L198" s="13">
        <f>raw_data!I198</f>
        <v>20.190000000000001</v>
      </c>
      <c r="M198" s="13">
        <f>raw_data!J198</f>
        <v>1.1200000000000001</v>
      </c>
    </row>
    <row r="199" spans="1:13" x14ac:dyDescent="0.2">
      <c r="A199" t="str">
        <f>raw_data!A199</f>
        <v>2012Q2</v>
      </c>
      <c r="B199" t="str">
        <f>raw_data!B199</f>
        <v>Victoria</v>
      </c>
      <c r="C199" t="str">
        <f>raw_data!C199</f>
        <v>Professional, Scientific and Technical Services</v>
      </c>
      <c r="D199">
        <f>raw_data!D199</f>
        <v>21.34</v>
      </c>
      <c r="E199">
        <f>raw_data!E199</f>
        <v>80.77</v>
      </c>
      <c r="F199">
        <f>raw_data!F199</f>
        <v>27.36</v>
      </c>
      <c r="G199">
        <f>raw_data!G199</f>
        <v>40.97</v>
      </c>
      <c r="H199">
        <f>(raw_data!D199*weights!$B$2)+(raw_data!E199*weights!$B$3)+(raw_data!F199*weights!$B$4)</f>
        <v>40.974999999999994</v>
      </c>
      <c r="I199" t="str">
        <f t="shared" si="6"/>
        <v>Moderate</v>
      </c>
      <c r="J199" t="str">
        <f t="shared" si="7"/>
        <v>2012 Q2</v>
      </c>
      <c r="K199">
        <f>raw_data!H199</f>
        <v>8.5399999999999991</v>
      </c>
      <c r="L199" s="13">
        <f>raw_data!I199</f>
        <v>24.23</v>
      </c>
      <c r="M199" s="13">
        <f>raw_data!J199</f>
        <v>8.2100000000000009</v>
      </c>
    </row>
    <row r="200" spans="1:13" x14ac:dyDescent="0.2">
      <c r="A200" t="str">
        <f>raw_data!A200</f>
        <v>2012Q3</v>
      </c>
      <c r="B200" t="str">
        <f>raw_data!B200</f>
        <v>New South Wales</v>
      </c>
      <c r="C200" t="str">
        <f>raw_data!C200</f>
        <v>Accommodation and Food Services</v>
      </c>
      <c r="D200">
        <f>raw_data!D200</f>
        <v>17.61</v>
      </c>
      <c r="E200">
        <f>raw_data!E200</f>
        <v>50</v>
      </c>
      <c r="F200">
        <f>raw_data!F200</f>
        <v>3.77</v>
      </c>
      <c r="G200">
        <f>raw_data!G200</f>
        <v>23.17</v>
      </c>
      <c r="H200">
        <f>(raw_data!D200*weights!$B$2)+(raw_data!E200*weights!$B$3)+(raw_data!F200*weights!$B$4)</f>
        <v>23.175000000000001</v>
      </c>
      <c r="I200" t="str">
        <f t="shared" si="6"/>
        <v>Low</v>
      </c>
      <c r="J200" t="str">
        <f t="shared" si="7"/>
        <v>2012 Q3</v>
      </c>
      <c r="K200">
        <f>raw_data!H200</f>
        <v>7.04</v>
      </c>
      <c r="L200" s="13">
        <f>raw_data!I200</f>
        <v>15</v>
      </c>
      <c r="M200" s="13">
        <f>raw_data!J200</f>
        <v>1.1299999999999999</v>
      </c>
    </row>
    <row r="201" spans="1:13" x14ac:dyDescent="0.2">
      <c r="A201" t="str">
        <f>raw_data!A201</f>
        <v>2012Q3</v>
      </c>
      <c r="B201" t="str">
        <f>raw_data!B201</f>
        <v>New South Wales</v>
      </c>
      <c r="C201" t="str">
        <f>raw_data!C201</f>
        <v>Construction</v>
      </c>
      <c r="D201">
        <f>raw_data!D201</f>
        <v>15.16</v>
      </c>
      <c r="E201">
        <f>raw_data!E201</f>
        <v>63.46</v>
      </c>
      <c r="F201">
        <f>raw_data!F201</f>
        <v>13.1</v>
      </c>
      <c r="G201">
        <f>raw_data!G201</f>
        <v>29.03</v>
      </c>
      <c r="H201">
        <f>(raw_data!D201*weights!$B$2)+(raw_data!E201*weights!$B$3)+(raw_data!F201*weights!$B$4)</f>
        <v>29.032</v>
      </c>
      <c r="I201" t="str">
        <f t="shared" si="6"/>
        <v>Moderate</v>
      </c>
      <c r="J201" t="str">
        <f t="shared" si="7"/>
        <v>2012 Q3</v>
      </c>
      <c r="K201">
        <f>raw_data!H201</f>
        <v>6.06</v>
      </c>
      <c r="L201" s="13">
        <f>raw_data!I201</f>
        <v>19.04</v>
      </c>
      <c r="M201" s="13">
        <f>raw_data!J201</f>
        <v>3.93</v>
      </c>
    </row>
    <row r="202" spans="1:13" x14ac:dyDescent="0.2">
      <c r="A202" t="str">
        <f>raw_data!A202</f>
        <v>2012Q3</v>
      </c>
      <c r="B202" t="str">
        <f>raw_data!B202</f>
        <v>New South Wales</v>
      </c>
      <c r="C202" t="str">
        <f>raw_data!C202</f>
        <v>Education and Training</v>
      </c>
      <c r="D202">
        <f>raw_data!D202</f>
        <v>1.37</v>
      </c>
      <c r="E202">
        <f>raw_data!E202</f>
        <v>55.77</v>
      </c>
      <c r="F202">
        <f>raw_data!F202</f>
        <v>5.81</v>
      </c>
      <c r="G202">
        <f>raw_data!G202</f>
        <v>19.02</v>
      </c>
      <c r="H202">
        <f>(raw_data!D202*weights!$B$2)+(raw_data!E202*weights!$B$3)+(raw_data!F202*weights!$B$4)</f>
        <v>19.022000000000002</v>
      </c>
      <c r="I202" t="str">
        <f t="shared" si="6"/>
        <v>Low</v>
      </c>
      <c r="J202" t="str">
        <f t="shared" si="7"/>
        <v>2012 Q3</v>
      </c>
      <c r="K202">
        <f>raw_data!H202</f>
        <v>0.55000000000000004</v>
      </c>
      <c r="L202" s="13">
        <f>raw_data!I202</f>
        <v>16.73</v>
      </c>
      <c r="M202" s="13">
        <f>raw_data!J202</f>
        <v>1.74</v>
      </c>
    </row>
    <row r="203" spans="1:13" x14ac:dyDescent="0.2">
      <c r="A203" t="str">
        <f>raw_data!A203</f>
        <v>2012Q3</v>
      </c>
      <c r="B203" t="str">
        <f>raw_data!B203</f>
        <v>New South Wales</v>
      </c>
      <c r="C203" t="str">
        <f>raw_data!C203</f>
        <v>Health Care and Social Assistance</v>
      </c>
      <c r="D203">
        <f>raw_data!D203</f>
        <v>7.36</v>
      </c>
      <c r="E203">
        <f>raw_data!E203</f>
        <v>57.69</v>
      </c>
      <c r="F203">
        <f>raw_data!F203</f>
        <v>5.9</v>
      </c>
      <c r="G203">
        <f>raw_data!G203</f>
        <v>22.02</v>
      </c>
      <c r="H203">
        <f>(raw_data!D203*weights!$B$2)+(raw_data!E203*weights!$B$3)+(raw_data!F203*weights!$B$4)</f>
        <v>22.020999999999997</v>
      </c>
      <c r="I203" t="str">
        <f t="shared" si="6"/>
        <v>Low</v>
      </c>
      <c r="J203" t="str">
        <f t="shared" si="7"/>
        <v>2012 Q3</v>
      </c>
      <c r="K203">
        <f>raw_data!H203</f>
        <v>2.94</v>
      </c>
      <c r="L203" s="13">
        <f>raw_data!I203</f>
        <v>17.309999999999999</v>
      </c>
      <c r="M203" s="13">
        <f>raw_data!J203</f>
        <v>1.77</v>
      </c>
    </row>
    <row r="204" spans="1:13" x14ac:dyDescent="0.2">
      <c r="A204" t="str">
        <f>raw_data!A204</f>
        <v>2012Q3</v>
      </c>
      <c r="B204" t="str">
        <f>raw_data!B204</f>
        <v>New South Wales</v>
      </c>
      <c r="C204" t="str">
        <f>raw_data!C204</f>
        <v>Manufacturing</v>
      </c>
      <c r="D204">
        <f>raw_data!D204</f>
        <v>10</v>
      </c>
      <c r="E204">
        <f>raw_data!E204</f>
        <v>65.38</v>
      </c>
      <c r="F204">
        <f>raw_data!F204</f>
        <v>6.88</v>
      </c>
      <c r="G204">
        <f>raw_data!G204</f>
        <v>25.68</v>
      </c>
      <c r="H204">
        <f>(raw_data!D204*weights!$B$2)+(raw_data!E204*weights!$B$3)+(raw_data!F204*weights!$B$4)</f>
        <v>25.677999999999997</v>
      </c>
      <c r="I204" t="str">
        <f t="shared" si="6"/>
        <v>Moderate</v>
      </c>
      <c r="J204" t="str">
        <f t="shared" si="7"/>
        <v>2012 Q3</v>
      </c>
      <c r="K204">
        <f>raw_data!H204</f>
        <v>4</v>
      </c>
      <c r="L204" s="13">
        <f>raw_data!I204</f>
        <v>19.62</v>
      </c>
      <c r="M204" s="13">
        <f>raw_data!J204</f>
        <v>2.0699999999999998</v>
      </c>
    </row>
    <row r="205" spans="1:13" x14ac:dyDescent="0.2">
      <c r="A205" t="str">
        <f>raw_data!A205</f>
        <v>2012Q3</v>
      </c>
      <c r="B205" t="str">
        <f>raw_data!B205</f>
        <v>New South Wales</v>
      </c>
      <c r="C205" t="str">
        <f>raw_data!C205</f>
        <v>Professional, Scientific and Technical Services</v>
      </c>
      <c r="D205">
        <f>raw_data!D205</f>
        <v>14.79</v>
      </c>
      <c r="E205">
        <f>raw_data!E205</f>
        <v>75</v>
      </c>
      <c r="F205">
        <f>raw_data!F205</f>
        <v>11.94</v>
      </c>
      <c r="G205">
        <f>raw_data!G205</f>
        <v>32</v>
      </c>
      <c r="H205">
        <f>(raw_data!D205*weights!$B$2)+(raw_data!E205*weights!$B$3)+(raw_data!F205*weights!$B$4)</f>
        <v>31.998000000000001</v>
      </c>
      <c r="I205" t="str">
        <f t="shared" si="6"/>
        <v>Moderate</v>
      </c>
      <c r="J205" t="str">
        <f t="shared" si="7"/>
        <v>2012 Q3</v>
      </c>
      <c r="K205">
        <f>raw_data!H205</f>
        <v>5.91</v>
      </c>
      <c r="L205" s="13">
        <f>raw_data!I205</f>
        <v>22.5</v>
      </c>
      <c r="M205" s="13">
        <f>raw_data!J205</f>
        <v>3.58</v>
      </c>
    </row>
    <row r="206" spans="1:13" x14ac:dyDescent="0.2">
      <c r="A206" t="str">
        <f>raw_data!A206</f>
        <v>2012Q3</v>
      </c>
      <c r="B206" t="str">
        <f>raw_data!B206</f>
        <v>Queensland</v>
      </c>
      <c r="C206" t="str">
        <f>raw_data!C206</f>
        <v>Accommodation and Food Services</v>
      </c>
      <c r="D206">
        <f>raw_data!D206</f>
        <v>26.59</v>
      </c>
      <c r="E206">
        <f>raw_data!E206</f>
        <v>50</v>
      </c>
      <c r="F206">
        <f>raw_data!F206</f>
        <v>5.41</v>
      </c>
      <c r="G206">
        <f>raw_data!G206</f>
        <v>27.26</v>
      </c>
      <c r="H206">
        <f>(raw_data!D206*weights!$B$2)+(raw_data!E206*weights!$B$3)+(raw_data!F206*weights!$B$4)</f>
        <v>27.259000000000004</v>
      </c>
      <c r="I206" t="str">
        <f t="shared" si="6"/>
        <v>Moderate</v>
      </c>
      <c r="J206" t="str">
        <f t="shared" si="7"/>
        <v>2012 Q3</v>
      </c>
      <c r="K206">
        <f>raw_data!H206</f>
        <v>10.64</v>
      </c>
      <c r="L206" s="13">
        <f>raw_data!I206</f>
        <v>15</v>
      </c>
      <c r="M206" s="13">
        <f>raw_data!J206</f>
        <v>1.62</v>
      </c>
    </row>
    <row r="207" spans="1:13" x14ac:dyDescent="0.2">
      <c r="A207" t="str">
        <f>raw_data!A207</f>
        <v>2012Q3</v>
      </c>
      <c r="B207" t="str">
        <f>raw_data!B207</f>
        <v>Queensland</v>
      </c>
      <c r="C207" t="str">
        <f>raw_data!C207</f>
        <v>Construction</v>
      </c>
      <c r="D207">
        <f>raw_data!D207</f>
        <v>19.95</v>
      </c>
      <c r="E207">
        <f>raw_data!E207</f>
        <v>63.46</v>
      </c>
      <c r="F207">
        <f>raw_data!F207</f>
        <v>7.32</v>
      </c>
      <c r="G207">
        <f>raw_data!G207</f>
        <v>29.21</v>
      </c>
      <c r="H207">
        <f>(raw_data!D207*weights!$B$2)+(raw_data!E207*weights!$B$3)+(raw_data!F207*weights!$B$4)</f>
        <v>29.214000000000002</v>
      </c>
      <c r="I207" t="str">
        <f t="shared" si="6"/>
        <v>Moderate</v>
      </c>
      <c r="J207" t="str">
        <f t="shared" si="7"/>
        <v>2012 Q3</v>
      </c>
      <c r="K207">
        <f>raw_data!H207</f>
        <v>7.98</v>
      </c>
      <c r="L207" s="13">
        <f>raw_data!I207</f>
        <v>19.04</v>
      </c>
      <c r="M207" s="13">
        <f>raw_data!J207</f>
        <v>2.2000000000000002</v>
      </c>
    </row>
    <row r="208" spans="1:13" x14ac:dyDescent="0.2">
      <c r="A208" t="str">
        <f>raw_data!A208</f>
        <v>2012Q3</v>
      </c>
      <c r="B208" t="str">
        <f>raw_data!B208</f>
        <v>Queensland</v>
      </c>
      <c r="C208" t="str">
        <f>raw_data!C208</f>
        <v>Education and Training</v>
      </c>
      <c r="D208">
        <f>raw_data!D208</f>
        <v>2.95</v>
      </c>
      <c r="E208">
        <f>raw_data!E208</f>
        <v>55.77</v>
      </c>
      <c r="F208">
        <f>raw_data!F208</f>
        <v>7.82</v>
      </c>
      <c r="G208">
        <f>raw_data!G208</f>
        <v>20.260000000000002</v>
      </c>
      <c r="H208">
        <f>(raw_data!D208*weights!$B$2)+(raw_data!E208*weights!$B$3)+(raw_data!F208*weights!$B$4)</f>
        <v>20.257000000000001</v>
      </c>
      <c r="I208" t="str">
        <f t="shared" si="6"/>
        <v>Low</v>
      </c>
      <c r="J208" t="str">
        <f t="shared" si="7"/>
        <v>2012 Q3</v>
      </c>
      <c r="K208">
        <f>raw_data!H208</f>
        <v>1.18</v>
      </c>
      <c r="L208" s="13">
        <f>raw_data!I208</f>
        <v>16.73</v>
      </c>
      <c r="M208" s="13">
        <f>raw_data!J208</f>
        <v>2.34</v>
      </c>
    </row>
    <row r="209" spans="1:13" x14ac:dyDescent="0.2">
      <c r="A209" t="str">
        <f>raw_data!A209</f>
        <v>2012Q3</v>
      </c>
      <c r="B209" t="str">
        <f>raw_data!B209</f>
        <v>Queensland</v>
      </c>
      <c r="C209" t="str">
        <f>raw_data!C209</f>
        <v>Health Care and Social Assistance</v>
      </c>
      <c r="D209">
        <f>raw_data!D209</f>
        <v>11.99</v>
      </c>
      <c r="E209">
        <f>raw_data!E209</f>
        <v>57.69</v>
      </c>
      <c r="F209">
        <f>raw_data!F209</f>
        <v>10.35</v>
      </c>
      <c r="G209">
        <f>raw_data!G209</f>
        <v>25.21</v>
      </c>
      <c r="H209">
        <f>(raw_data!D209*weights!$B$2)+(raw_data!E209*weights!$B$3)+(raw_data!F209*weights!$B$4)</f>
        <v>25.207999999999998</v>
      </c>
      <c r="I209" t="str">
        <f t="shared" si="6"/>
        <v>Moderate</v>
      </c>
      <c r="J209" t="str">
        <f t="shared" si="7"/>
        <v>2012 Q3</v>
      </c>
      <c r="K209">
        <f>raw_data!H209</f>
        <v>4.8</v>
      </c>
      <c r="L209" s="13">
        <f>raw_data!I209</f>
        <v>17.309999999999999</v>
      </c>
      <c r="M209" s="13">
        <f>raw_data!J209</f>
        <v>3.1</v>
      </c>
    </row>
    <row r="210" spans="1:13" x14ac:dyDescent="0.2">
      <c r="A210" t="str">
        <f>raw_data!A210</f>
        <v>2012Q3</v>
      </c>
      <c r="B210" t="str">
        <f>raw_data!B210</f>
        <v>Queensland</v>
      </c>
      <c r="C210" t="str">
        <f>raw_data!C210</f>
        <v>Manufacturing</v>
      </c>
      <c r="D210">
        <f>raw_data!D210</f>
        <v>19.989999999999998</v>
      </c>
      <c r="E210">
        <f>raw_data!E210</f>
        <v>65.38</v>
      </c>
      <c r="F210">
        <f>raw_data!F210</f>
        <v>9.2899999999999991</v>
      </c>
      <c r="G210">
        <f>raw_data!G210</f>
        <v>30.4</v>
      </c>
      <c r="H210">
        <f>(raw_data!D210*weights!$B$2)+(raw_data!E210*weights!$B$3)+(raw_data!F210*weights!$B$4)</f>
        <v>30.396999999999995</v>
      </c>
      <c r="I210" t="str">
        <f t="shared" si="6"/>
        <v>Moderate</v>
      </c>
      <c r="J210" t="str">
        <f t="shared" si="7"/>
        <v>2012 Q3</v>
      </c>
      <c r="K210">
        <f>raw_data!H210</f>
        <v>8</v>
      </c>
      <c r="L210" s="13">
        <f>raw_data!I210</f>
        <v>19.62</v>
      </c>
      <c r="M210" s="13">
        <f>raw_data!J210</f>
        <v>2.79</v>
      </c>
    </row>
    <row r="211" spans="1:13" x14ac:dyDescent="0.2">
      <c r="A211" t="str">
        <f>raw_data!A211</f>
        <v>2012Q3</v>
      </c>
      <c r="B211" t="str">
        <f>raw_data!B211</f>
        <v>Queensland</v>
      </c>
      <c r="C211" t="str">
        <f>raw_data!C211</f>
        <v>Professional, Scientific and Technical Services</v>
      </c>
      <c r="D211">
        <f>raw_data!D211</f>
        <v>31.57</v>
      </c>
      <c r="E211">
        <f>raw_data!E211</f>
        <v>75</v>
      </c>
      <c r="F211">
        <f>raw_data!F211</f>
        <v>22.21</v>
      </c>
      <c r="G211">
        <f>raw_data!G211</f>
        <v>41.79</v>
      </c>
      <c r="H211">
        <f>(raw_data!D211*weights!$B$2)+(raw_data!E211*weights!$B$3)+(raw_data!F211*weights!$B$4)</f>
        <v>41.790999999999997</v>
      </c>
      <c r="I211" t="str">
        <f t="shared" si="6"/>
        <v>Moderate</v>
      </c>
      <c r="J211" t="str">
        <f t="shared" si="7"/>
        <v>2012 Q3</v>
      </c>
      <c r="K211">
        <f>raw_data!H211</f>
        <v>12.63</v>
      </c>
      <c r="L211" s="13">
        <f>raw_data!I211</f>
        <v>22.5</v>
      </c>
      <c r="M211" s="13">
        <f>raw_data!J211</f>
        <v>6.66</v>
      </c>
    </row>
    <row r="212" spans="1:13" x14ac:dyDescent="0.2">
      <c r="A212" t="str">
        <f>raw_data!A212</f>
        <v>2012Q3</v>
      </c>
      <c r="B212" t="str">
        <f>raw_data!B212</f>
        <v>Victoria</v>
      </c>
      <c r="C212" t="str">
        <f>raw_data!C212</f>
        <v>Accommodation and Food Services</v>
      </c>
      <c r="D212">
        <f>raw_data!D212</f>
        <v>22.73</v>
      </c>
      <c r="E212">
        <f>raw_data!E212</f>
        <v>50</v>
      </c>
      <c r="F212">
        <f>raw_data!F212</f>
        <v>5.36</v>
      </c>
      <c r="G212">
        <f>raw_data!G212</f>
        <v>25.7</v>
      </c>
      <c r="H212">
        <f>(raw_data!D212*weights!$B$2)+(raw_data!E212*weights!$B$3)+(raw_data!F212*weights!$B$4)</f>
        <v>25.7</v>
      </c>
      <c r="I212" t="str">
        <f t="shared" si="6"/>
        <v>Moderate</v>
      </c>
      <c r="J212" t="str">
        <f t="shared" si="7"/>
        <v>2012 Q3</v>
      </c>
      <c r="K212">
        <f>raw_data!H212</f>
        <v>9.09</v>
      </c>
      <c r="L212" s="13">
        <f>raw_data!I212</f>
        <v>15</v>
      </c>
      <c r="M212" s="13">
        <f>raw_data!J212</f>
        <v>1.61</v>
      </c>
    </row>
    <row r="213" spans="1:13" x14ac:dyDescent="0.2">
      <c r="A213" t="str">
        <f>raw_data!A213</f>
        <v>2012Q3</v>
      </c>
      <c r="B213" t="str">
        <f>raw_data!B213</f>
        <v>Victoria</v>
      </c>
      <c r="C213" t="str">
        <f>raw_data!C213</f>
        <v>Construction</v>
      </c>
      <c r="D213">
        <f>raw_data!D213</f>
        <v>19.920000000000002</v>
      </c>
      <c r="E213">
        <f>raw_data!E213</f>
        <v>63.46</v>
      </c>
      <c r="F213">
        <f>raw_data!F213</f>
        <v>6.51</v>
      </c>
      <c r="G213">
        <f>raw_data!G213</f>
        <v>28.96</v>
      </c>
      <c r="H213">
        <f>(raw_data!D213*weights!$B$2)+(raw_data!E213*weights!$B$3)+(raw_data!F213*weights!$B$4)</f>
        <v>28.959</v>
      </c>
      <c r="I213" t="str">
        <f t="shared" si="6"/>
        <v>Moderate</v>
      </c>
      <c r="J213" t="str">
        <f t="shared" si="7"/>
        <v>2012 Q3</v>
      </c>
      <c r="K213">
        <f>raw_data!H213</f>
        <v>7.97</v>
      </c>
      <c r="L213" s="13">
        <f>raw_data!I213</f>
        <v>19.04</v>
      </c>
      <c r="M213" s="13">
        <f>raw_data!J213</f>
        <v>1.95</v>
      </c>
    </row>
    <row r="214" spans="1:13" x14ac:dyDescent="0.2">
      <c r="A214" t="str">
        <f>raw_data!A214</f>
        <v>2012Q3</v>
      </c>
      <c r="B214" t="str">
        <f>raw_data!B214</f>
        <v>Victoria</v>
      </c>
      <c r="C214" t="str">
        <f>raw_data!C214</f>
        <v>Education and Training</v>
      </c>
      <c r="D214">
        <f>raw_data!D214</f>
        <v>1.89</v>
      </c>
      <c r="E214">
        <f>raw_data!E214</f>
        <v>55.77</v>
      </c>
      <c r="F214">
        <f>raw_data!F214</f>
        <v>3.33</v>
      </c>
      <c r="G214">
        <f>raw_data!G214</f>
        <v>18.489999999999998</v>
      </c>
      <c r="H214">
        <f>(raw_data!D214*weights!$B$2)+(raw_data!E214*weights!$B$3)+(raw_data!F214*weights!$B$4)</f>
        <v>18.486000000000001</v>
      </c>
      <c r="I214" t="str">
        <f t="shared" si="6"/>
        <v>Low</v>
      </c>
      <c r="J214" t="str">
        <f t="shared" si="7"/>
        <v>2012 Q3</v>
      </c>
      <c r="K214">
        <f>raw_data!H214</f>
        <v>0.76</v>
      </c>
      <c r="L214" s="13">
        <f>raw_data!I214</f>
        <v>16.73</v>
      </c>
      <c r="M214" s="13">
        <f>raw_data!J214</f>
        <v>1</v>
      </c>
    </row>
    <row r="215" spans="1:13" x14ac:dyDescent="0.2">
      <c r="A215" t="str">
        <f>raw_data!A215</f>
        <v>2012Q3</v>
      </c>
      <c r="B215" t="str">
        <f>raw_data!B215</f>
        <v>Victoria</v>
      </c>
      <c r="C215" t="str">
        <f>raw_data!C215</f>
        <v>Health Care and Social Assistance</v>
      </c>
      <c r="D215">
        <f>raw_data!D215</f>
        <v>9.6199999999999992</v>
      </c>
      <c r="E215">
        <f>raw_data!E215</f>
        <v>57.69</v>
      </c>
      <c r="F215">
        <f>raw_data!F215</f>
        <v>11.46</v>
      </c>
      <c r="G215">
        <f>raw_data!G215</f>
        <v>24.59</v>
      </c>
      <c r="H215">
        <f>(raw_data!D215*weights!$B$2)+(raw_data!E215*weights!$B$3)+(raw_data!F215*weights!$B$4)</f>
        <v>24.592999999999996</v>
      </c>
      <c r="I215" t="str">
        <f t="shared" si="6"/>
        <v>Low</v>
      </c>
      <c r="J215" t="str">
        <f t="shared" si="7"/>
        <v>2012 Q3</v>
      </c>
      <c r="K215">
        <f>raw_data!H215</f>
        <v>3.85</v>
      </c>
      <c r="L215" s="13">
        <f>raw_data!I215</f>
        <v>17.309999999999999</v>
      </c>
      <c r="M215" s="13">
        <f>raw_data!J215</f>
        <v>3.44</v>
      </c>
    </row>
    <row r="216" spans="1:13" x14ac:dyDescent="0.2">
      <c r="A216" t="str">
        <f>raw_data!A216</f>
        <v>2012Q3</v>
      </c>
      <c r="B216" t="str">
        <f>raw_data!B216</f>
        <v>Victoria</v>
      </c>
      <c r="C216" t="str">
        <f>raw_data!C216</f>
        <v>Manufacturing</v>
      </c>
      <c r="D216">
        <f>raw_data!D216</f>
        <v>9.4600000000000009</v>
      </c>
      <c r="E216">
        <f>raw_data!E216</f>
        <v>65.38</v>
      </c>
      <c r="F216">
        <f>raw_data!F216</f>
        <v>5.04</v>
      </c>
      <c r="G216">
        <f>raw_data!G216</f>
        <v>24.91</v>
      </c>
      <c r="H216">
        <f>(raw_data!D216*weights!$B$2)+(raw_data!E216*weights!$B$3)+(raw_data!F216*weights!$B$4)</f>
        <v>24.909999999999997</v>
      </c>
      <c r="I216" t="str">
        <f t="shared" si="6"/>
        <v>Low</v>
      </c>
      <c r="J216" t="str">
        <f t="shared" si="7"/>
        <v>2012 Q3</v>
      </c>
      <c r="K216">
        <f>raw_data!H216</f>
        <v>3.78</v>
      </c>
      <c r="L216" s="13">
        <f>raw_data!I216</f>
        <v>19.62</v>
      </c>
      <c r="M216" s="13">
        <f>raw_data!J216</f>
        <v>1.51</v>
      </c>
    </row>
    <row r="217" spans="1:13" x14ac:dyDescent="0.2">
      <c r="A217" t="str">
        <f>raw_data!A217</f>
        <v>2012Q3</v>
      </c>
      <c r="B217" t="str">
        <f>raw_data!B217</f>
        <v>Victoria</v>
      </c>
      <c r="C217" t="str">
        <f>raw_data!C217</f>
        <v>Professional, Scientific and Technical Services</v>
      </c>
      <c r="D217">
        <f>raw_data!D217</f>
        <v>19.3</v>
      </c>
      <c r="E217">
        <f>raw_data!E217</f>
        <v>75</v>
      </c>
      <c r="F217">
        <f>raw_data!F217</f>
        <v>17.48</v>
      </c>
      <c r="G217">
        <f>raw_data!G217</f>
        <v>35.47</v>
      </c>
      <c r="H217">
        <f>(raw_data!D217*weights!$B$2)+(raw_data!E217*weights!$B$3)+(raw_data!F217*weights!$B$4)</f>
        <v>35.463999999999999</v>
      </c>
      <c r="I217" t="str">
        <f t="shared" si="6"/>
        <v>Moderate</v>
      </c>
      <c r="J217" t="str">
        <f t="shared" si="7"/>
        <v>2012 Q3</v>
      </c>
      <c r="K217">
        <f>raw_data!H217</f>
        <v>7.72</v>
      </c>
      <c r="L217" s="13">
        <f>raw_data!I217</f>
        <v>22.5</v>
      </c>
      <c r="M217" s="13">
        <f>raw_data!J217</f>
        <v>5.25</v>
      </c>
    </row>
    <row r="218" spans="1:13" x14ac:dyDescent="0.2">
      <c r="A218" t="str">
        <f>raw_data!A218</f>
        <v>2012Q4</v>
      </c>
      <c r="B218" t="str">
        <f>raw_data!B218</f>
        <v>New South Wales</v>
      </c>
      <c r="C218" t="str">
        <f>raw_data!C218</f>
        <v>Accommodation and Food Services</v>
      </c>
      <c r="D218">
        <f>raw_data!D218</f>
        <v>11.16</v>
      </c>
      <c r="E218">
        <f>raw_data!E218</f>
        <v>36.54</v>
      </c>
      <c r="F218">
        <f>raw_data!F218</f>
        <v>5.63</v>
      </c>
      <c r="G218">
        <f>raw_data!G218</f>
        <v>17.12</v>
      </c>
      <c r="H218">
        <f>(raw_data!D218*weights!$B$2)+(raw_data!E218*weights!$B$3)+(raw_data!F218*weights!$B$4)</f>
        <v>17.114999999999998</v>
      </c>
      <c r="I218" t="str">
        <f t="shared" si="6"/>
        <v>Low</v>
      </c>
      <c r="J218" t="str">
        <f t="shared" si="7"/>
        <v>2012 Q4</v>
      </c>
      <c r="K218">
        <f>raw_data!H218</f>
        <v>4.46</v>
      </c>
      <c r="L218" s="13">
        <f>raw_data!I218</f>
        <v>10.96</v>
      </c>
      <c r="M218" s="13">
        <f>raw_data!J218</f>
        <v>1.69</v>
      </c>
    </row>
    <row r="219" spans="1:13" x14ac:dyDescent="0.2">
      <c r="A219" t="str">
        <f>raw_data!A219</f>
        <v>2012Q4</v>
      </c>
      <c r="B219" t="str">
        <f>raw_data!B219</f>
        <v>New South Wales</v>
      </c>
      <c r="C219" t="str">
        <f>raw_data!C219</f>
        <v>Construction</v>
      </c>
      <c r="D219">
        <f>raw_data!D219</f>
        <v>15.08</v>
      </c>
      <c r="E219">
        <f>raw_data!E219</f>
        <v>61.54</v>
      </c>
      <c r="F219">
        <f>raw_data!F219</f>
        <v>6.62</v>
      </c>
      <c r="G219">
        <f>raw_data!G219</f>
        <v>26.48</v>
      </c>
      <c r="H219">
        <f>(raw_data!D219*weights!$B$2)+(raw_data!E219*weights!$B$3)+(raw_data!F219*weights!$B$4)</f>
        <v>26.48</v>
      </c>
      <c r="I219" t="str">
        <f t="shared" si="6"/>
        <v>Moderate</v>
      </c>
      <c r="J219" t="str">
        <f t="shared" si="7"/>
        <v>2012 Q4</v>
      </c>
      <c r="K219">
        <f>raw_data!H219</f>
        <v>6.03</v>
      </c>
      <c r="L219" s="13">
        <f>raw_data!I219</f>
        <v>18.46</v>
      </c>
      <c r="M219" s="13">
        <f>raw_data!J219</f>
        <v>1.99</v>
      </c>
    </row>
    <row r="220" spans="1:13" x14ac:dyDescent="0.2">
      <c r="A220" t="str">
        <f>raw_data!A220</f>
        <v>2012Q4</v>
      </c>
      <c r="B220" t="str">
        <f>raw_data!B220</f>
        <v>New South Wales</v>
      </c>
      <c r="C220" t="str">
        <f>raw_data!C220</f>
        <v>Education and Training</v>
      </c>
      <c r="D220">
        <f>raw_data!D220</f>
        <v>1.36</v>
      </c>
      <c r="E220">
        <f>raw_data!E220</f>
        <v>51.92</v>
      </c>
      <c r="F220">
        <f>raw_data!F220</f>
        <v>2.09</v>
      </c>
      <c r="G220">
        <f>raw_data!G220</f>
        <v>16.75</v>
      </c>
      <c r="H220">
        <f>(raw_data!D220*weights!$B$2)+(raw_data!E220*weights!$B$3)+(raw_data!F220*weights!$B$4)</f>
        <v>16.747</v>
      </c>
      <c r="I220" t="str">
        <f t="shared" si="6"/>
        <v>Low</v>
      </c>
      <c r="J220" t="str">
        <f t="shared" si="7"/>
        <v>2012 Q4</v>
      </c>
      <c r="K220">
        <f>raw_data!H220</f>
        <v>0.54</v>
      </c>
      <c r="L220" s="13">
        <f>raw_data!I220</f>
        <v>15.58</v>
      </c>
      <c r="M220" s="13">
        <f>raw_data!J220</f>
        <v>0.63</v>
      </c>
    </row>
    <row r="221" spans="1:13" x14ac:dyDescent="0.2">
      <c r="A221" t="str">
        <f>raw_data!A221</f>
        <v>2012Q4</v>
      </c>
      <c r="B221" t="str">
        <f>raw_data!B221</f>
        <v>New South Wales</v>
      </c>
      <c r="C221" t="str">
        <f>raw_data!C221</f>
        <v>Health Care and Social Assistance</v>
      </c>
      <c r="D221">
        <f>raw_data!D221</f>
        <v>7.2</v>
      </c>
      <c r="E221">
        <f>raw_data!E221</f>
        <v>61.54</v>
      </c>
      <c r="F221">
        <f>raw_data!F221</f>
        <v>8.3699999999999992</v>
      </c>
      <c r="G221">
        <f>raw_data!G221</f>
        <v>23.85</v>
      </c>
      <c r="H221">
        <f>(raw_data!D221*weights!$B$2)+(raw_data!E221*weights!$B$3)+(raw_data!F221*weights!$B$4)</f>
        <v>23.852999999999998</v>
      </c>
      <c r="I221" t="str">
        <f t="shared" si="6"/>
        <v>Low</v>
      </c>
      <c r="J221" t="str">
        <f t="shared" si="7"/>
        <v>2012 Q4</v>
      </c>
      <c r="K221">
        <f>raw_data!H221</f>
        <v>2.88</v>
      </c>
      <c r="L221" s="13">
        <f>raw_data!I221</f>
        <v>18.46</v>
      </c>
      <c r="M221" s="13">
        <f>raw_data!J221</f>
        <v>2.5099999999999998</v>
      </c>
    </row>
    <row r="222" spans="1:13" x14ac:dyDescent="0.2">
      <c r="A222" t="str">
        <f>raw_data!A222</f>
        <v>2012Q4</v>
      </c>
      <c r="B222" t="str">
        <f>raw_data!B222</f>
        <v>New South Wales</v>
      </c>
      <c r="C222" t="str">
        <f>raw_data!C222</f>
        <v>Manufacturing</v>
      </c>
      <c r="D222">
        <f>raw_data!D222</f>
        <v>6.08</v>
      </c>
      <c r="E222">
        <f>raw_data!E222</f>
        <v>55.77</v>
      </c>
      <c r="F222">
        <f>raw_data!F222</f>
        <v>4.68</v>
      </c>
      <c r="G222">
        <f>raw_data!G222</f>
        <v>20.57</v>
      </c>
      <c r="H222">
        <f>(raw_data!D222*weights!$B$2)+(raw_data!E222*weights!$B$3)+(raw_data!F222*weights!$B$4)</f>
        <v>20.567000000000004</v>
      </c>
      <c r="I222" t="str">
        <f t="shared" si="6"/>
        <v>Low</v>
      </c>
      <c r="J222" t="str">
        <f t="shared" si="7"/>
        <v>2012 Q4</v>
      </c>
      <c r="K222">
        <f>raw_data!H222</f>
        <v>2.4300000000000002</v>
      </c>
      <c r="L222" s="13">
        <f>raw_data!I222</f>
        <v>16.73</v>
      </c>
      <c r="M222" s="13">
        <f>raw_data!J222</f>
        <v>1.4</v>
      </c>
    </row>
    <row r="223" spans="1:13" x14ac:dyDescent="0.2">
      <c r="A223" t="str">
        <f>raw_data!A223</f>
        <v>2012Q4</v>
      </c>
      <c r="B223" t="str">
        <f>raw_data!B223</f>
        <v>New South Wales</v>
      </c>
      <c r="C223" t="str">
        <f>raw_data!C223</f>
        <v>Professional, Scientific and Technical Services</v>
      </c>
      <c r="D223">
        <f>raw_data!D223</f>
        <v>17.03</v>
      </c>
      <c r="E223">
        <f>raw_data!E223</f>
        <v>65.38</v>
      </c>
      <c r="F223">
        <f>raw_data!F223</f>
        <v>23.67</v>
      </c>
      <c r="G223">
        <f>raw_data!G223</f>
        <v>33.53</v>
      </c>
      <c r="H223">
        <f>(raw_data!D223*weights!$B$2)+(raw_data!E223*weights!$B$3)+(raw_data!F223*weights!$B$4)</f>
        <v>33.527000000000001</v>
      </c>
      <c r="I223" t="str">
        <f t="shared" si="6"/>
        <v>Moderate</v>
      </c>
      <c r="J223" t="str">
        <f t="shared" si="7"/>
        <v>2012 Q4</v>
      </c>
      <c r="K223">
        <f>raw_data!H223</f>
        <v>6.81</v>
      </c>
      <c r="L223" s="13">
        <f>raw_data!I223</f>
        <v>19.62</v>
      </c>
      <c r="M223" s="13">
        <f>raw_data!J223</f>
        <v>7.1</v>
      </c>
    </row>
    <row r="224" spans="1:13" x14ac:dyDescent="0.2">
      <c r="A224" t="str">
        <f>raw_data!A224</f>
        <v>2012Q4</v>
      </c>
      <c r="B224" t="str">
        <f>raw_data!B224</f>
        <v>Queensland</v>
      </c>
      <c r="C224" t="str">
        <f>raw_data!C224</f>
        <v>Accommodation and Food Services</v>
      </c>
      <c r="D224">
        <f>raw_data!D224</f>
        <v>19.190000000000001</v>
      </c>
      <c r="E224">
        <f>raw_data!E224</f>
        <v>36.54</v>
      </c>
      <c r="F224">
        <f>raw_data!F224</f>
        <v>5.92</v>
      </c>
      <c r="G224">
        <f>raw_data!G224</f>
        <v>20.41</v>
      </c>
      <c r="H224">
        <f>(raw_data!D224*weights!$B$2)+(raw_data!E224*weights!$B$3)+(raw_data!F224*weights!$B$4)</f>
        <v>20.414000000000001</v>
      </c>
      <c r="I224" t="str">
        <f t="shared" si="6"/>
        <v>Low</v>
      </c>
      <c r="J224" t="str">
        <f t="shared" si="7"/>
        <v>2012 Q4</v>
      </c>
      <c r="K224">
        <f>raw_data!H224</f>
        <v>7.68</v>
      </c>
      <c r="L224" s="13">
        <f>raw_data!I224</f>
        <v>10.96</v>
      </c>
      <c r="M224" s="13">
        <f>raw_data!J224</f>
        <v>1.78</v>
      </c>
    </row>
    <row r="225" spans="1:13" x14ac:dyDescent="0.2">
      <c r="A225" t="str">
        <f>raw_data!A225</f>
        <v>2012Q4</v>
      </c>
      <c r="B225" t="str">
        <f>raw_data!B225</f>
        <v>Queensland</v>
      </c>
      <c r="C225" t="str">
        <f>raw_data!C225</f>
        <v>Construction</v>
      </c>
      <c r="D225">
        <f>raw_data!D225</f>
        <v>18.57</v>
      </c>
      <c r="E225">
        <f>raw_data!E225</f>
        <v>61.54</v>
      </c>
      <c r="F225">
        <f>raw_data!F225</f>
        <v>6.61</v>
      </c>
      <c r="G225">
        <f>raw_data!G225</f>
        <v>27.87</v>
      </c>
      <c r="H225">
        <f>(raw_data!D225*weights!$B$2)+(raw_data!E225*weights!$B$3)+(raw_data!F225*weights!$B$4)</f>
        <v>27.873000000000001</v>
      </c>
      <c r="I225" t="str">
        <f t="shared" si="6"/>
        <v>Moderate</v>
      </c>
      <c r="J225" t="str">
        <f t="shared" si="7"/>
        <v>2012 Q4</v>
      </c>
      <c r="K225">
        <f>raw_data!H225</f>
        <v>7.43</v>
      </c>
      <c r="L225" s="13">
        <f>raw_data!I225</f>
        <v>18.46</v>
      </c>
      <c r="M225" s="13">
        <f>raw_data!J225</f>
        <v>1.98</v>
      </c>
    </row>
    <row r="226" spans="1:13" x14ac:dyDescent="0.2">
      <c r="A226" t="str">
        <f>raw_data!A226</f>
        <v>2012Q4</v>
      </c>
      <c r="B226" t="str">
        <f>raw_data!B226</f>
        <v>Queensland</v>
      </c>
      <c r="C226" t="str">
        <f>raw_data!C226</f>
        <v>Education and Training</v>
      </c>
      <c r="D226">
        <f>raw_data!D226</f>
        <v>2.9</v>
      </c>
      <c r="E226">
        <f>raw_data!E226</f>
        <v>51.92</v>
      </c>
      <c r="F226">
        <f>raw_data!F226</f>
        <v>5.85</v>
      </c>
      <c r="G226">
        <f>raw_data!G226</f>
        <v>18.489999999999998</v>
      </c>
      <c r="H226">
        <f>(raw_data!D226*weights!$B$2)+(raw_data!E226*weights!$B$3)+(raw_data!F226*weights!$B$4)</f>
        <v>18.491</v>
      </c>
      <c r="I226" t="str">
        <f t="shared" si="6"/>
        <v>Low</v>
      </c>
      <c r="J226" t="str">
        <f t="shared" si="7"/>
        <v>2012 Q4</v>
      </c>
      <c r="K226">
        <f>raw_data!H226</f>
        <v>1.1599999999999999</v>
      </c>
      <c r="L226" s="13">
        <f>raw_data!I226</f>
        <v>15.58</v>
      </c>
      <c r="M226" s="13">
        <f>raw_data!J226</f>
        <v>1.75</v>
      </c>
    </row>
    <row r="227" spans="1:13" x14ac:dyDescent="0.2">
      <c r="A227" t="str">
        <f>raw_data!A227</f>
        <v>2012Q4</v>
      </c>
      <c r="B227" t="str">
        <f>raw_data!B227</f>
        <v>Queensland</v>
      </c>
      <c r="C227" t="str">
        <f>raw_data!C227</f>
        <v>Health Care and Social Assistance</v>
      </c>
      <c r="D227">
        <f>raw_data!D227</f>
        <v>12.53</v>
      </c>
      <c r="E227">
        <f>raw_data!E227</f>
        <v>61.54</v>
      </c>
      <c r="F227">
        <f>raw_data!F227</f>
        <v>10.81</v>
      </c>
      <c r="G227">
        <f>raw_data!G227</f>
        <v>26.72</v>
      </c>
      <c r="H227">
        <f>(raw_data!D227*weights!$B$2)+(raw_data!E227*weights!$B$3)+(raw_data!F227*weights!$B$4)</f>
        <v>26.716999999999999</v>
      </c>
      <c r="I227" t="str">
        <f t="shared" si="6"/>
        <v>Moderate</v>
      </c>
      <c r="J227" t="str">
        <f t="shared" si="7"/>
        <v>2012 Q4</v>
      </c>
      <c r="K227">
        <f>raw_data!H227</f>
        <v>5.01</v>
      </c>
      <c r="L227" s="13">
        <f>raw_data!I227</f>
        <v>18.46</v>
      </c>
      <c r="M227" s="13">
        <f>raw_data!J227</f>
        <v>3.24</v>
      </c>
    </row>
    <row r="228" spans="1:13" x14ac:dyDescent="0.2">
      <c r="A228" t="str">
        <f>raw_data!A228</f>
        <v>2012Q4</v>
      </c>
      <c r="B228" t="str">
        <f>raw_data!B228</f>
        <v>Queensland</v>
      </c>
      <c r="C228" t="str">
        <f>raw_data!C228</f>
        <v>Manufacturing</v>
      </c>
      <c r="D228">
        <f>raw_data!D228</f>
        <v>12.96</v>
      </c>
      <c r="E228">
        <f>raw_data!E228</f>
        <v>55.77</v>
      </c>
      <c r="F228">
        <f>raw_data!F228</f>
        <v>3.98</v>
      </c>
      <c r="G228">
        <f>raw_data!G228</f>
        <v>23.11</v>
      </c>
      <c r="H228">
        <f>(raw_data!D228*weights!$B$2)+(raw_data!E228*weights!$B$3)+(raw_data!F228*weights!$B$4)</f>
        <v>23.109000000000002</v>
      </c>
      <c r="I228" t="str">
        <f t="shared" si="6"/>
        <v>Low</v>
      </c>
      <c r="J228" t="str">
        <f t="shared" si="7"/>
        <v>2012 Q4</v>
      </c>
      <c r="K228">
        <f>raw_data!H228</f>
        <v>5.19</v>
      </c>
      <c r="L228" s="13">
        <f>raw_data!I228</f>
        <v>16.73</v>
      </c>
      <c r="M228" s="13">
        <f>raw_data!J228</f>
        <v>1.19</v>
      </c>
    </row>
    <row r="229" spans="1:13" x14ac:dyDescent="0.2">
      <c r="A229" t="str">
        <f>raw_data!A229</f>
        <v>2012Q4</v>
      </c>
      <c r="B229" t="str">
        <f>raw_data!B229</f>
        <v>Queensland</v>
      </c>
      <c r="C229" t="str">
        <f>raw_data!C229</f>
        <v>Professional, Scientific and Technical Services</v>
      </c>
      <c r="D229">
        <f>raw_data!D229</f>
        <v>34.950000000000003</v>
      </c>
      <c r="E229">
        <f>raw_data!E229</f>
        <v>65.38</v>
      </c>
      <c r="F229">
        <f>raw_data!F229</f>
        <v>21.82</v>
      </c>
      <c r="G229">
        <f>raw_data!G229</f>
        <v>40.14</v>
      </c>
      <c r="H229">
        <f>(raw_data!D229*weights!$B$2)+(raw_data!E229*weights!$B$3)+(raw_data!F229*weights!$B$4)</f>
        <v>40.14</v>
      </c>
      <c r="I229" t="str">
        <f t="shared" si="6"/>
        <v>Moderate</v>
      </c>
      <c r="J229" t="str">
        <f t="shared" si="7"/>
        <v>2012 Q4</v>
      </c>
      <c r="K229">
        <f>raw_data!H229</f>
        <v>13.98</v>
      </c>
      <c r="L229" s="13">
        <f>raw_data!I229</f>
        <v>19.62</v>
      </c>
      <c r="M229" s="13">
        <f>raw_data!J229</f>
        <v>6.54</v>
      </c>
    </row>
    <row r="230" spans="1:13" x14ac:dyDescent="0.2">
      <c r="A230" t="str">
        <f>raw_data!A230</f>
        <v>2012Q4</v>
      </c>
      <c r="B230" t="str">
        <f>raw_data!B230</f>
        <v>Victoria</v>
      </c>
      <c r="C230" t="str">
        <f>raw_data!C230</f>
        <v>Accommodation and Food Services</v>
      </c>
      <c r="D230">
        <f>raw_data!D230</f>
        <v>16.73</v>
      </c>
      <c r="E230">
        <f>raw_data!E230</f>
        <v>36.54</v>
      </c>
      <c r="F230">
        <f>raw_data!F230</f>
        <v>5.49</v>
      </c>
      <c r="G230">
        <f>raw_data!G230</f>
        <v>19.3</v>
      </c>
      <c r="H230">
        <f>(raw_data!D230*weights!$B$2)+(raw_data!E230*weights!$B$3)+(raw_data!F230*weights!$B$4)</f>
        <v>19.300999999999998</v>
      </c>
      <c r="I230" t="str">
        <f t="shared" si="6"/>
        <v>Low</v>
      </c>
      <c r="J230" t="str">
        <f t="shared" si="7"/>
        <v>2012 Q4</v>
      </c>
      <c r="K230">
        <f>raw_data!H230</f>
        <v>6.69</v>
      </c>
      <c r="L230" s="13">
        <f>raw_data!I230</f>
        <v>10.96</v>
      </c>
      <c r="M230" s="13">
        <f>raw_data!J230</f>
        <v>1.65</v>
      </c>
    </row>
    <row r="231" spans="1:13" x14ac:dyDescent="0.2">
      <c r="A231" t="str">
        <f>raw_data!A231</f>
        <v>2012Q4</v>
      </c>
      <c r="B231" t="str">
        <f>raw_data!B231</f>
        <v>Victoria</v>
      </c>
      <c r="C231" t="str">
        <f>raw_data!C231</f>
        <v>Construction</v>
      </c>
      <c r="D231">
        <f>raw_data!D231</f>
        <v>16.940000000000001</v>
      </c>
      <c r="E231">
        <f>raw_data!E231</f>
        <v>61.54</v>
      </c>
      <c r="F231">
        <f>raw_data!F231</f>
        <v>11.64</v>
      </c>
      <c r="G231">
        <f>raw_data!G231</f>
        <v>28.73</v>
      </c>
      <c r="H231">
        <f>(raw_data!D231*weights!$B$2)+(raw_data!E231*weights!$B$3)+(raw_data!F231*weights!$B$4)</f>
        <v>28.73</v>
      </c>
      <c r="I231" t="str">
        <f t="shared" si="6"/>
        <v>Moderate</v>
      </c>
      <c r="J231" t="str">
        <f t="shared" si="7"/>
        <v>2012 Q4</v>
      </c>
      <c r="K231">
        <f>raw_data!H231</f>
        <v>6.78</v>
      </c>
      <c r="L231" s="13">
        <f>raw_data!I231</f>
        <v>18.46</v>
      </c>
      <c r="M231" s="13">
        <f>raw_data!J231</f>
        <v>3.49</v>
      </c>
    </row>
    <row r="232" spans="1:13" x14ac:dyDescent="0.2">
      <c r="A232" t="str">
        <f>raw_data!A232</f>
        <v>2012Q4</v>
      </c>
      <c r="B232" t="str">
        <f>raw_data!B232</f>
        <v>Victoria</v>
      </c>
      <c r="C232" t="str">
        <f>raw_data!C232</f>
        <v>Education and Training</v>
      </c>
      <c r="D232">
        <f>raw_data!D232</f>
        <v>1.83</v>
      </c>
      <c r="E232">
        <f>raw_data!E232</f>
        <v>51.92</v>
      </c>
      <c r="F232">
        <f>raw_data!F232</f>
        <v>7.46</v>
      </c>
      <c r="G232">
        <f>raw_data!G232</f>
        <v>18.55</v>
      </c>
      <c r="H232">
        <f>(raw_data!D232*weights!$B$2)+(raw_data!E232*weights!$B$3)+(raw_data!F232*weights!$B$4)</f>
        <v>18.545999999999999</v>
      </c>
      <c r="I232" t="str">
        <f t="shared" si="6"/>
        <v>Low</v>
      </c>
      <c r="J232" t="str">
        <f t="shared" si="7"/>
        <v>2012 Q4</v>
      </c>
      <c r="K232">
        <f>raw_data!H232</f>
        <v>0.73</v>
      </c>
      <c r="L232" s="13">
        <f>raw_data!I232</f>
        <v>15.58</v>
      </c>
      <c r="M232" s="13">
        <f>raw_data!J232</f>
        <v>2.2400000000000002</v>
      </c>
    </row>
    <row r="233" spans="1:13" x14ac:dyDescent="0.2">
      <c r="A233" t="str">
        <f>raw_data!A233</f>
        <v>2012Q4</v>
      </c>
      <c r="B233" t="str">
        <f>raw_data!B233</f>
        <v>Victoria</v>
      </c>
      <c r="C233" t="str">
        <f>raw_data!C233</f>
        <v>Health Care and Social Assistance</v>
      </c>
      <c r="D233">
        <f>raw_data!D233</f>
        <v>9.5299999999999994</v>
      </c>
      <c r="E233">
        <f>raw_data!E233</f>
        <v>61.54</v>
      </c>
      <c r="F233">
        <f>raw_data!F233</f>
        <v>11.83</v>
      </c>
      <c r="G233">
        <f>raw_data!G233</f>
        <v>25.82</v>
      </c>
      <c r="H233">
        <f>(raw_data!D233*weights!$B$2)+(raw_data!E233*weights!$B$3)+(raw_data!F233*weights!$B$4)</f>
        <v>25.823</v>
      </c>
      <c r="I233" t="str">
        <f t="shared" si="6"/>
        <v>Moderate</v>
      </c>
      <c r="J233" t="str">
        <f t="shared" si="7"/>
        <v>2012 Q4</v>
      </c>
      <c r="K233">
        <f>raw_data!H233</f>
        <v>3.81</v>
      </c>
      <c r="L233" s="13">
        <f>raw_data!I233</f>
        <v>18.46</v>
      </c>
      <c r="M233" s="13">
        <f>raw_data!J233</f>
        <v>3.55</v>
      </c>
    </row>
    <row r="234" spans="1:13" x14ac:dyDescent="0.2">
      <c r="A234" t="str">
        <f>raw_data!A234</f>
        <v>2012Q4</v>
      </c>
      <c r="B234" t="str">
        <f>raw_data!B234</f>
        <v>Victoria</v>
      </c>
      <c r="C234" t="str">
        <f>raw_data!C234</f>
        <v>Manufacturing</v>
      </c>
      <c r="D234">
        <f>raw_data!D234</f>
        <v>6.99</v>
      </c>
      <c r="E234">
        <f>raw_data!E234</f>
        <v>55.77</v>
      </c>
      <c r="F234">
        <f>raw_data!F234</f>
        <v>3.26</v>
      </c>
      <c r="G234">
        <f>raw_data!G234</f>
        <v>20.5</v>
      </c>
      <c r="H234">
        <f>(raw_data!D234*weights!$B$2)+(raw_data!E234*weights!$B$3)+(raw_data!F234*weights!$B$4)</f>
        <v>20.505000000000003</v>
      </c>
      <c r="I234" t="str">
        <f t="shared" si="6"/>
        <v>Low</v>
      </c>
      <c r="J234" t="str">
        <f t="shared" si="7"/>
        <v>2012 Q4</v>
      </c>
      <c r="K234">
        <f>raw_data!H234</f>
        <v>2.8</v>
      </c>
      <c r="L234" s="13">
        <f>raw_data!I234</f>
        <v>16.73</v>
      </c>
      <c r="M234" s="13">
        <f>raw_data!J234</f>
        <v>0.98</v>
      </c>
    </row>
    <row r="235" spans="1:13" x14ac:dyDescent="0.2">
      <c r="A235" t="str">
        <f>raw_data!A235</f>
        <v>2012Q4</v>
      </c>
      <c r="B235" t="str">
        <f>raw_data!B235</f>
        <v>Victoria</v>
      </c>
      <c r="C235" t="str">
        <f>raw_data!C235</f>
        <v>Professional, Scientific and Technical Services</v>
      </c>
      <c r="D235">
        <f>raw_data!D235</f>
        <v>21.42</v>
      </c>
      <c r="E235">
        <f>raw_data!E235</f>
        <v>65.38</v>
      </c>
      <c r="F235">
        <f>raw_data!F235</f>
        <v>28.89</v>
      </c>
      <c r="G235">
        <f>raw_data!G235</f>
        <v>36.85</v>
      </c>
      <c r="H235">
        <f>(raw_data!D235*weights!$B$2)+(raw_data!E235*weights!$B$3)+(raw_data!F235*weights!$B$4)</f>
        <v>36.848999999999997</v>
      </c>
      <c r="I235" t="str">
        <f t="shared" si="6"/>
        <v>Moderate</v>
      </c>
      <c r="J235" t="str">
        <f t="shared" si="7"/>
        <v>2012 Q4</v>
      </c>
      <c r="K235">
        <f>raw_data!H235</f>
        <v>8.57</v>
      </c>
      <c r="L235" s="13">
        <f>raw_data!I235</f>
        <v>19.62</v>
      </c>
      <c r="M235" s="13">
        <f>raw_data!J235</f>
        <v>8.67</v>
      </c>
    </row>
    <row r="236" spans="1:13" x14ac:dyDescent="0.2">
      <c r="A236" t="str">
        <f>raw_data!A236</f>
        <v>2013Q1</v>
      </c>
      <c r="B236" t="str">
        <f>raw_data!B236</f>
        <v>New South Wales</v>
      </c>
      <c r="C236" t="str">
        <f>raw_data!C236</f>
        <v>Accommodation and Food Services</v>
      </c>
      <c r="D236">
        <f>raw_data!D236</f>
        <v>12.86</v>
      </c>
      <c r="E236">
        <f>raw_data!E236</f>
        <v>40.380000000000003</v>
      </c>
      <c r="F236">
        <f>raw_data!F236</f>
        <v>4.37</v>
      </c>
      <c r="G236">
        <f>raw_data!G236</f>
        <v>18.57</v>
      </c>
      <c r="H236">
        <f>(raw_data!D236*weights!$B$2)+(raw_data!E236*weights!$B$3)+(raw_data!F236*weights!$B$4)</f>
        <v>18.569000000000003</v>
      </c>
      <c r="I236" t="str">
        <f t="shared" si="6"/>
        <v>Low</v>
      </c>
      <c r="J236" t="str">
        <f t="shared" si="7"/>
        <v>2013 Q1</v>
      </c>
      <c r="K236">
        <f>raw_data!H236</f>
        <v>5.14</v>
      </c>
      <c r="L236" s="13">
        <f>raw_data!I236</f>
        <v>12.12</v>
      </c>
      <c r="M236" s="13">
        <f>raw_data!J236</f>
        <v>1.31</v>
      </c>
    </row>
    <row r="237" spans="1:13" x14ac:dyDescent="0.2">
      <c r="A237" t="str">
        <f>raw_data!A237</f>
        <v>2013Q1</v>
      </c>
      <c r="B237" t="str">
        <f>raw_data!B237</f>
        <v>New South Wales</v>
      </c>
      <c r="C237" t="str">
        <f>raw_data!C237</f>
        <v>Construction</v>
      </c>
      <c r="D237">
        <f>raw_data!D237</f>
        <v>11.02</v>
      </c>
      <c r="E237">
        <f>raw_data!E237</f>
        <v>50</v>
      </c>
      <c r="F237">
        <f>raw_data!F237</f>
        <v>4.05</v>
      </c>
      <c r="G237">
        <f>raw_data!G237</f>
        <v>20.62</v>
      </c>
      <c r="H237">
        <f>(raw_data!D237*weights!$B$2)+(raw_data!E237*weights!$B$3)+(raw_data!F237*weights!$B$4)</f>
        <v>20.623000000000001</v>
      </c>
      <c r="I237" t="str">
        <f t="shared" si="6"/>
        <v>Low</v>
      </c>
      <c r="J237" t="str">
        <f t="shared" si="7"/>
        <v>2013 Q1</v>
      </c>
      <c r="K237">
        <f>raw_data!H237</f>
        <v>4.41</v>
      </c>
      <c r="L237" s="13">
        <f>raw_data!I237</f>
        <v>15</v>
      </c>
      <c r="M237" s="13">
        <f>raw_data!J237</f>
        <v>1.22</v>
      </c>
    </row>
    <row r="238" spans="1:13" x14ac:dyDescent="0.2">
      <c r="A238" t="str">
        <f>raw_data!A238</f>
        <v>2013Q1</v>
      </c>
      <c r="B238" t="str">
        <f>raw_data!B238</f>
        <v>New South Wales</v>
      </c>
      <c r="C238" t="str">
        <f>raw_data!C238</f>
        <v>Education and Training</v>
      </c>
      <c r="D238">
        <f>raw_data!D238</f>
        <v>2.33</v>
      </c>
      <c r="E238">
        <f>raw_data!E238</f>
        <v>46.15</v>
      </c>
      <c r="F238">
        <f>raw_data!F238</f>
        <v>1.55</v>
      </c>
      <c r="G238">
        <f>raw_data!G238</f>
        <v>15.24</v>
      </c>
      <c r="H238">
        <f>(raw_data!D238*weights!$B$2)+(raw_data!E238*weights!$B$3)+(raw_data!F238*weights!$B$4)</f>
        <v>15.241999999999999</v>
      </c>
      <c r="I238" t="str">
        <f t="shared" si="6"/>
        <v>Low</v>
      </c>
      <c r="J238" t="str">
        <f t="shared" si="7"/>
        <v>2013 Q1</v>
      </c>
      <c r="K238">
        <f>raw_data!H238</f>
        <v>0.93</v>
      </c>
      <c r="L238" s="13">
        <f>raw_data!I238</f>
        <v>13.85</v>
      </c>
      <c r="M238" s="13">
        <f>raw_data!J238</f>
        <v>0.46</v>
      </c>
    </row>
    <row r="239" spans="1:13" x14ac:dyDescent="0.2">
      <c r="A239" t="str">
        <f>raw_data!A239</f>
        <v>2013Q1</v>
      </c>
      <c r="B239" t="str">
        <f>raw_data!B239</f>
        <v>New South Wales</v>
      </c>
      <c r="C239" t="str">
        <f>raw_data!C239</f>
        <v>Health Care and Social Assistance</v>
      </c>
      <c r="D239">
        <f>raw_data!D239</f>
        <v>6.97</v>
      </c>
      <c r="E239">
        <f>raw_data!E239</f>
        <v>57.69</v>
      </c>
      <c r="F239">
        <f>raw_data!F239</f>
        <v>7.4</v>
      </c>
      <c r="G239">
        <f>raw_data!G239</f>
        <v>22.32</v>
      </c>
      <c r="H239">
        <f>(raw_data!D239*weights!$B$2)+(raw_data!E239*weights!$B$3)+(raw_data!F239*weights!$B$4)</f>
        <v>22.314999999999998</v>
      </c>
      <c r="I239" t="str">
        <f t="shared" si="6"/>
        <v>Low</v>
      </c>
      <c r="J239" t="str">
        <f t="shared" si="7"/>
        <v>2013 Q1</v>
      </c>
      <c r="K239">
        <f>raw_data!H239</f>
        <v>2.79</v>
      </c>
      <c r="L239" s="13">
        <f>raw_data!I239</f>
        <v>17.309999999999999</v>
      </c>
      <c r="M239" s="13">
        <f>raw_data!J239</f>
        <v>2.2200000000000002</v>
      </c>
    </row>
    <row r="240" spans="1:13" x14ac:dyDescent="0.2">
      <c r="A240" t="str">
        <f>raw_data!A240</f>
        <v>2013Q1</v>
      </c>
      <c r="B240" t="str">
        <f>raw_data!B240</f>
        <v>New South Wales</v>
      </c>
      <c r="C240" t="str">
        <f>raw_data!C240</f>
        <v>Manufacturing</v>
      </c>
      <c r="D240">
        <f>raw_data!D240</f>
        <v>8</v>
      </c>
      <c r="E240">
        <f>raw_data!E240</f>
        <v>51.92</v>
      </c>
      <c r="F240">
        <f>raw_data!F240</f>
        <v>3.8</v>
      </c>
      <c r="G240">
        <f>raw_data!G240</f>
        <v>19.920000000000002</v>
      </c>
      <c r="H240">
        <f>(raw_data!D240*weights!$B$2)+(raw_data!E240*weights!$B$3)+(raw_data!F240*weights!$B$4)</f>
        <v>19.916</v>
      </c>
      <c r="I240" t="str">
        <f t="shared" si="6"/>
        <v>Low</v>
      </c>
      <c r="J240" t="str">
        <f t="shared" si="7"/>
        <v>2013 Q1</v>
      </c>
      <c r="K240">
        <f>raw_data!H240</f>
        <v>3.2</v>
      </c>
      <c r="L240" s="13">
        <f>raw_data!I240</f>
        <v>15.58</v>
      </c>
      <c r="M240" s="13">
        <f>raw_data!J240</f>
        <v>1.1399999999999999</v>
      </c>
    </row>
    <row r="241" spans="1:13" x14ac:dyDescent="0.2">
      <c r="A241" t="str">
        <f>raw_data!A241</f>
        <v>2013Q1</v>
      </c>
      <c r="B241" t="str">
        <f>raw_data!B241</f>
        <v>New South Wales</v>
      </c>
      <c r="C241" t="str">
        <f>raw_data!C241</f>
        <v>Professional, Scientific and Technical Services</v>
      </c>
      <c r="D241">
        <f>raw_data!D241</f>
        <v>13.88</v>
      </c>
      <c r="E241">
        <f>raw_data!E241</f>
        <v>53.85</v>
      </c>
      <c r="F241">
        <f>raw_data!F241</f>
        <v>7.12</v>
      </c>
      <c r="G241">
        <f>raw_data!G241</f>
        <v>23.84</v>
      </c>
      <c r="H241">
        <f>(raw_data!D241*weights!$B$2)+(raw_data!E241*weights!$B$3)+(raw_data!F241*weights!$B$4)</f>
        <v>23.843</v>
      </c>
      <c r="I241" t="str">
        <f t="shared" si="6"/>
        <v>Low</v>
      </c>
      <c r="J241" t="str">
        <f t="shared" si="7"/>
        <v>2013 Q1</v>
      </c>
      <c r="K241">
        <f>raw_data!H241</f>
        <v>5.55</v>
      </c>
      <c r="L241" s="13">
        <f>raw_data!I241</f>
        <v>16.149999999999999</v>
      </c>
      <c r="M241" s="13">
        <f>raw_data!J241</f>
        <v>2.13</v>
      </c>
    </row>
    <row r="242" spans="1:13" x14ac:dyDescent="0.2">
      <c r="A242" t="str">
        <f>raw_data!A242</f>
        <v>2013Q1</v>
      </c>
      <c r="B242" t="str">
        <f>raw_data!B242</f>
        <v>Queensland</v>
      </c>
      <c r="C242" t="str">
        <f>raw_data!C242</f>
        <v>Accommodation and Food Services</v>
      </c>
      <c r="D242">
        <f>raw_data!D242</f>
        <v>24.13</v>
      </c>
      <c r="E242">
        <f>raw_data!E242</f>
        <v>40.380000000000003</v>
      </c>
      <c r="F242">
        <f>raw_data!F242</f>
        <v>3.96</v>
      </c>
      <c r="G242">
        <f>raw_data!G242</f>
        <v>22.96</v>
      </c>
      <c r="H242">
        <f>(raw_data!D242*weights!$B$2)+(raw_data!E242*weights!$B$3)+(raw_data!F242*weights!$B$4)</f>
        <v>22.954000000000001</v>
      </c>
      <c r="I242" t="str">
        <f t="shared" si="6"/>
        <v>Low</v>
      </c>
      <c r="J242" t="str">
        <f t="shared" si="7"/>
        <v>2013 Q1</v>
      </c>
      <c r="K242">
        <f>raw_data!H242</f>
        <v>9.65</v>
      </c>
      <c r="L242" s="13">
        <f>raw_data!I242</f>
        <v>12.12</v>
      </c>
      <c r="M242" s="13">
        <f>raw_data!J242</f>
        <v>1.19</v>
      </c>
    </row>
    <row r="243" spans="1:13" x14ac:dyDescent="0.2">
      <c r="A243" t="str">
        <f>raw_data!A243</f>
        <v>2013Q1</v>
      </c>
      <c r="B243" t="str">
        <f>raw_data!B243</f>
        <v>Queensland</v>
      </c>
      <c r="C243" t="str">
        <f>raw_data!C243</f>
        <v>Construction</v>
      </c>
      <c r="D243">
        <f>raw_data!D243</f>
        <v>12.71</v>
      </c>
      <c r="E243">
        <f>raw_data!E243</f>
        <v>50</v>
      </c>
      <c r="F243">
        <f>raw_data!F243</f>
        <v>4.5599999999999996</v>
      </c>
      <c r="G243">
        <f>raw_data!G243</f>
        <v>21.45</v>
      </c>
      <c r="H243">
        <f>(raw_data!D243*weights!$B$2)+(raw_data!E243*weights!$B$3)+(raw_data!F243*weights!$B$4)</f>
        <v>21.451999999999998</v>
      </c>
      <c r="I243" t="str">
        <f t="shared" si="6"/>
        <v>Low</v>
      </c>
      <c r="J243" t="str">
        <f t="shared" si="7"/>
        <v>2013 Q1</v>
      </c>
      <c r="K243">
        <f>raw_data!H243</f>
        <v>5.08</v>
      </c>
      <c r="L243" s="13">
        <f>raw_data!I243</f>
        <v>15</v>
      </c>
      <c r="M243" s="13">
        <f>raw_data!J243</f>
        <v>1.37</v>
      </c>
    </row>
    <row r="244" spans="1:13" x14ac:dyDescent="0.2">
      <c r="A244" t="str">
        <f>raw_data!A244</f>
        <v>2013Q1</v>
      </c>
      <c r="B244" t="str">
        <f>raw_data!B244</f>
        <v>Queensland</v>
      </c>
      <c r="C244" t="str">
        <f>raw_data!C244</f>
        <v>Education and Training</v>
      </c>
      <c r="D244">
        <f>raw_data!D244</f>
        <v>4.8600000000000003</v>
      </c>
      <c r="E244">
        <f>raw_data!E244</f>
        <v>46.15</v>
      </c>
      <c r="F244">
        <f>raw_data!F244</f>
        <v>2.17</v>
      </c>
      <c r="G244">
        <f>raw_data!G244</f>
        <v>16.440000000000001</v>
      </c>
      <c r="H244">
        <f>(raw_data!D244*weights!$B$2)+(raw_data!E244*weights!$B$3)+(raw_data!F244*weights!$B$4)</f>
        <v>16.440000000000001</v>
      </c>
      <c r="I244" t="str">
        <f t="shared" si="6"/>
        <v>Low</v>
      </c>
      <c r="J244" t="str">
        <f t="shared" si="7"/>
        <v>2013 Q1</v>
      </c>
      <c r="K244">
        <f>raw_data!H244</f>
        <v>1.94</v>
      </c>
      <c r="L244" s="13">
        <f>raw_data!I244</f>
        <v>13.85</v>
      </c>
      <c r="M244" s="13">
        <f>raw_data!J244</f>
        <v>0.65</v>
      </c>
    </row>
    <row r="245" spans="1:13" x14ac:dyDescent="0.2">
      <c r="A245" t="str">
        <f>raw_data!A245</f>
        <v>2013Q1</v>
      </c>
      <c r="B245" t="str">
        <f>raw_data!B245</f>
        <v>Queensland</v>
      </c>
      <c r="C245" t="str">
        <f>raw_data!C245</f>
        <v>Health Care and Social Assistance</v>
      </c>
      <c r="D245">
        <f>raw_data!D245</f>
        <v>12</v>
      </c>
      <c r="E245">
        <f>raw_data!E245</f>
        <v>57.69</v>
      </c>
      <c r="F245">
        <f>raw_data!F245</f>
        <v>10.34</v>
      </c>
      <c r="G245">
        <f>raw_data!G245</f>
        <v>25.21</v>
      </c>
      <c r="H245">
        <f>(raw_data!D245*weights!$B$2)+(raw_data!E245*weights!$B$3)+(raw_data!F245*weights!$B$4)</f>
        <v>25.209</v>
      </c>
      <c r="I245" t="str">
        <f t="shared" si="6"/>
        <v>Moderate</v>
      </c>
      <c r="J245" t="str">
        <f t="shared" si="7"/>
        <v>2013 Q1</v>
      </c>
      <c r="K245">
        <f>raw_data!H245</f>
        <v>4.8</v>
      </c>
      <c r="L245" s="13">
        <f>raw_data!I245</f>
        <v>17.309999999999999</v>
      </c>
      <c r="M245" s="13">
        <f>raw_data!J245</f>
        <v>3.1</v>
      </c>
    </row>
    <row r="246" spans="1:13" x14ac:dyDescent="0.2">
      <c r="A246" t="str">
        <f>raw_data!A246</f>
        <v>2013Q1</v>
      </c>
      <c r="B246" t="str">
        <f>raw_data!B246</f>
        <v>Queensland</v>
      </c>
      <c r="C246" t="str">
        <f>raw_data!C246</f>
        <v>Manufacturing</v>
      </c>
      <c r="D246">
        <f>raw_data!D246</f>
        <v>17.27</v>
      </c>
      <c r="E246">
        <f>raw_data!E246</f>
        <v>51.92</v>
      </c>
      <c r="F246">
        <f>raw_data!F246</f>
        <v>5.84</v>
      </c>
      <c r="G246">
        <f>raw_data!G246</f>
        <v>24.24</v>
      </c>
      <c r="H246">
        <f>(raw_data!D246*weights!$B$2)+(raw_data!E246*weights!$B$3)+(raw_data!F246*weights!$B$4)</f>
        <v>24.236000000000001</v>
      </c>
      <c r="I246" t="str">
        <f t="shared" si="6"/>
        <v>Low</v>
      </c>
      <c r="J246" t="str">
        <f t="shared" si="7"/>
        <v>2013 Q1</v>
      </c>
      <c r="K246">
        <f>raw_data!H246</f>
        <v>6.91</v>
      </c>
      <c r="L246" s="13">
        <f>raw_data!I246</f>
        <v>15.58</v>
      </c>
      <c r="M246" s="13">
        <f>raw_data!J246</f>
        <v>1.75</v>
      </c>
    </row>
    <row r="247" spans="1:13" x14ac:dyDescent="0.2">
      <c r="A247" t="str">
        <f>raw_data!A247</f>
        <v>2013Q1</v>
      </c>
      <c r="B247" t="str">
        <f>raw_data!B247</f>
        <v>Queensland</v>
      </c>
      <c r="C247" t="str">
        <f>raw_data!C247</f>
        <v>Professional, Scientific and Technical Services</v>
      </c>
      <c r="D247">
        <f>raw_data!D247</f>
        <v>28.64</v>
      </c>
      <c r="E247">
        <f>raw_data!E247</f>
        <v>53.85</v>
      </c>
      <c r="F247">
        <f>raw_data!F247</f>
        <v>16.88</v>
      </c>
      <c r="G247">
        <f>raw_data!G247</f>
        <v>32.68</v>
      </c>
      <c r="H247">
        <f>(raw_data!D247*weights!$B$2)+(raw_data!E247*weights!$B$3)+(raw_data!F247*weights!$B$4)</f>
        <v>32.675000000000004</v>
      </c>
      <c r="I247" t="str">
        <f t="shared" si="6"/>
        <v>Moderate</v>
      </c>
      <c r="J247" t="str">
        <f t="shared" si="7"/>
        <v>2013 Q1</v>
      </c>
      <c r="K247">
        <f>raw_data!H247</f>
        <v>11.46</v>
      </c>
      <c r="L247" s="13">
        <f>raw_data!I247</f>
        <v>16.149999999999999</v>
      </c>
      <c r="M247" s="13">
        <f>raw_data!J247</f>
        <v>5.0599999999999996</v>
      </c>
    </row>
    <row r="248" spans="1:13" x14ac:dyDescent="0.2">
      <c r="A248" t="str">
        <f>raw_data!A248</f>
        <v>2013Q1</v>
      </c>
      <c r="B248" t="str">
        <f>raw_data!B248</f>
        <v>Victoria</v>
      </c>
      <c r="C248" t="str">
        <f>raw_data!C248</f>
        <v>Accommodation and Food Services</v>
      </c>
      <c r="D248">
        <f>raw_data!D248</f>
        <v>17.97</v>
      </c>
      <c r="E248">
        <f>raw_data!E248</f>
        <v>40.380000000000003</v>
      </c>
      <c r="F248">
        <f>raw_data!F248</f>
        <v>4.9400000000000004</v>
      </c>
      <c r="G248">
        <f>raw_data!G248</f>
        <v>20.79</v>
      </c>
      <c r="H248">
        <f>(raw_data!D248*weights!$B$2)+(raw_data!E248*weights!$B$3)+(raw_data!F248*weights!$B$4)</f>
        <v>20.783999999999999</v>
      </c>
      <c r="I248" t="str">
        <f t="shared" si="6"/>
        <v>Low</v>
      </c>
      <c r="J248" t="str">
        <f t="shared" si="7"/>
        <v>2013 Q1</v>
      </c>
      <c r="K248">
        <f>raw_data!H248</f>
        <v>7.19</v>
      </c>
      <c r="L248" s="13">
        <f>raw_data!I248</f>
        <v>12.12</v>
      </c>
      <c r="M248" s="13">
        <f>raw_data!J248</f>
        <v>1.48</v>
      </c>
    </row>
    <row r="249" spans="1:13" x14ac:dyDescent="0.2">
      <c r="A249" t="str">
        <f>raw_data!A249</f>
        <v>2013Q1</v>
      </c>
      <c r="B249" t="str">
        <f>raw_data!B249</f>
        <v>Victoria</v>
      </c>
      <c r="C249" t="str">
        <f>raw_data!C249</f>
        <v>Construction</v>
      </c>
      <c r="D249">
        <f>raw_data!D249</f>
        <v>12.27</v>
      </c>
      <c r="E249">
        <f>raw_data!E249</f>
        <v>50</v>
      </c>
      <c r="F249">
        <f>raw_data!F249</f>
        <v>4.46</v>
      </c>
      <c r="G249">
        <f>raw_data!G249</f>
        <v>21.25</v>
      </c>
      <c r="H249">
        <f>(raw_data!D249*weights!$B$2)+(raw_data!E249*weights!$B$3)+(raw_data!F249*weights!$B$4)</f>
        <v>21.246000000000002</v>
      </c>
      <c r="I249" t="str">
        <f t="shared" si="6"/>
        <v>Low</v>
      </c>
      <c r="J249" t="str">
        <f t="shared" si="7"/>
        <v>2013 Q1</v>
      </c>
      <c r="K249">
        <f>raw_data!H249</f>
        <v>4.91</v>
      </c>
      <c r="L249" s="13">
        <f>raw_data!I249</f>
        <v>15</v>
      </c>
      <c r="M249" s="13">
        <f>raw_data!J249</f>
        <v>1.34</v>
      </c>
    </row>
    <row r="250" spans="1:13" x14ac:dyDescent="0.2">
      <c r="A250" t="str">
        <f>raw_data!A250</f>
        <v>2013Q1</v>
      </c>
      <c r="B250" t="str">
        <f>raw_data!B250</f>
        <v>Victoria</v>
      </c>
      <c r="C250" t="str">
        <f>raw_data!C250</f>
        <v>Education and Training</v>
      </c>
      <c r="D250">
        <f>raw_data!D250</f>
        <v>3.16</v>
      </c>
      <c r="E250">
        <f>raw_data!E250</f>
        <v>46.15</v>
      </c>
      <c r="F250">
        <f>raw_data!F250</f>
        <v>1.98</v>
      </c>
      <c r="G250">
        <f>raw_data!G250</f>
        <v>15.7</v>
      </c>
      <c r="H250">
        <f>(raw_data!D250*weights!$B$2)+(raw_data!E250*weights!$B$3)+(raw_data!F250*weights!$B$4)</f>
        <v>15.702999999999998</v>
      </c>
      <c r="I250" t="str">
        <f t="shared" si="6"/>
        <v>Low</v>
      </c>
      <c r="J250" t="str">
        <f t="shared" si="7"/>
        <v>2013 Q1</v>
      </c>
      <c r="K250">
        <f>raw_data!H250</f>
        <v>1.26</v>
      </c>
      <c r="L250" s="13">
        <f>raw_data!I250</f>
        <v>13.85</v>
      </c>
      <c r="M250" s="13">
        <f>raw_data!J250</f>
        <v>0.59</v>
      </c>
    </row>
    <row r="251" spans="1:13" x14ac:dyDescent="0.2">
      <c r="A251" t="str">
        <f>raw_data!A251</f>
        <v>2013Q1</v>
      </c>
      <c r="B251" t="str">
        <f>raw_data!B251</f>
        <v>Victoria</v>
      </c>
      <c r="C251" t="str">
        <f>raw_data!C251</f>
        <v>Health Care and Social Assistance</v>
      </c>
      <c r="D251">
        <f>raw_data!D251</f>
        <v>9.58</v>
      </c>
      <c r="E251">
        <f>raw_data!E251</f>
        <v>57.69</v>
      </c>
      <c r="F251">
        <f>raw_data!F251</f>
        <v>8.4700000000000006</v>
      </c>
      <c r="G251">
        <f>raw_data!G251</f>
        <v>23.68</v>
      </c>
      <c r="H251">
        <f>(raw_data!D251*weights!$B$2)+(raw_data!E251*weights!$B$3)+(raw_data!F251*weights!$B$4)</f>
        <v>23.68</v>
      </c>
      <c r="I251" t="str">
        <f t="shared" si="6"/>
        <v>Low</v>
      </c>
      <c r="J251" t="str">
        <f t="shared" si="7"/>
        <v>2013 Q1</v>
      </c>
      <c r="K251">
        <f>raw_data!H251</f>
        <v>3.83</v>
      </c>
      <c r="L251" s="13">
        <f>raw_data!I251</f>
        <v>17.309999999999999</v>
      </c>
      <c r="M251" s="13">
        <f>raw_data!J251</f>
        <v>2.54</v>
      </c>
    </row>
    <row r="252" spans="1:13" x14ac:dyDescent="0.2">
      <c r="A252" t="str">
        <f>raw_data!A252</f>
        <v>2013Q1</v>
      </c>
      <c r="B252" t="str">
        <f>raw_data!B252</f>
        <v>Victoria</v>
      </c>
      <c r="C252" t="str">
        <f>raw_data!C252</f>
        <v>Manufacturing</v>
      </c>
      <c r="D252">
        <f>raw_data!D252</f>
        <v>8.26</v>
      </c>
      <c r="E252">
        <f>raw_data!E252</f>
        <v>51.92</v>
      </c>
      <c r="F252">
        <f>raw_data!F252</f>
        <v>4.83</v>
      </c>
      <c r="G252">
        <f>raw_data!G252</f>
        <v>20.329999999999998</v>
      </c>
      <c r="H252">
        <f>(raw_data!D252*weights!$B$2)+(raw_data!E252*weights!$B$3)+(raw_data!F252*weights!$B$4)</f>
        <v>20.329000000000004</v>
      </c>
      <c r="I252" t="str">
        <f t="shared" si="6"/>
        <v>Low</v>
      </c>
      <c r="J252" t="str">
        <f t="shared" si="7"/>
        <v>2013 Q1</v>
      </c>
      <c r="K252">
        <f>raw_data!H252</f>
        <v>3.3</v>
      </c>
      <c r="L252" s="13">
        <f>raw_data!I252</f>
        <v>15.58</v>
      </c>
      <c r="M252" s="13">
        <f>raw_data!J252</f>
        <v>1.45</v>
      </c>
    </row>
    <row r="253" spans="1:13" x14ac:dyDescent="0.2">
      <c r="A253" t="str">
        <f>raw_data!A253</f>
        <v>2013Q1</v>
      </c>
      <c r="B253" t="str">
        <f>raw_data!B253</f>
        <v>Victoria</v>
      </c>
      <c r="C253" t="str">
        <f>raw_data!C253</f>
        <v>Professional, Scientific and Technical Services</v>
      </c>
      <c r="D253">
        <f>raw_data!D253</f>
        <v>16.79</v>
      </c>
      <c r="E253">
        <f>raw_data!E253</f>
        <v>53.85</v>
      </c>
      <c r="F253">
        <f>raw_data!F253</f>
        <v>10.94</v>
      </c>
      <c r="G253">
        <f>raw_data!G253</f>
        <v>26.15</v>
      </c>
      <c r="H253">
        <f>(raw_data!D253*weights!$B$2)+(raw_data!E253*weights!$B$3)+(raw_data!F253*weights!$B$4)</f>
        <v>26.153000000000002</v>
      </c>
      <c r="I253" t="str">
        <f t="shared" si="6"/>
        <v>Moderate</v>
      </c>
      <c r="J253" t="str">
        <f t="shared" si="7"/>
        <v>2013 Q1</v>
      </c>
      <c r="K253">
        <f>raw_data!H253</f>
        <v>6.72</v>
      </c>
      <c r="L253" s="13">
        <f>raw_data!I253</f>
        <v>16.149999999999999</v>
      </c>
      <c r="M253" s="13">
        <f>raw_data!J253</f>
        <v>3.28</v>
      </c>
    </row>
    <row r="254" spans="1:13" x14ac:dyDescent="0.2">
      <c r="A254" t="str">
        <f>raw_data!A254</f>
        <v>2013Q2</v>
      </c>
      <c r="B254" t="str">
        <f>raw_data!B254</f>
        <v>New South Wales</v>
      </c>
      <c r="C254" t="str">
        <f>raw_data!C254</f>
        <v>Accommodation and Food Services</v>
      </c>
      <c r="D254">
        <f>raw_data!D254</f>
        <v>10.130000000000001</v>
      </c>
      <c r="E254">
        <f>raw_data!E254</f>
        <v>44.23</v>
      </c>
      <c r="F254">
        <f>raw_data!F254</f>
        <v>2.65</v>
      </c>
      <c r="G254">
        <f>raw_data!G254</f>
        <v>18.12</v>
      </c>
      <c r="H254">
        <f>(raw_data!D254*weights!$B$2)+(raw_data!E254*weights!$B$3)+(raw_data!F254*weights!$B$4)</f>
        <v>18.116</v>
      </c>
      <c r="I254" t="str">
        <f t="shared" si="6"/>
        <v>Low</v>
      </c>
      <c r="J254" t="str">
        <f t="shared" si="7"/>
        <v>2013 Q2</v>
      </c>
      <c r="K254">
        <f>raw_data!H254</f>
        <v>4.05</v>
      </c>
      <c r="L254" s="13">
        <f>raw_data!I254</f>
        <v>13.27</v>
      </c>
      <c r="M254" s="13">
        <f>raw_data!J254</f>
        <v>0.79</v>
      </c>
    </row>
    <row r="255" spans="1:13" x14ac:dyDescent="0.2">
      <c r="A255" t="str">
        <f>raw_data!A255</f>
        <v>2013Q2</v>
      </c>
      <c r="B255" t="str">
        <f>raw_data!B255</f>
        <v>New South Wales</v>
      </c>
      <c r="C255" t="str">
        <f>raw_data!C255</f>
        <v>Construction</v>
      </c>
      <c r="D255">
        <f>raw_data!D255</f>
        <v>14.93</v>
      </c>
      <c r="E255">
        <f>raw_data!E255</f>
        <v>53.85</v>
      </c>
      <c r="F255">
        <f>raw_data!F255</f>
        <v>7.11</v>
      </c>
      <c r="G255">
        <f>raw_data!G255</f>
        <v>24.26</v>
      </c>
      <c r="H255">
        <f>(raw_data!D255*weights!$B$2)+(raw_data!E255*weights!$B$3)+(raw_data!F255*weights!$B$4)</f>
        <v>24.26</v>
      </c>
      <c r="I255" t="str">
        <f t="shared" si="6"/>
        <v>Low</v>
      </c>
      <c r="J255" t="str">
        <f t="shared" si="7"/>
        <v>2013 Q2</v>
      </c>
      <c r="K255">
        <f>raw_data!H255</f>
        <v>5.97</v>
      </c>
      <c r="L255" s="13">
        <f>raw_data!I255</f>
        <v>16.149999999999999</v>
      </c>
      <c r="M255" s="13">
        <f>raw_data!J255</f>
        <v>2.13</v>
      </c>
    </row>
    <row r="256" spans="1:13" x14ac:dyDescent="0.2">
      <c r="A256" t="str">
        <f>raw_data!A256</f>
        <v>2013Q2</v>
      </c>
      <c r="B256" t="str">
        <f>raw_data!B256</f>
        <v>New South Wales</v>
      </c>
      <c r="C256" t="str">
        <f>raw_data!C256</f>
        <v>Education and Training</v>
      </c>
      <c r="D256">
        <f>raw_data!D256</f>
        <v>2.4</v>
      </c>
      <c r="E256">
        <f>raw_data!E256</f>
        <v>42.31</v>
      </c>
      <c r="F256">
        <f>raw_data!F256</f>
        <v>2.38</v>
      </c>
      <c r="G256">
        <f>raw_data!G256</f>
        <v>14.37</v>
      </c>
      <c r="H256">
        <f>(raw_data!D256*weights!$B$2)+(raw_data!E256*weights!$B$3)+(raw_data!F256*weights!$B$4)</f>
        <v>14.366999999999999</v>
      </c>
      <c r="I256" t="str">
        <f t="shared" si="6"/>
        <v>Low</v>
      </c>
      <c r="J256" t="str">
        <f t="shared" si="7"/>
        <v>2013 Q2</v>
      </c>
      <c r="K256">
        <f>raw_data!H256</f>
        <v>0.96</v>
      </c>
      <c r="L256" s="13">
        <f>raw_data!I256</f>
        <v>12.69</v>
      </c>
      <c r="M256" s="13">
        <f>raw_data!J256</f>
        <v>0.71</v>
      </c>
    </row>
    <row r="257" spans="1:13" x14ac:dyDescent="0.2">
      <c r="A257" t="str">
        <f>raw_data!A257</f>
        <v>2013Q2</v>
      </c>
      <c r="B257" t="str">
        <f>raw_data!B257</f>
        <v>New South Wales</v>
      </c>
      <c r="C257" t="str">
        <f>raw_data!C257</f>
        <v>Health Care and Social Assistance</v>
      </c>
      <c r="D257">
        <f>raw_data!D257</f>
        <v>6.47</v>
      </c>
      <c r="E257">
        <f>raw_data!E257</f>
        <v>59.62</v>
      </c>
      <c r="F257">
        <f>raw_data!F257</f>
        <v>6.54</v>
      </c>
      <c r="G257">
        <f>raw_data!G257</f>
        <v>22.43</v>
      </c>
      <c r="H257">
        <f>(raw_data!D257*weights!$B$2)+(raw_data!E257*weights!$B$3)+(raw_data!F257*weights!$B$4)</f>
        <v>22.436</v>
      </c>
      <c r="I257" t="str">
        <f t="shared" si="6"/>
        <v>Low</v>
      </c>
      <c r="J257" t="str">
        <f t="shared" si="7"/>
        <v>2013 Q2</v>
      </c>
      <c r="K257">
        <f>raw_data!H257</f>
        <v>2.59</v>
      </c>
      <c r="L257" s="13">
        <f>raw_data!I257</f>
        <v>17.88</v>
      </c>
      <c r="M257" s="13">
        <f>raw_data!J257</f>
        <v>1.96</v>
      </c>
    </row>
    <row r="258" spans="1:13" x14ac:dyDescent="0.2">
      <c r="A258" t="str">
        <f>raw_data!A258</f>
        <v>2013Q2</v>
      </c>
      <c r="B258" t="str">
        <f>raw_data!B258</f>
        <v>New South Wales</v>
      </c>
      <c r="C258" t="str">
        <f>raw_data!C258</f>
        <v>Manufacturing</v>
      </c>
      <c r="D258">
        <f>raw_data!D258</f>
        <v>7.14</v>
      </c>
      <c r="E258">
        <f>raw_data!E258</f>
        <v>50</v>
      </c>
      <c r="F258">
        <f>raw_data!F258</f>
        <v>2.4500000000000002</v>
      </c>
      <c r="G258">
        <f>raw_data!G258</f>
        <v>18.59</v>
      </c>
      <c r="H258">
        <f>(raw_data!D258*weights!$B$2)+(raw_data!E258*weights!$B$3)+(raw_data!F258*weights!$B$4)</f>
        <v>18.591000000000001</v>
      </c>
      <c r="I258" t="str">
        <f t="shared" si="6"/>
        <v>Low</v>
      </c>
      <c r="J258" t="str">
        <f t="shared" si="7"/>
        <v>2013 Q2</v>
      </c>
      <c r="K258">
        <f>raw_data!H258</f>
        <v>2.86</v>
      </c>
      <c r="L258" s="13">
        <f>raw_data!I258</f>
        <v>15</v>
      </c>
      <c r="M258" s="13">
        <f>raw_data!J258</f>
        <v>0.74</v>
      </c>
    </row>
    <row r="259" spans="1:13" x14ac:dyDescent="0.2">
      <c r="A259" t="str">
        <f>raw_data!A259</f>
        <v>2013Q2</v>
      </c>
      <c r="B259" t="str">
        <f>raw_data!B259</f>
        <v>New South Wales</v>
      </c>
      <c r="C259" t="str">
        <f>raw_data!C259</f>
        <v>Professional, Scientific and Technical Services</v>
      </c>
      <c r="D259">
        <f>raw_data!D259</f>
        <v>11.97</v>
      </c>
      <c r="E259">
        <f>raw_data!E259</f>
        <v>48.08</v>
      </c>
      <c r="F259">
        <f>raw_data!F259</f>
        <v>7.12</v>
      </c>
      <c r="G259">
        <f>raw_data!G259</f>
        <v>21.35</v>
      </c>
      <c r="H259">
        <f>(raw_data!D259*weights!$B$2)+(raw_data!E259*weights!$B$3)+(raw_data!F259*weights!$B$4)</f>
        <v>21.347999999999999</v>
      </c>
      <c r="I259" t="str">
        <f t="shared" ref="I259:I322" si="8">IF(H259&gt;=60,"Critical",IF(H259&gt;=45,"High",IF(H259&gt;=25,"Moderate","Low")))</f>
        <v>Low</v>
      </c>
      <c r="J259" t="str">
        <f t="shared" ref="J259:J322" si="9">LEFT(A259,4)&amp;" "&amp;RIGHT(A259,2)</f>
        <v>2013 Q2</v>
      </c>
      <c r="K259">
        <f>raw_data!H259</f>
        <v>4.79</v>
      </c>
      <c r="L259" s="13">
        <f>raw_data!I259</f>
        <v>14.42</v>
      </c>
      <c r="M259" s="13">
        <f>raw_data!J259</f>
        <v>2.14</v>
      </c>
    </row>
    <row r="260" spans="1:13" x14ac:dyDescent="0.2">
      <c r="A260" t="str">
        <f>raw_data!A260</f>
        <v>2013Q2</v>
      </c>
      <c r="B260" t="str">
        <f>raw_data!B260</f>
        <v>Queensland</v>
      </c>
      <c r="C260" t="str">
        <f>raw_data!C260</f>
        <v>Accommodation and Food Services</v>
      </c>
      <c r="D260">
        <f>raw_data!D260</f>
        <v>16.43</v>
      </c>
      <c r="E260">
        <f>raw_data!E260</f>
        <v>44.23</v>
      </c>
      <c r="F260">
        <f>raw_data!F260</f>
        <v>2.81</v>
      </c>
      <c r="G260">
        <f>raw_data!G260</f>
        <v>20.69</v>
      </c>
      <c r="H260">
        <f>(raw_data!D260*weights!$B$2)+(raw_data!E260*weights!$B$3)+(raw_data!F260*weights!$B$4)</f>
        <v>20.683999999999997</v>
      </c>
      <c r="I260" t="str">
        <f t="shared" si="8"/>
        <v>Low</v>
      </c>
      <c r="J260" t="str">
        <f t="shared" si="9"/>
        <v>2013 Q2</v>
      </c>
      <c r="K260">
        <f>raw_data!H260</f>
        <v>6.57</v>
      </c>
      <c r="L260" s="13">
        <f>raw_data!I260</f>
        <v>13.27</v>
      </c>
      <c r="M260" s="13">
        <f>raw_data!J260</f>
        <v>0.84</v>
      </c>
    </row>
    <row r="261" spans="1:13" x14ac:dyDescent="0.2">
      <c r="A261" t="str">
        <f>raw_data!A261</f>
        <v>2013Q2</v>
      </c>
      <c r="B261" t="str">
        <f>raw_data!B261</f>
        <v>Queensland</v>
      </c>
      <c r="C261" t="str">
        <f>raw_data!C261</f>
        <v>Construction</v>
      </c>
      <c r="D261">
        <f>raw_data!D261</f>
        <v>19.04</v>
      </c>
      <c r="E261">
        <f>raw_data!E261</f>
        <v>53.85</v>
      </c>
      <c r="F261">
        <f>raw_data!F261</f>
        <v>8.9700000000000006</v>
      </c>
      <c r="G261">
        <f>raw_data!G261</f>
        <v>26.46</v>
      </c>
      <c r="H261">
        <f>(raw_data!D261*weights!$B$2)+(raw_data!E261*weights!$B$3)+(raw_data!F261*weights!$B$4)</f>
        <v>26.462</v>
      </c>
      <c r="I261" t="str">
        <f t="shared" si="8"/>
        <v>Moderate</v>
      </c>
      <c r="J261" t="str">
        <f t="shared" si="9"/>
        <v>2013 Q2</v>
      </c>
      <c r="K261">
        <f>raw_data!H261</f>
        <v>7.62</v>
      </c>
      <c r="L261" s="13">
        <f>raw_data!I261</f>
        <v>16.149999999999999</v>
      </c>
      <c r="M261" s="13">
        <f>raw_data!J261</f>
        <v>2.69</v>
      </c>
    </row>
    <row r="262" spans="1:13" x14ac:dyDescent="0.2">
      <c r="A262" t="str">
        <f>raw_data!A262</f>
        <v>2013Q2</v>
      </c>
      <c r="B262" t="str">
        <f>raw_data!B262</f>
        <v>Queensland</v>
      </c>
      <c r="C262" t="str">
        <f>raw_data!C262</f>
        <v>Education and Training</v>
      </c>
      <c r="D262">
        <f>raw_data!D262</f>
        <v>5.59</v>
      </c>
      <c r="E262">
        <f>raw_data!E262</f>
        <v>42.31</v>
      </c>
      <c r="F262">
        <f>raw_data!F262</f>
        <v>14.18</v>
      </c>
      <c r="G262">
        <f>raw_data!G262</f>
        <v>19.18</v>
      </c>
      <c r="H262">
        <f>(raw_data!D262*weights!$B$2)+(raw_data!E262*weights!$B$3)+(raw_data!F262*weights!$B$4)</f>
        <v>19.183</v>
      </c>
      <c r="I262" t="str">
        <f t="shared" si="8"/>
        <v>Low</v>
      </c>
      <c r="J262" t="str">
        <f t="shared" si="9"/>
        <v>2013 Q2</v>
      </c>
      <c r="K262">
        <f>raw_data!H262</f>
        <v>2.2400000000000002</v>
      </c>
      <c r="L262" s="13">
        <f>raw_data!I262</f>
        <v>12.69</v>
      </c>
      <c r="M262" s="13">
        <f>raw_data!J262</f>
        <v>4.25</v>
      </c>
    </row>
    <row r="263" spans="1:13" x14ac:dyDescent="0.2">
      <c r="A263" t="str">
        <f>raw_data!A263</f>
        <v>2013Q2</v>
      </c>
      <c r="B263" t="str">
        <f>raw_data!B263</f>
        <v>Queensland</v>
      </c>
      <c r="C263" t="str">
        <f>raw_data!C263</f>
        <v>Health Care and Social Assistance</v>
      </c>
      <c r="D263">
        <f>raw_data!D263</f>
        <v>11.67</v>
      </c>
      <c r="E263">
        <f>raw_data!E263</f>
        <v>59.62</v>
      </c>
      <c r="F263">
        <f>raw_data!F263</f>
        <v>9.44</v>
      </c>
      <c r="G263">
        <f>raw_data!G263</f>
        <v>25.38</v>
      </c>
      <c r="H263">
        <f>(raw_data!D263*weights!$B$2)+(raw_data!E263*weights!$B$3)+(raw_data!F263*weights!$B$4)</f>
        <v>25.385999999999999</v>
      </c>
      <c r="I263" t="str">
        <f t="shared" si="8"/>
        <v>Moderate</v>
      </c>
      <c r="J263" t="str">
        <f t="shared" si="9"/>
        <v>2013 Q2</v>
      </c>
      <c r="K263">
        <f>raw_data!H263</f>
        <v>4.67</v>
      </c>
      <c r="L263" s="13">
        <f>raw_data!I263</f>
        <v>17.88</v>
      </c>
      <c r="M263" s="13">
        <f>raw_data!J263</f>
        <v>2.83</v>
      </c>
    </row>
    <row r="264" spans="1:13" x14ac:dyDescent="0.2">
      <c r="A264" t="str">
        <f>raw_data!A264</f>
        <v>2013Q2</v>
      </c>
      <c r="B264" t="str">
        <f>raw_data!B264</f>
        <v>Queensland</v>
      </c>
      <c r="C264" t="str">
        <f>raw_data!C264</f>
        <v>Manufacturing</v>
      </c>
      <c r="D264">
        <f>raw_data!D264</f>
        <v>14.93</v>
      </c>
      <c r="E264">
        <f>raw_data!E264</f>
        <v>50</v>
      </c>
      <c r="F264">
        <f>raw_data!F264</f>
        <v>6.33</v>
      </c>
      <c r="G264">
        <f>raw_data!G264</f>
        <v>22.87</v>
      </c>
      <c r="H264">
        <f>(raw_data!D264*weights!$B$2)+(raw_data!E264*weights!$B$3)+(raw_data!F264*weights!$B$4)</f>
        <v>22.871000000000002</v>
      </c>
      <c r="I264" t="str">
        <f t="shared" si="8"/>
        <v>Low</v>
      </c>
      <c r="J264" t="str">
        <f t="shared" si="9"/>
        <v>2013 Q2</v>
      </c>
      <c r="K264">
        <f>raw_data!H264</f>
        <v>5.97</v>
      </c>
      <c r="L264" s="13">
        <f>raw_data!I264</f>
        <v>15</v>
      </c>
      <c r="M264" s="13">
        <f>raw_data!J264</f>
        <v>1.9</v>
      </c>
    </row>
    <row r="265" spans="1:13" x14ac:dyDescent="0.2">
      <c r="A265" t="str">
        <f>raw_data!A265</f>
        <v>2013Q2</v>
      </c>
      <c r="B265" t="str">
        <f>raw_data!B265</f>
        <v>Queensland</v>
      </c>
      <c r="C265" t="str">
        <f>raw_data!C265</f>
        <v>Professional, Scientific and Technical Services</v>
      </c>
      <c r="D265">
        <f>raw_data!D265</f>
        <v>22.22</v>
      </c>
      <c r="E265">
        <f>raw_data!E265</f>
        <v>48.08</v>
      </c>
      <c r="F265">
        <f>raw_data!F265</f>
        <v>11.94</v>
      </c>
      <c r="G265">
        <f>raw_data!G265</f>
        <v>26.89</v>
      </c>
      <c r="H265">
        <f>(raw_data!D265*weights!$B$2)+(raw_data!E265*weights!$B$3)+(raw_data!F265*weights!$B$4)</f>
        <v>26.893999999999998</v>
      </c>
      <c r="I265" t="str">
        <f t="shared" si="8"/>
        <v>Moderate</v>
      </c>
      <c r="J265" t="str">
        <f t="shared" si="9"/>
        <v>2013 Q2</v>
      </c>
      <c r="K265">
        <f>raw_data!H265</f>
        <v>8.89</v>
      </c>
      <c r="L265" s="13">
        <f>raw_data!I265</f>
        <v>14.42</v>
      </c>
      <c r="M265" s="13">
        <f>raw_data!J265</f>
        <v>3.58</v>
      </c>
    </row>
    <row r="266" spans="1:13" x14ac:dyDescent="0.2">
      <c r="A266" t="str">
        <f>raw_data!A266</f>
        <v>2013Q2</v>
      </c>
      <c r="B266" t="str">
        <f>raw_data!B266</f>
        <v>Victoria</v>
      </c>
      <c r="C266" t="str">
        <f>raw_data!C266</f>
        <v>Accommodation and Food Services</v>
      </c>
      <c r="D266">
        <f>raw_data!D266</f>
        <v>14.61</v>
      </c>
      <c r="E266">
        <f>raw_data!E266</f>
        <v>44.23</v>
      </c>
      <c r="F266">
        <f>raw_data!F266</f>
        <v>5.59</v>
      </c>
      <c r="G266">
        <f>raw_data!G266</f>
        <v>20.79</v>
      </c>
      <c r="H266">
        <f>(raw_data!D266*weights!$B$2)+(raw_data!E266*weights!$B$3)+(raw_data!F266*weights!$B$4)</f>
        <v>20.79</v>
      </c>
      <c r="I266" t="str">
        <f t="shared" si="8"/>
        <v>Low</v>
      </c>
      <c r="J266" t="str">
        <f t="shared" si="9"/>
        <v>2013 Q2</v>
      </c>
      <c r="K266">
        <f>raw_data!H266</f>
        <v>5.84</v>
      </c>
      <c r="L266" s="13">
        <f>raw_data!I266</f>
        <v>13.27</v>
      </c>
      <c r="M266" s="13">
        <f>raw_data!J266</f>
        <v>1.68</v>
      </c>
    </row>
    <row r="267" spans="1:13" x14ac:dyDescent="0.2">
      <c r="A267" t="str">
        <f>raw_data!A267</f>
        <v>2013Q2</v>
      </c>
      <c r="B267" t="str">
        <f>raw_data!B267</f>
        <v>Victoria</v>
      </c>
      <c r="C267" t="str">
        <f>raw_data!C267</f>
        <v>Construction</v>
      </c>
      <c r="D267">
        <f>raw_data!D267</f>
        <v>17.73</v>
      </c>
      <c r="E267">
        <f>raw_data!E267</f>
        <v>53.85</v>
      </c>
      <c r="F267">
        <f>raw_data!F267</f>
        <v>4.91</v>
      </c>
      <c r="G267">
        <f>raw_data!G267</f>
        <v>24.72</v>
      </c>
      <c r="H267">
        <f>(raw_data!D267*weights!$B$2)+(raw_data!E267*weights!$B$3)+(raw_data!F267*weights!$B$4)</f>
        <v>24.72</v>
      </c>
      <c r="I267" t="str">
        <f t="shared" si="8"/>
        <v>Low</v>
      </c>
      <c r="J267" t="str">
        <f t="shared" si="9"/>
        <v>2013 Q2</v>
      </c>
      <c r="K267">
        <f>raw_data!H267</f>
        <v>7.09</v>
      </c>
      <c r="L267" s="13">
        <f>raw_data!I267</f>
        <v>16.149999999999999</v>
      </c>
      <c r="M267" s="13">
        <f>raw_data!J267</f>
        <v>1.47</v>
      </c>
    </row>
    <row r="268" spans="1:13" x14ac:dyDescent="0.2">
      <c r="A268" t="str">
        <f>raw_data!A268</f>
        <v>2013Q2</v>
      </c>
      <c r="B268" t="str">
        <f>raw_data!B268</f>
        <v>Victoria</v>
      </c>
      <c r="C268" t="str">
        <f>raw_data!C268</f>
        <v>Education and Training</v>
      </c>
      <c r="D268">
        <f>raw_data!D268</f>
        <v>3.49</v>
      </c>
      <c r="E268">
        <f>raw_data!E268</f>
        <v>42.31</v>
      </c>
      <c r="F268">
        <f>raw_data!F268</f>
        <v>3.87</v>
      </c>
      <c r="G268">
        <f>raw_data!G268</f>
        <v>15.25</v>
      </c>
      <c r="H268">
        <f>(raw_data!D268*weights!$B$2)+(raw_data!E268*weights!$B$3)+(raw_data!F268*weights!$B$4)</f>
        <v>15.25</v>
      </c>
      <c r="I268" t="str">
        <f t="shared" si="8"/>
        <v>Low</v>
      </c>
      <c r="J268" t="str">
        <f t="shared" si="9"/>
        <v>2013 Q2</v>
      </c>
      <c r="K268">
        <f>raw_data!H268</f>
        <v>1.4</v>
      </c>
      <c r="L268" s="13">
        <f>raw_data!I268</f>
        <v>12.69</v>
      </c>
      <c r="M268" s="13">
        <f>raw_data!J268</f>
        <v>1.1599999999999999</v>
      </c>
    </row>
    <row r="269" spans="1:13" x14ac:dyDescent="0.2">
      <c r="A269" t="str">
        <f>raw_data!A269</f>
        <v>2013Q2</v>
      </c>
      <c r="B269" t="str">
        <f>raw_data!B269</f>
        <v>Victoria</v>
      </c>
      <c r="C269" t="str">
        <f>raw_data!C269</f>
        <v>Health Care and Social Assistance</v>
      </c>
      <c r="D269">
        <f>raw_data!D269</f>
        <v>8.36</v>
      </c>
      <c r="E269">
        <f>raw_data!E269</f>
        <v>59.62</v>
      </c>
      <c r="F269">
        <f>raw_data!F269</f>
        <v>7.77</v>
      </c>
      <c r="G269">
        <f>raw_data!G269</f>
        <v>23.56</v>
      </c>
      <c r="H269">
        <f>(raw_data!D269*weights!$B$2)+(raw_data!E269*weights!$B$3)+(raw_data!F269*weights!$B$4)</f>
        <v>23.561</v>
      </c>
      <c r="I269" t="str">
        <f t="shared" si="8"/>
        <v>Low</v>
      </c>
      <c r="J269" t="str">
        <f t="shared" si="9"/>
        <v>2013 Q2</v>
      </c>
      <c r="K269">
        <f>raw_data!H269</f>
        <v>3.34</v>
      </c>
      <c r="L269" s="13">
        <f>raw_data!I269</f>
        <v>17.88</v>
      </c>
      <c r="M269" s="13">
        <f>raw_data!J269</f>
        <v>2.33</v>
      </c>
    </row>
    <row r="270" spans="1:13" x14ac:dyDescent="0.2">
      <c r="A270" t="str">
        <f>raw_data!A270</f>
        <v>2013Q2</v>
      </c>
      <c r="B270" t="str">
        <f>raw_data!B270</f>
        <v>Victoria</v>
      </c>
      <c r="C270" t="str">
        <f>raw_data!C270</f>
        <v>Manufacturing</v>
      </c>
      <c r="D270">
        <f>raw_data!D270</f>
        <v>7.06</v>
      </c>
      <c r="E270">
        <f>raw_data!E270</f>
        <v>50</v>
      </c>
      <c r="F270">
        <f>raw_data!F270</f>
        <v>2.38</v>
      </c>
      <c r="G270">
        <f>raw_data!G270</f>
        <v>18.54</v>
      </c>
      <c r="H270">
        <f>(raw_data!D270*weights!$B$2)+(raw_data!E270*weights!$B$3)+(raw_data!F270*weights!$B$4)</f>
        <v>18.537999999999997</v>
      </c>
      <c r="I270" t="str">
        <f t="shared" si="8"/>
        <v>Low</v>
      </c>
      <c r="J270" t="str">
        <f t="shared" si="9"/>
        <v>2013 Q2</v>
      </c>
      <c r="K270">
        <f>raw_data!H270</f>
        <v>2.82</v>
      </c>
      <c r="L270" s="13">
        <f>raw_data!I270</f>
        <v>15</v>
      </c>
      <c r="M270" s="13">
        <f>raw_data!J270</f>
        <v>0.71</v>
      </c>
    </row>
    <row r="271" spans="1:13" x14ac:dyDescent="0.2">
      <c r="A271" t="str">
        <f>raw_data!A271</f>
        <v>2013Q2</v>
      </c>
      <c r="B271" t="str">
        <f>raw_data!B271</f>
        <v>Victoria</v>
      </c>
      <c r="C271" t="str">
        <f>raw_data!C271</f>
        <v>Professional, Scientific and Technical Services</v>
      </c>
      <c r="D271">
        <f>raw_data!D271</f>
        <v>15.38</v>
      </c>
      <c r="E271">
        <f>raw_data!E271</f>
        <v>48.08</v>
      </c>
      <c r="F271">
        <f>raw_data!F271</f>
        <v>9.26</v>
      </c>
      <c r="G271">
        <f>raw_data!G271</f>
        <v>23.35</v>
      </c>
      <c r="H271">
        <f>(raw_data!D271*weights!$B$2)+(raw_data!E271*weights!$B$3)+(raw_data!F271*weights!$B$4)</f>
        <v>23.353999999999999</v>
      </c>
      <c r="I271" t="str">
        <f t="shared" si="8"/>
        <v>Low</v>
      </c>
      <c r="J271" t="str">
        <f t="shared" si="9"/>
        <v>2013 Q2</v>
      </c>
      <c r="K271">
        <f>raw_data!H271</f>
        <v>6.15</v>
      </c>
      <c r="L271" s="13">
        <f>raw_data!I271</f>
        <v>14.42</v>
      </c>
      <c r="M271" s="13">
        <f>raw_data!J271</f>
        <v>2.78</v>
      </c>
    </row>
    <row r="272" spans="1:13" x14ac:dyDescent="0.2">
      <c r="A272" t="str">
        <f>raw_data!A272</f>
        <v>2013Q3</v>
      </c>
      <c r="B272" t="str">
        <f>raw_data!B272</f>
        <v>New South Wales</v>
      </c>
      <c r="C272" t="str">
        <f>raw_data!C272</f>
        <v>Accommodation and Food Services</v>
      </c>
      <c r="D272">
        <f>raw_data!D272</f>
        <v>13.45</v>
      </c>
      <c r="E272">
        <f>raw_data!E272</f>
        <v>38.46</v>
      </c>
      <c r="F272">
        <f>raw_data!F272</f>
        <v>3.24</v>
      </c>
      <c r="G272">
        <f>raw_data!G272</f>
        <v>17.89</v>
      </c>
      <c r="H272">
        <f>(raw_data!D272*weights!$B$2)+(raw_data!E272*weights!$B$3)+(raw_data!F272*weights!$B$4)</f>
        <v>17.89</v>
      </c>
      <c r="I272" t="str">
        <f t="shared" si="8"/>
        <v>Low</v>
      </c>
      <c r="J272" t="str">
        <f t="shared" si="9"/>
        <v>2013 Q3</v>
      </c>
      <c r="K272">
        <f>raw_data!H272</f>
        <v>5.38</v>
      </c>
      <c r="L272" s="13">
        <f>raw_data!I272</f>
        <v>11.54</v>
      </c>
      <c r="M272" s="13">
        <f>raw_data!J272</f>
        <v>0.97</v>
      </c>
    </row>
    <row r="273" spans="1:13" x14ac:dyDescent="0.2">
      <c r="A273" t="str">
        <f>raw_data!A273</f>
        <v>2013Q3</v>
      </c>
      <c r="B273" t="str">
        <f>raw_data!B273</f>
        <v>New South Wales</v>
      </c>
      <c r="C273" t="str">
        <f>raw_data!C273</f>
        <v>Construction</v>
      </c>
      <c r="D273">
        <f>raw_data!D273</f>
        <v>10.54</v>
      </c>
      <c r="E273">
        <f>raw_data!E273</f>
        <v>55.77</v>
      </c>
      <c r="F273">
        <f>raw_data!F273</f>
        <v>9.59</v>
      </c>
      <c r="G273">
        <f>raw_data!G273</f>
        <v>23.82</v>
      </c>
      <c r="H273">
        <f>(raw_data!D273*weights!$B$2)+(raw_data!E273*weights!$B$3)+(raw_data!F273*weights!$B$4)</f>
        <v>23.824000000000002</v>
      </c>
      <c r="I273" t="str">
        <f t="shared" si="8"/>
        <v>Low</v>
      </c>
      <c r="J273" t="str">
        <f t="shared" si="9"/>
        <v>2013 Q3</v>
      </c>
      <c r="K273">
        <f>raw_data!H273</f>
        <v>4.22</v>
      </c>
      <c r="L273" s="13">
        <f>raw_data!I273</f>
        <v>16.73</v>
      </c>
      <c r="M273" s="13">
        <f>raw_data!J273</f>
        <v>2.88</v>
      </c>
    </row>
    <row r="274" spans="1:13" x14ac:dyDescent="0.2">
      <c r="A274" t="str">
        <f>raw_data!A274</f>
        <v>2013Q3</v>
      </c>
      <c r="B274" t="str">
        <f>raw_data!B274</f>
        <v>New South Wales</v>
      </c>
      <c r="C274" t="str">
        <f>raw_data!C274</f>
        <v>Education and Training</v>
      </c>
      <c r="D274">
        <f>raw_data!D274</f>
        <v>2.79</v>
      </c>
      <c r="E274">
        <f>raw_data!E274</f>
        <v>40.380000000000003</v>
      </c>
      <c r="F274">
        <f>raw_data!F274</f>
        <v>3.72</v>
      </c>
      <c r="G274">
        <f>raw_data!G274</f>
        <v>14.35</v>
      </c>
      <c r="H274">
        <f>(raw_data!D274*weights!$B$2)+(raw_data!E274*weights!$B$3)+(raw_data!F274*weights!$B$4)</f>
        <v>14.346</v>
      </c>
      <c r="I274" t="str">
        <f t="shared" si="8"/>
        <v>Low</v>
      </c>
      <c r="J274" t="str">
        <f t="shared" si="9"/>
        <v>2013 Q3</v>
      </c>
      <c r="K274">
        <f>raw_data!H274</f>
        <v>1.1200000000000001</v>
      </c>
      <c r="L274" s="13">
        <f>raw_data!I274</f>
        <v>12.12</v>
      </c>
      <c r="M274" s="13">
        <f>raw_data!J274</f>
        <v>1.1200000000000001</v>
      </c>
    </row>
    <row r="275" spans="1:13" x14ac:dyDescent="0.2">
      <c r="A275" t="str">
        <f>raw_data!A275</f>
        <v>2013Q3</v>
      </c>
      <c r="B275" t="str">
        <f>raw_data!B275</f>
        <v>New South Wales</v>
      </c>
      <c r="C275" t="str">
        <f>raw_data!C275</f>
        <v>Health Care and Social Assistance</v>
      </c>
      <c r="D275">
        <f>raw_data!D275</f>
        <v>6.09</v>
      </c>
      <c r="E275">
        <f>raw_data!E275</f>
        <v>48.08</v>
      </c>
      <c r="F275">
        <f>raw_data!F275</f>
        <v>7.11</v>
      </c>
      <c r="G275">
        <f>raw_data!G275</f>
        <v>18.989999999999998</v>
      </c>
      <c r="H275">
        <f>(raw_data!D275*weights!$B$2)+(raw_data!E275*weights!$B$3)+(raw_data!F275*weights!$B$4)</f>
        <v>18.992999999999999</v>
      </c>
      <c r="I275" t="str">
        <f t="shared" si="8"/>
        <v>Low</v>
      </c>
      <c r="J275" t="str">
        <f t="shared" si="9"/>
        <v>2013 Q3</v>
      </c>
      <c r="K275">
        <f>raw_data!H275</f>
        <v>2.44</v>
      </c>
      <c r="L275" s="13">
        <f>raw_data!I275</f>
        <v>14.42</v>
      </c>
      <c r="M275" s="13">
        <f>raw_data!J275</f>
        <v>2.13</v>
      </c>
    </row>
    <row r="276" spans="1:13" x14ac:dyDescent="0.2">
      <c r="A276" t="str">
        <f>raw_data!A276</f>
        <v>2013Q3</v>
      </c>
      <c r="B276" t="str">
        <f>raw_data!B276</f>
        <v>New South Wales</v>
      </c>
      <c r="C276" t="str">
        <f>raw_data!C276</f>
        <v>Manufacturing</v>
      </c>
      <c r="D276">
        <f>raw_data!D276</f>
        <v>7.57</v>
      </c>
      <c r="E276">
        <f>raw_data!E276</f>
        <v>51.92</v>
      </c>
      <c r="F276">
        <f>raw_data!F276</f>
        <v>4.13</v>
      </c>
      <c r="G276">
        <f>raw_data!G276</f>
        <v>19.84</v>
      </c>
      <c r="H276">
        <f>(raw_data!D276*weights!$B$2)+(raw_data!E276*weights!$B$3)+(raw_data!F276*weights!$B$4)</f>
        <v>19.843</v>
      </c>
      <c r="I276" t="str">
        <f t="shared" si="8"/>
        <v>Low</v>
      </c>
      <c r="J276" t="str">
        <f t="shared" si="9"/>
        <v>2013 Q3</v>
      </c>
      <c r="K276">
        <f>raw_data!H276</f>
        <v>3.03</v>
      </c>
      <c r="L276" s="13">
        <f>raw_data!I276</f>
        <v>15.58</v>
      </c>
      <c r="M276" s="13">
        <f>raw_data!J276</f>
        <v>1.24</v>
      </c>
    </row>
    <row r="277" spans="1:13" x14ac:dyDescent="0.2">
      <c r="A277" t="str">
        <f>raw_data!A277</f>
        <v>2013Q3</v>
      </c>
      <c r="B277" t="str">
        <f>raw_data!B277</f>
        <v>New South Wales</v>
      </c>
      <c r="C277" t="str">
        <f>raw_data!C277</f>
        <v>Professional, Scientific and Technical Services</v>
      </c>
      <c r="D277">
        <f>raw_data!D277</f>
        <v>15.03</v>
      </c>
      <c r="E277">
        <f>raw_data!E277</f>
        <v>30.77</v>
      </c>
      <c r="F277">
        <f>raw_data!F277</f>
        <v>8.52</v>
      </c>
      <c r="G277">
        <f>raw_data!G277</f>
        <v>17.8</v>
      </c>
      <c r="H277">
        <f>(raw_data!D277*weights!$B$2)+(raw_data!E277*weights!$B$3)+(raw_data!F277*weights!$B$4)</f>
        <v>17.798999999999999</v>
      </c>
      <c r="I277" t="str">
        <f t="shared" si="8"/>
        <v>Low</v>
      </c>
      <c r="J277" t="str">
        <f t="shared" si="9"/>
        <v>2013 Q3</v>
      </c>
      <c r="K277">
        <f>raw_data!H277</f>
        <v>6.01</v>
      </c>
      <c r="L277" s="13">
        <f>raw_data!I277</f>
        <v>9.23</v>
      </c>
      <c r="M277" s="13">
        <f>raw_data!J277</f>
        <v>2.56</v>
      </c>
    </row>
    <row r="278" spans="1:13" x14ac:dyDescent="0.2">
      <c r="A278" t="str">
        <f>raw_data!A278</f>
        <v>2013Q3</v>
      </c>
      <c r="B278" t="str">
        <f>raw_data!B278</f>
        <v>Queensland</v>
      </c>
      <c r="C278" t="str">
        <f>raw_data!C278</f>
        <v>Accommodation and Food Services</v>
      </c>
      <c r="D278">
        <f>raw_data!D278</f>
        <v>22.81</v>
      </c>
      <c r="E278">
        <f>raw_data!E278</f>
        <v>38.46</v>
      </c>
      <c r="F278">
        <f>raw_data!F278</f>
        <v>4.78</v>
      </c>
      <c r="G278">
        <f>raw_data!G278</f>
        <v>22.1</v>
      </c>
      <c r="H278">
        <f>(raw_data!D278*weights!$B$2)+(raw_data!E278*weights!$B$3)+(raw_data!F278*weights!$B$4)</f>
        <v>22.096</v>
      </c>
      <c r="I278" t="str">
        <f t="shared" si="8"/>
        <v>Low</v>
      </c>
      <c r="J278" t="str">
        <f t="shared" si="9"/>
        <v>2013 Q3</v>
      </c>
      <c r="K278">
        <f>raw_data!H278</f>
        <v>9.1199999999999992</v>
      </c>
      <c r="L278" s="13">
        <f>raw_data!I278</f>
        <v>11.54</v>
      </c>
      <c r="M278" s="13">
        <f>raw_data!J278</f>
        <v>1.43</v>
      </c>
    </row>
    <row r="279" spans="1:13" x14ac:dyDescent="0.2">
      <c r="A279" t="str">
        <f>raw_data!A279</f>
        <v>2013Q3</v>
      </c>
      <c r="B279" t="str">
        <f>raw_data!B279</f>
        <v>Queensland</v>
      </c>
      <c r="C279" t="str">
        <f>raw_data!C279</f>
        <v>Construction</v>
      </c>
      <c r="D279">
        <f>raw_data!D279</f>
        <v>13.5</v>
      </c>
      <c r="E279">
        <f>raw_data!E279</f>
        <v>55.77</v>
      </c>
      <c r="F279">
        <f>raw_data!F279</f>
        <v>5.84</v>
      </c>
      <c r="G279">
        <f>raw_data!G279</f>
        <v>23.88</v>
      </c>
      <c r="H279">
        <f>(raw_data!D279*weights!$B$2)+(raw_data!E279*weights!$B$3)+(raw_data!F279*weights!$B$4)</f>
        <v>23.882999999999999</v>
      </c>
      <c r="I279" t="str">
        <f t="shared" si="8"/>
        <v>Low</v>
      </c>
      <c r="J279" t="str">
        <f t="shared" si="9"/>
        <v>2013 Q3</v>
      </c>
      <c r="K279">
        <f>raw_data!H279</f>
        <v>5.4</v>
      </c>
      <c r="L279" s="13">
        <f>raw_data!I279</f>
        <v>16.73</v>
      </c>
      <c r="M279" s="13">
        <f>raw_data!J279</f>
        <v>1.75</v>
      </c>
    </row>
    <row r="280" spans="1:13" x14ac:dyDescent="0.2">
      <c r="A280" t="str">
        <f>raw_data!A280</f>
        <v>2013Q3</v>
      </c>
      <c r="B280" t="str">
        <f>raw_data!B280</f>
        <v>Queensland</v>
      </c>
      <c r="C280" t="str">
        <f>raw_data!C280</f>
        <v>Education and Training</v>
      </c>
      <c r="D280">
        <f>raw_data!D280</f>
        <v>6.2</v>
      </c>
      <c r="E280">
        <f>raw_data!E280</f>
        <v>40.380000000000003</v>
      </c>
      <c r="F280">
        <f>raw_data!F280</f>
        <v>6.15</v>
      </c>
      <c r="G280">
        <f>raw_data!G280</f>
        <v>16.440000000000001</v>
      </c>
      <c r="H280">
        <f>(raw_data!D280*weights!$B$2)+(raw_data!E280*weights!$B$3)+(raw_data!F280*weights!$B$4)</f>
        <v>16.439</v>
      </c>
      <c r="I280" t="str">
        <f t="shared" si="8"/>
        <v>Low</v>
      </c>
      <c r="J280" t="str">
        <f t="shared" si="9"/>
        <v>2013 Q3</v>
      </c>
      <c r="K280">
        <f>raw_data!H280</f>
        <v>2.48</v>
      </c>
      <c r="L280" s="13">
        <f>raw_data!I280</f>
        <v>12.12</v>
      </c>
      <c r="M280" s="13">
        <f>raw_data!J280</f>
        <v>1.85</v>
      </c>
    </row>
    <row r="281" spans="1:13" x14ac:dyDescent="0.2">
      <c r="A281" t="str">
        <f>raw_data!A281</f>
        <v>2013Q3</v>
      </c>
      <c r="B281" t="str">
        <f>raw_data!B281</f>
        <v>Queensland</v>
      </c>
      <c r="C281" t="str">
        <f>raw_data!C281</f>
        <v>Health Care and Social Assistance</v>
      </c>
      <c r="D281">
        <f>raw_data!D281</f>
        <v>12.16</v>
      </c>
      <c r="E281">
        <f>raw_data!E281</f>
        <v>48.08</v>
      </c>
      <c r="F281">
        <f>raw_data!F281</f>
        <v>14.8</v>
      </c>
      <c r="G281">
        <f>raw_data!G281</f>
        <v>23.73</v>
      </c>
      <c r="H281">
        <f>(raw_data!D281*weights!$B$2)+(raw_data!E281*weights!$B$3)+(raw_data!F281*weights!$B$4)</f>
        <v>23.728000000000002</v>
      </c>
      <c r="I281" t="str">
        <f t="shared" si="8"/>
        <v>Low</v>
      </c>
      <c r="J281" t="str">
        <f t="shared" si="9"/>
        <v>2013 Q3</v>
      </c>
      <c r="K281">
        <f>raw_data!H281</f>
        <v>4.8600000000000003</v>
      </c>
      <c r="L281" s="13">
        <f>raw_data!I281</f>
        <v>14.42</v>
      </c>
      <c r="M281" s="13">
        <f>raw_data!J281</f>
        <v>4.4400000000000004</v>
      </c>
    </row>
    <row r="282" spans="1:13" x14ac:dyDescent="0.2">
      <c r="A282" t="str">
        <f>raw_data!A282</f>
        <v>2013Q3</v>
      </c>
      <c r="B282" t="str">
        <f>raw_data!B282</f>
        <v>Queensland</v>
      </c>
      <c r="C282" t="str">
        <f>raw_data!C282</f>
        <v>Manufacturing</v>
      </c>
      <c r="D282">
        <f>raw_data!D282</f>
        <v>12.62</v>
      </c>
      <c r="E282">
        <f>raw_data!E282</f>
        <v>51.92</v>
      </c>
      <c r="F282">
        <f>raw_data!F282</f>
        <v>7.2</v>
      </c>
      <c r="G282">
        <f>raw_data!G282</f>
        <v>22.78</v>
      </c>
      <c r="H282">
        <f>(raw_data!D282*weights!$B$2)+(raw_data!E282*weights!$B$3)+(raw_data!F282*weights!$B$4)</f>
        <v>22.784000000000002</v>
      </c>
      <c r="I282" t="str">
        <f t="shared" si="8"/>
        <v>Low</v>
      </c>
      <c r="J282" t="str">
        <f t="shared" si="9"/>
        <v>2013 Q3</v>
      </c>
      <c r="K282">
        <f>raw_data!H282</f>
        <v>5.05</v>
      </c>
      <c r="L282" s="13">
        <f>raw_data!I282</f>
        <v>15.58</v>
      </c>
      <c r="M282" s="13">
        <f>raw_data!J282</f>
        <v>2.16</v>
      </c>
    </row>
    <row r="283" spans="1:13" x14ac:dyDescent="0.2">
      <c r="A283" t="str">
        <f>raw_data!A283</f>
        <v>2013Q3</v>
      </c>
      <c r="B283" t="str">
        <f>raw_data!B283</f>
        <v>Queensland</v>
      </c>
      <c r="C283" t="str">
        <f>raw_data!C283</f>
        <v>Professional, Scientific and Technical Services</v>
      </c>
      <c r="D283">
        <f>raw_data!D283</f>
        <v>28.37</v>
      </c>
      <c r="E283">
        <f>raw_data!E283</f>
        <v>30.77</v>
      </c>
      <c r="F283">
        <f>raw_data!F283</f>
        <v>29.35</v>
      </c>
      <c r="G283">
        <f>raw_data!G283</f>
        <v>29.38</v>
      </c>
      <c r="H283">
        <f>(raw_data!D283*weights!$B$2)+(raw_data!E283*weights!$B$3)+(raw_data!F283*weights!$B$4)</f>
        <v>29.384</v>
      </c>
      <c r="I283" t="str">
        <f t="shared" si="8"/>
        <v>Moderate</v>
      </c>
      <c r="J283" t="str">
        <f t="shared" si="9"/>
        <v>2013 Q3</v>
      </c>
      <c r="K283">
        <f>raw_data!H283</f>
        <v>11.35</v>
      </c>
      <c r="L283" s="13">
        <f>raw_data!I283</f>
        <v>9.23</v>
      </c>
      <c r="M283" s="13">
        <f>raw_data!J283</f>
        <v>8.8000000000000007</v>
      </c>
    </row>
    <row r="284" spans="1:13" x14ac:dyDescent="0.2">
      <c r="A284" t="str">
        <f>raw_data!A284</f>
        <v>2013Q3</v>
      </c>
      <c r="B284" t="str">
        <f>raw_data!B284</f>
        <v>Victoria</v>
      </c>
      <c r="C284" t="str">
        <f>raw_data!C284</f>
        <v>Accommodation and Food Services</v>
      </c>
      <c r="D284">
        <f>raw_data!D284</f>
        <v>16.82</v>
      </c>
      <c r="E284">
        <f>raw_data!E284</f>
        <v>38.46</v>
      </c>
      <c r="F284">
        <f>raw_data!F284</f>
        <v>6.99</v>
      </c>
      <c r="G284">
        <f>raw_data!G284</f>
        <v>20.37</v>
      </c>
      <c r="H284">
        <f>(raw_data!D284*weights!$B$2)+(raw_data!E284*weights!$B$3)+(raw_data!F284*weights!$B$4)</f>
        <v>20.363000000000003</v>
      </c>
      <c r="I284" t="str">
        <f t="shared" si="8"/>
        <v>Low</v>
      </c>
      <c r="J284" t="str">
        <f t="shared" si="9"/>
        <v>2013 Q3</v>
      </c>
      <c r="K284">
        <f>raw_data!H284</f>
        <v>6.73</v>
      </c>
      <c r="L284" s="13">
        <f>raw_data!I284</f>
        <v>11.54</v>
      </c>
      <c r="M284" s="13">
        <f>raw_data!J284</f>
        <v>2.1</v>
      </c>
    </row>
    <row r="285" spans="1:13" x14ac:dyDescent="0.2">
      <c r="A285" t="str">
        <f>raw_data!A285</f>
        <v>2013Q3</v>
      </c>
      <c r="B285" t="str">
        <f>raw_data!B285</f>
        <v>Victoria</v>
      </c>
      <c r="C285" t="str">
        <f>raw_data!C285</f>
        <v>Construction</v>
      </c>
      <c r="D285">
        <f>raw_data!D285</f>
        <v>12.54</v>
      </c>
      <c r="E285">
        <f>raw_data!E285</f>
        <v>55.77</v>
      </c>
      <c r="F285">
        <f>raw_data!F285</f>
        <v>3.95</v>
      </c>
      <c r="G285">
        <f>raw_data!G285</f>
        <v>22.93</v>
      </c>
      <c r="H285">
        <f>(raw_data!D285*weights!$B$2)+(raw_data!E285*weights!$B$3)+(raw_data!F285*weights!$B$4)</f>
        <v>22.931999999999999</v>
      </c>
      <c r="I285" t="str">
        <f t="shared" si="8"/>
        <v>Low</v>
      </c>
      <c r="J285" t="str">
        <f t="shared" si="9"/>
        <v>2013 Q3</v>
      </c>
      <c r="K285">
        <f>raw_data!H285</f>
        <v>5.0199999999999996</v>
      </c>
      <c r="L285" s="13">
        <f>raw_data!I285</f>
        <v>16.73</v>
      </c>
      <c r="M285" s="13">
        <f>raw_data!J285</f>
        <v>1.19</v>
      </c>
    </row>
    <row r="286" spans="1:13" x14ac:dyDescent="0.2">
      <c r="A286" t="str">
        <f>raw_data!A286</f>
        <v>2013Q3</v>
      </c>
      <c r="B286" t="str">
        <f>raw_data!B286</f>
        <v>Victoria</v>
      </c>
      <c r="C286" t="str">
        <f>raw_data!C286</f>
        <v>Education and Training</v>
      </c>
      <c r="D286">
        <f>raw_data!D286</f>
        <v>4.09</v>
      </c>
      <c r="E286">
        <f>raw_data!E286</f>
        <v>40.380000000000003</v>
      </c>
      <c r="F286">
        <f>raw_data!F286</f>
        <v>6.82</v>
      </c>
      <c r="G286">
        <f>raw_data!G286</f>
        <v>15.8</v>
      </c>
      <c r="H286">
        <f>(raw_data!D286*weights!$B$2)+(raw_data!E286*weights!$B$3)+(raw_data!F286*weights!$B$4)</f>
        <v>15.795999999999999</v>
      </c>
      <c r="I286" t="str">
        <f t="shared" si="8"/>
        <v>Low</v>
      </c>
      <c r="J286" t="str">
        <f t="shared" si="9"/>
        <v>2013 Q3</v>
      </c>
      <c r="K286">
        <f>raw_data!H286</f>
        <v>1.64</v>
      </c>
      <c r="L286" s="13">
        <f>raw_data!I286</f>
        <v>12.12</v>
      </c>
      <c r="M286" s="13">
        <f>raw_data!J286</f>
        <v>2.0499999999999998</v>
      </c>
    </row>
    <row r="287" spans="1:13" x14ac:dyDescent="0.2">
      <c r="A287" t="str">
        <f>raw_data!A287</f>
        <v>2013Q3</v>
      </c>
      <c r="B287" t="str">
        <f>raw_data!B287</f>
        <v>Victoria</v>
      </c>
      <c r="C287" t="str">
        <f>raw_data!C287</f>
        <v>Health Care and Social Assistance</v>
      </c>
      <c r="D287">
        <f>raw_data!D287</f>
        <v>8.5500000000000007</v>
      </c>
      <c r="E287">
        <f>raw_data!E287</f>
        <v>48.08</v>
      </c>
      <c r="F287">
        <f>raw_data!F287</f>
        <v>8.8800000000000008</v>
      </c>
      <c r="G287">
        <f>raw_data!G287</f>
        <v>20.51</v>
      </c>
      <c r="H287">
        <f>(raw_data!D287*weights!$B$2)+(raw_data!E287*weights!$B$3)+(raw_data!F287*weights!$B$4)</f>
        <v>20.508000000000003</v>
      </c>
      <c r="I287" t="str">
        <f t="shared" si="8"/>
        <v>Low</v>
      </c>
      <c r="J287" t="str">
        <f t="shared" si="9"/>
        <v>2013 Q3</v>
      </c>
      <c r="K287">
        <f>raw_data!H287</f>
        <v>3.42</v>
      </c>
      <c r="L287" s="13">
        <f>raw_data!I287</f>
        <v>14.42</v>
      </c>
      <c r="M287" s="13">
        <f>raw_data!J287</f>
        <v>2.66</v>
      </c>
    </row>
    <row r="288" spans="1:13" x14ac:dyDescent="0.2">
      <c r="A288" t="str">
        <f>raw_data!A288</f>
        <v>2013Q3</v>
      </c>
      <c r="B288" t="str">
        <f>raw_data!B288</f>
        <v>Victoria</v>
      </c>
      <c r="C288" t="str">
        <f>raw_data!C288</f>
        <v>Manufacturing</v>
      </c>
      <c r="D288">
        <f>raw_data!D288</f>
        <v>6.87</v>
      </c>
      <c r="E288">
        <f>raw_data!E288</f>
        <v>51.92</v>
      </c>
      <c r="F288">
        <f>raw_data!F288</f>
        <v>2.4700000000000002</v>
      </c>
      <c r="G288">
        <f>raw_data!G288</f>
        <v>19.07</v>
      </c>
      <c r="H288">
        <f>(raw_data!D288*weights!$B$2)+(raw_data!E288*weights!$B$3)+(raw_data!F288*weights!$B$4)</f>
        <v>19.065000000000001</v>
      </c>
      <c r="I288" t="str">
        <f t="shared" si="8"/>
        <v>Low</v>
      </c>
      <c r="J288" t="str">
        <f t="shared" si="9"/>
        <v>2013 Q3</v>
      </c>
      <c r="K288">
        <f>raw_data!H288</f>
        <v>2.75</v>
      </c>
      <c r="L288" s="13">
        <f>raw_data!I288</f>
        <v>15.58</v>
      </c>
      <c r="M288" s="13">
        <f>raw_data!J288</f>
        <v>0.74</v>
      </c>
    </row>
    <row r="289" spans="1:13" x14ac:dyDescent="0.2">
      <c r="A289" t="str">
        <f>raw_data!A289</f>
        <v>2013Q3</v>
      </c>
      <c r="B289" t="str">
        <f>raw_data!B289</f>
        <v>Victoria</v>
      </c>
      <c r="C289" t="str">
        <f>raw_data!C289</f>
        <v>Professional, Scientific and Technical Services</v>
      </c>
      <c r="D289">
        <f>raw_data!D289</f>
        <v>16.329999999999998</v>
      </c>
      <c r="E289">
        <f>raw_data!E289</f>
        <v>30.77</v>
      </c>
      <c r="F289">
        <f>raw_data!F289</f>
        <v>13.54</v>
      </c>
      <c r="G289">
        <f>raw_data!G289</f>
        <v>19.829999999999998</v>
      </c>
      <c r="H289">
        <f>(raw_data!D289*weights!$B$2)+(raw_data!E289*weights!$B$3)+(raw_data!F289*weights!$B$4)</f>
        <v>19.824999999999999</v>
      </c>
      <c r="I289" t="str">
        <f t="shared" si="8"/>
        <v>Low</v>
      </c>
      <c r="J289" t="str">
        <f t="shared" si="9"/>
        <v>2013 Q3</v>
      </c>
      <c r="K289">
        <f>raw_data!H289</f>
        <v>6.53</v>
      </c>
      <c r="L289" s="13">
        <f>raw_data!I289</f>
        <v>9.23</v>
      </c>
      <c r="M289" s="13">
        <f>raw_data!J289</f>
        <v>4.0599999999999996</v>
      </c>
    </row>
    <row r="290" spans="1:13" x14ac:dyDescent="0.2">
      <c r="A290" t="str">
        <f>raw_data!A290</f>
        <v>2013Q4</v>
      </c>
      <c r="B290" t="str">
        <f>raw_data!B290</f>
        <v>New South Wales</v>
      </c>
      <c r="C290" t="str">
        <f>raw_data!C290</f>
        <v>Accommodation and Food Services</v>
      </c>
      <c r="D290">
        <f>raw_data!D290</f>
        <v>23.48</v>
      </c>
      <c r="E290">
        <f>raw_data!E290</f>
        <v>36.54</v>
      </c>
      <c r="F290">
        <f>raw_data!F290</f>
        <v>5.76</v>
      </c>
      <c r="G290">
        <f>raw_data!G290</f>
        <v>22.08</v>
      </c>
      <c r="H290">
        <f>(raw_data!D290*weights!$B$2)+(raw_data!E290*weights!$B$3)+(raw_data!F290*weights!$B$4)</f>
        <v>22.082000000000001</v>
      </c>
      <c r="I290" t="str">
        <f t="shared" si="8"/>
        <v>Low</v>
      </c>
      <c r="J290" t="str">
        <f t="shared" si="9"/>
        <v>2013 Q4</v>
      </c>
      <c r="K290">
        <f>raw_data!H290</f>
        <v>9.39</v>
      </c>
      <c r="L290" s="13">
        <f>raw_data!I290</f>
        <v>10.96</v>
      </c>
      <c r="M290" s="13">
        <f>raw_data!J290</f>
        <v>1.73</v>
      </c>
    </row>
    <row r="291" spans="1:13" x14ac:dyDescent="0.2">
      <c r="A291" t="str">
        <f>raw_data!A291</f>
        <v>2013Q4</v>
      </c>
      <c r="B291" t="str">
        <f>raw_data!B291</f>
        <v>New South Wales</v>
      </c>
      <c r="C291" t="str">
        <f>raw_data!C291</f>
        <v>Construction</v>
      </c>
      <c r="D291">
        <f>raw_data!D291</f>
        <v>8.14</v>
      </c>
      <c r="E291">
        <f>raw_data!E291</f>
        <v>48.08</v>
      </c>
      <c r="F291">
        <f>raw_data!F291</f>
        <v>4.28</v>
      </c>
      <c r="G291">
        <f>raw_data!G291</f>
        <v>18.96</v>
      </c>
      <c r="H291">
        <f>(raw_data!D291*weights!$B$2)+(raw_data!E291*weights!$B$3)+(raw_data!F291*weights!$B$4)</f>
        <v>18.963999999999999</v>
      </c>
      <c r="I291" t="str">
        <f t="shared" si="8"/>
        <v>Low</v>
      </c>
      <c r="J291" t="str">
        <f t="shared" si="9"/>
        <v>2013 Q4</v>
      </c>
      <c r="K291">
        <f>raw_data!H291</f>
        <v>3.25</v>
      </c>
      <c r="L291" s="13">
        <f>raw_data!I291</f>
        <v>14.42</v>
      </c>
      <c r="M291" s="13">
        <f>raw_data!J291</f>
        <v>1.28</v>
      </c>
    </row>
    <row r="292" spans="1:13" x14ac:dyDescent="0.2">
      <c r="A292" t="str">
        <f>raw_data!A292</f>
        <v>2013Q4</v>
      </c>
      <c r="B292" t="str">
        <f>raw_data!B292</f>
        <v>New South Wales</v>
      </c>
      <c r="C292" t="str">
        <f>raw_data!C292</f>
        <v>Education and Training</v>
      </c>
      <c r="D292">
        <f>raw_data!D292</f>
        <v>0.88</v>
      </c>
      <c r="E292">
        <f>raw_data!E292</f>
        <v>50</v>
      </c>
      <c r="F292">
        <f>raw_data!F292</f>
        <v>2.36</v>
      </c>
      <c r="G292">
        <f>raw_data!G292</f>
        <v>16.059999999999999</v>
      </c>
      <c r="H292">
        <f>(raw_data!D292*weights!$B$2)+(raw_data!E292*weights!$B$3)+(raw_data!F292*weights!$B$4)</f>
        <v>16.059999999999999</v>
      </c>
      <c r="I292" t="str">
        <f t="shared" si="8"/>
        <v>Low</v>
      </c>
      <c r="J292" t="str">
        <f t="shared" si="9"/>
        <v>2013 Q4</v>
      </c>
      <c r="K292">
        <f>raw_data!H292</f>
        <v>0.35</v>
      </c>
      <c r="L292" s="13">
        <f>raw_data!I292</f>
        <v>15</v>
      </c>
      <c r="M292" s="13">
        <f>raw_data!J292</f>
        <v>0.71</v>
      </c>
    </row>
    <row r="293" spans="1:13" x14ac:dyDescent="0.2">
      <c r="A293" t="str">
        <f>raw_data!A293</f>
        <v>2013Q4</v>
      </c>
      <c r="B293" t="str">
        <f>raw_data!B293</f>
        <v>New South Wales</v>
      </c>
      <c r="C293" t="str">
        <f>raw_data!C293</f>
        <v>Health Care and Social Assistance</v>
      </c>
      <c r="D293">
        <f>raw_data!D293</f>
        <v>6.24</v>
      </c>
      <c r="E293">
        <f>raw_data!E293</f>
        <v>46.15</v>
      </c>
      <c r="F293">
        <f>raw_data!F293</f>
        <v>11.05</v>
      </c>
      <c r="G293">
        <f>raw_data!G293</f>
        <v>19.66</v>
      </c>
      <c r="H293">
        <f>(raw_data!D293*weights!$B$2)+(raw_data!E293*weights!$B$3)+(raw_data!F293*weights!$B$4)</f>
        <v>19.656000000000002</v>
      </c>
      <c r="I293" t="str">
        <f t="shared" si="8"/>
        <v>Low</v>
      </c>
      <c r="J293" t="str">
        <f t="shared" si="9"/>
        <v>2013 Q4</v>
      </c>
      <c r="K293">
        <f>raw_data!H293</f>
        <v>2.5</v>
      </c>
      <c r="L293" s="13">
        <f>raw_data!I293</f>
        <v>13.85</v>
      </c>
      <c r="M293" s="13">
        <f>raw_data!J293</f>
        <v>3.32</v>
      </c>
    </row>
    <row r="294" spans="1:13" x14ac:dyDescent="0.2">
      <c r="A294" t="str">
        <f>raw_data!A294</f>
        <v>2013Q4</v>
      </c>
      <c r="B294" t="str">
        <f>raw_data!B294</f>
        <v>New South Wales</v>
      </c>
      <c r="C294" t="str">
        <f>raw_data!C294</f>
        <v>Manufacturing</v>
      </c>
      <c r="D294">
        <f>raw_data!D294</f>
        <v>4.25</v>
      </c>
      <c r="E294">
        <f>raw_data!E294</f>
        <v>48.08</v>
      </c>
      <c r="F294">
        <f>raw_data!F294</f>
        <v>1.74</v>
      </c>
      <c r="G294">
        <f>raw_data!G294</f>
        <v>16.649999999999999</v>
      </c>
      <c r="H294">
        <f>(raw_data!D294*weights!$B$2)+(raw_data!E294*weights!$B$3)+(raw_data!F294*weights!$B$4)</f>
        <v>16.645999999999997</v>
      </c>
      <c r="I294" t="str">
        <f t="shared" si="8"/>
        <v>Low</v>
      </c>
      <c r="J294" t="str">
        <f t="shared" si="9"/>
        <v>2013 Q4</v>
      </c>
      <c r="K294">
        <f>raw_data!H294</f>
        <v>1.7</v>
      </c>
      <c r="L294" s="13">
        <f>raw_data!I294</f>
        <v>14.42</v>
      </c>
      <c r="M294" s="13">
        <f>raw_data!J294</f>
        <v>0.52</v>
      </c>
    </row>
    <row r="295" spans="1:13" x14ac:dyDescent="0.2">
      <c r="A295" t="str">
        <f>raw_data!A295</f>
        <v>2013Q4</v>
      </c>
      <c r="B295" t="str">
        <f>raw_data!B295</f>
        <v>New South Wales</v>
      </c>
      <c r="C295" t="str">
        <f>raw_data!C295</f>
        <v>Professional, Scientific and Technical Services</v>
      </c>
      <c r="D295">
        <f>raw_data!D295</f>
        <v>13.07</v>
      </c>
      <c r="E295">
        <f>raw_data!E295</f>
        <v>25</v>
      </c>
      <c r="F295">
        <f>raw_data!F295</f>
        <v>8.7899999999999991</v>
      </c>
      <c r="G295">
        <f>raw_data!G295</f>
        <v>15.37</v>
      </c>
      <c r="H295">
        <f>(raw_data!D295*weights!$B$2)+(raw_data!E295*weights!$B$3)+(raw_data!F295*weights!$B$4)</f>
        <v>15.365000000000002</v>
      </c>
      <c r="I295" t="str">
        <f t="shared" si="8"/>
        <v>Low</v>
      </c>
      <c r="J295" t="str">
        <f t="shared" si="9"/>
        <v>2013 Q4</v>
      </c>
      <c r="K295">
        <f>raw_data!H295</f>
        <v>5.23</v>
      </c>
      <c r="L295" s="13">
        <f>raw_data!I295</f>
        <v>7.5</v>
      </c>
      <c r="M295" s="13">
        <f>raw_data!J295</f>
        <v>2.64</v>
      </c>
    </row>
    <row r="296" spans="1:13" x14ac:dyDescent="0.2">
      <c r="A296" t="str">
        <f>raw_data!A296</f>
        <v>2013Q4</v>
      </c>
      <c r="B296" t="str">
        <f>raw_data!B296</f>
        <v>Queensland</v>
      </c>
      <c r="C296" t="str">
        <f>raw_data!C296</f>
        <v>Accommodation and Food Services</v>
      </c>
      <c r="D296">
        <f>raw_data!D296</f>
        <v>39.270000000000003</v>
      </c>
      <c r="E296">
        <f>raw_data!E296</f>
        <v>36.54</v>
      </c>
      <c r="F296">
        <f>raw_data!F296</f>
        <v>8.61</v>
      </c>
      <c r="G296">
        <f>raw_data!G296</f>
        <v>29.25</v>
      </c>
      <c r="H296">
        <f>(raw_data!D296*weights!$B$2)+(raw_data!E296*weights!$B$3)+(raw_data!F296*weights!$B$4)</f>
        <v>29.253</v>
      </c>
      <c r="I296" t="str">
        <f t="shared" si="8"/>
        <v>Moderate</v>
      </c>
      <c r="J296" t="str">
        <f t="shared" si="9"/>
        <v>2013 Q4</v>
      </c>
      <c r="K296">
        <f>raw_data!H296</f>
        <v>15.71</v>
      </c>
      <c r="L296" s="13">
        <f>raw_data!I296</f>
        <v>10.96</v>
      </c>
      <c r="M296" s="13">
        <f>raw_data!J296</f>
        <v>2.58</v>
      </c>
    </row>
    <row r="297" spans="1:13" x14ac:dyDescent="0.2">
      <c r="A297" t="str">
        <f>raw_data!A297</f>
        <v>2013Q4</v>
      </c>
      <c r="B297" t="str">
        <f>raw_data!B297</f>
        <v>Queensland</v>
      </c>
      <c r="C297" t="str">
        <f>raw_data!C297</f>
        <v>Construction</v>
      </c>
      <c r="D297">
        <f>raw_data!D297</f>
        <v>10.08</v>
      </c>
      <c r="E297">
        <f>raw_data!E297</f>
        <v>48.08</v>
      </c>
      <c r="F297">
        <f>raw_data!F297</f>
        <v>4.6500000000000004</v>
      </c>
      <c r="G297">
        <f>raw_data!G297</f>
        <v>19.850000000000001</v>
      </c>
      <c r="H297">
        <f>(raw_data!D297*weights!$B$2)+(raw_data!E297*weights!$B$3)+(raw_data!F297*weights!$B$4)</f>
        <v>19.850999999999999</v>
      </c>
      <c r="I297" t="str">
        <f t="shared" si="8"/>
        <v>Low</v>
      </c>
      <c r="J297" t="str">
        <f t="shared" si="9"/>
        <v>2013 Q4</v>
      </c>
      <c r="K297">
        <f>raw_data!H297</f>
        <v>4.03</v>
      </c>
      <c r="L297" s="13">
        <f>raw_data!I297</f>
        <v>14.42</v>
      </c>
      <c r="M297" s="13">
        <f>raw_data!J297</f>
        <v>1.4</v>
      </c>
    </row>
    <row r="298" spans="1:13" x14ac:dyDescent="0.2">
      <c r="A298" t="str">
        <f>raw_data!A298</f>
        <v>2013Q4</v>
      </c>
      <c r="B298" t="str">
        <f>raw_data!B298</f>
        <v>Queensland</v>
      </c>
      <c r="C298" t="str">
        <f>raw_data!C298</f>
        <v>Education and Training</v>
      </c>
      <c r="D298">
        <f>raw_data!D298</f>
        <v>2.96</v>
      </c>
      <c r="E298">
        <f>raw_data!E298</f>
        <v>50</v>
      </c>
      <c r="F298">
        <f>raw_data!F298</f>
        <v>6.57</v>
      </c>
      <c r="G298">
        <f>raw_data!G298</f>
        <v>18.16</v>
      </c>
      <c r="H298">
        <f>(raw_data!D298*weights!$B$2)+(raw_data!E298*weights!$B$3)+(raw_data!F298*weights!$B$4)</f>
        <v>18.155000000000001</v>
      </c>
      <c r="I298" t="str">
        <f t="shared" si="8"/>
        <v>Low</v>
      </c>
      <c r="J298" t="str">
        <f t="shared" si="9"/>
        <v>2013 Q4</v>
      </c>
      <c r="K298">
        <f>raw_data!H298</f>
        <v>1.19</v>
      </c>
      <c r="L298" s="13">
        <f>raw_data!I298</f>
        <v>15</v>
      </c>
      <c r="M298" s="13">
        <f>raw_data!J298</f>
        <v>1.97</v>
      </c>
    </row>
    <row r="299" spans="1:13" x14ac:dyDescent="0.2">
      <c r="A299" t="str">
        <f>raw_data!A299</f>
        <v>2013Q4</v>
      </c>
      <c r="B299" t="str">
        <f>raw_data!B299</f>
        <v>Queensland</v>
      </c>
      <c r="C299" t="str">
        <f>raw_data!C299</f>
        <v>Health Care and Social Assistance</v>
      </c>
      <c r="D299">
        <f>raw_data!D299</f>
        <v>11.11</v>
      </c>
      <c r="E299">
        <f>raw_data!E299</f>
        <v>46.15</v>
      </c>
      <c r="F299">
        <f>raw_data!F299</f>
        <v>9.2899999999999991</v>
      </c>
      <c r="G299">
        <f>raw_data!G299</f>
        <v>21.08</v>
      </c>
      <c r="H299">
        <f>(raw_data!D299*weights!$B$2)+(raw_data!E299*weights!$B$3)+(raw_data!F299*weights!$B$4)</f>
        <v>21.075999999999997</v>
      </c>
      <c r="I299" t="str">
        <f t="shared" si="8"/>
        <v>Low</v>
      </c>
      <c r="J299" t="str">
        <f t="shared" si="9"/>
        <v>2013 Q4</v>
      </c>
      <c r="K299">
        <f>raw_data!H299</f>
        <v>4.4400000000000004</v>
      </c>
      <c r="L299" s="13">
        <f>raw_data!I299</f>
        <v>13.85</v>
      </c>
      <c r="M299" s="13">
        <f>raw_data!J299</f>
        <v>2.79</v>
      </c>
    </row>
    <row r="300" spans="1:13" x14ac:dyDescent="0.2">
      <c r="A300" t="str">
        <f>raw_data!A300</f>
        <v>2013Q4</v>
      </c>
      <c r="B300" t="str">
        <f>raw_data!B300</f>
        <v>Queensland</v>
      </c>
      <c r="C300" t="str">
        <f>raw_data!C300</f>
        <v>Manufacturing</v>
      </c>
      <c r="D300">
        <f>raw_data!D300</f>
        <v>6.74</v>
      </c>
      <c r="E300">
        <f>raw_data!E300</f>
        <v>48.08</v>
      </c>
      <c r="F300">
        <f>raw_data!F300</f>
        <v>4</v>
      </c>
      <c r="G300">
        <f>raw_data!G300</f>
        <v>18.32</v>
      </c>
      <c r="H300">
        <f>(raw_data!D300*weights!$B$2)+(raw_data!E300*weights!$B$3)+(raw_data!F300*weights!$B$4)</f>
        <v>18.32</v>
      </c>
      <c r="I300" t="str">
        <f t="shared" si="8"/>
        <v>Low</v>
      </c>
      <c r="J300" t="str">
        <f t="shared" si="9"/>
        <v>2013 Q4</v>
      </c>
      <c r="K300">
        <f>raw_data!H300</f>
        <v>2.7</v>
      </c>
      <c r="L300" s="13">
        <f>raw_data!I300</f>
        <v>14.42</v>
      </c>
      <c r="M300" s="13">
        <f>raw_data!J300</f>
        <v>1.2</v>
      </c>
    </row>
    <row r="301" spans="1:13" x14ac:dyDescent="0.2">
      <c r="A301" t="str">
        <f>raw_data!A301</f>
        <v>2013Q4</v>
      </c>
      <c r="B301" t="str">
        <f>raw_data!B301</f>
        <v>Queensland</v>
      </c>
      <c r="C301" t="str">
        <f>raw_data!C301</f>
        <v>Professional, Scientific and Technical Services</v>
      </c>
      <c r="D301">
        <f>raw_data!D301</f>
        <v>28.89</v>
      </c>
      <c r="E301">
        <f>raw_data!E301</f>
        <v>25</v>
      </c>
      <c r="F301">
        <f>raw_data!F301</f>
        <v>34.21</v>
      </c>
      <c r="G301">
        <f>raw_data!G301</f>
        <v>29.32</v>
      </c>
      <c r="H301">
        <f>(raw_data!D301*weights!$B$2)+(raw_data!E301*weights!$B$3)+(raw_data!F301*weights!$B$4)</f>
        <v>29.319000000000003</v>
      </c>
      <c r="I301" t="str">
        <f t="shared" si="8"/>
        <v>Moderate</v>
      </c>
      <c r="J301" t="str">
        <f t="shared" si="9"/>
        <v>2013 Q4</v>
      </c>
      <c r="K301">
        <f>raw_data!H301</f>
        <v>11.56</v>
      </c>
      <c r="L301" s="13">
        <f>raw_data!I301</f>
        <v>7.5</v>
      </c>
      <c r="M301" s="13">
        <f>raw_data!J301</f>
        <v>10.26</v>
      </c>
    </row>
    <row r="302" spans="1:13" x14ac:dyDescent="0.2">
      <c r="A302" t="str">
        <f>raw_data!A302</f>
        <v>2013Q4</v>
      </c>
      <c r="B302" t="str">
        <f>raw_data!B302</f>
        <v>Victoria</v>
      </c>
      <c r="C302" t="str">
        <f>raw_data!C302</f>
        <v>Accommodation and Food Services</v>
      </c>
      <c r="D302">
        <f>raw_data!D302</f>
        <v>30.09</v>
      </c>
      <c r="E302">
        <f>raw_data!E302</f>
        <v>36.54</v>
      </c>
      <c r="F302">
        <f>raw_data!F302</f>
        <v>7.13</v>
      </c>
      <c r="G302">
        <f>raw_data!G302</f>
        <v>25.14</v>
      </c>
      <c r="H302">
        <f>(raw_data!D302*weights!$B$2)+(raw_data!E302*weights!$B$3)+(raw_data!F302*weights!$B$4)</f>
        <v>25.137</v>
      </c>
      <c r="I302" t="str">
        <f t="shared" si="8"/>
        <v>Moderate</v>
      </c>
      <c r="J302" t="str">
        <f t="shared" si="9"/>
        <v>2013 Q4</v>
      </c>
      <c r="K302">
        <f>raw_data!H302</f>
        <v>12.04</v>
      </c>
      <c r="L302" s="13">
        <f>raw_data!I302</f>
        <v>10.96</v>
      </c>
      <c r="M302" s="13">
        <f>raw_data!J302</f>
        <v>2.14</v>
      </c>
    </row>
    <row r="303" spans="1:13" x14ac:dyDescent="0.2">
      <c r="A303" t="str">
        <f>raw_data!A303</f>
        <v>2013Q4</v>
      </c>
      <c r="B303" t="str">
        <f>raw_data!B303</f>
        <v>Victoria</v>
      </c>
      <c r="C303" t="str">
        <f>raw_data!C303</f>
        <v>Construction</v>
      </c>
      <c r="D303">
        <f>raw_data!D303</f>
        <v>9.41</v>
      </c>
      <c r="E303">
        <f>raw_data!E303</f>
        <v>48.08</v>
      </c>
      <c r="F303">
        <f>raw_data!F303</f>
        <v>4.25</v>
      </c>
      <c r="G303">
        <f>raw_data!G303</f>
        <v>19.46</v>
      </c>
      <c r="H303">
        <f>(raw_data!D303*weights!$B$2)+(raw_data!E303*weights!$B$3)+(raw_data!F303*weights!$B$4)</f>
        <v>19.462999999999997</v>
      </c>
      <c r="I303" t="str">
        <f t="shared" si="8"/>
        <v>Low</v>
      </c>
      <c r="J303" t="str">
        <f t="shared" si="9"/>
        <v>2013 Q4</v>
      </c>
      <c r="K303">
        <f>raw_data!H303</f>
        <v>3.76</v>
      </c>
      <c r="L303" s="13">
        <f>raw_data!I303</f>
        <v>14.42</v>
      </c>
      <c r="M303" s="13">
        <f>raw_data!J303</f>
        <v>1.28</v>
      </c>
    </row>
    <row r="304" spans="1:13" x14ac:dyDescent="0.2">
      <c r="A304" t="str">
        <f>raw_data!A304</f>
        <v>2013Q4</v>
      </c>
      <c r="B304" t="str">
        <f>raw_data!B304</f>
        <v>Victoria</v>
      </c>
      <c r="C304" t="str">
        <f>raw_data!C304</f>
        <v>Education and Training</v>
      </c>
      <c r="D304">
        <f>raw_data!D304</f>
        <v>1.5</v>
      </c>
      <c r="E304">
        <f>raw_data!E304</f>
        <v>50</v>
      </c>
      <c r="F304">
        <f>raw_data!F304</f>
        <v>2.52</v>
      </c>
      <c r="G304">
        <f>raw_data!G304</f>
        <v>16.350000000000001</v>
      </c>
      <c r="H304">
        <f>(raw_data!D304*weights!$B$2)+(raw_data!E304*weights!$B$3)+(raw_data!F304*weights!$B$4)</f>
        <v>16.355999999999998</v>
      </c>
      <c r="I304" t="str">
        <f t="shared" si="8"/>
        <v>Low</v>
      </c>
      <c r="J304" t="str">
        <f t="shared" si="9"/>
        <v>2013 Q4</v>
      </c>
      <c r="K304">
        <f>raw_data!H304</f>
        <v>0.6</v>
      </c>
      <c r="L304" s="13">
        <f>raw_data!I304</f>
        <v>15</v>
      </c>
      <c r="M304" s="13">
        <f>raw_data!J304</f>
        <v>0.76</v>
      </c>
    </row>
    <row r="305" spans="1:13" x14ac:dyDescent="0.2">
      <c r="A305" t="str">
        <f>raw_data!A305</f>
        <v>2013Q4</v>
      </c>
      <c r="B305" t="str">
        <f>raw_data!B305</f>
        <v>Victoria</v>
      </c>
      <c r="C305" t="str">
        <f>raw_data!C305</f>
        <v>Health Care and Social Assistance</v>
      </c>
      <c r="D305">
        <f>raw_data!D305</f>
        <v>8.1999999999999993</v>
      </c>
      <c r="E305">
        <f>raw_data!E305</f>
        <v>46.15</v>
      </c>
      <c r="F305">
        <f>raw_data!F305</f>
        <v>8.5299999999999994</v>
      </c>
      <c r="G305">
        <f>raw_data!G305</f>
        <v>19.68</v>
      </c>
      <c r="H305">
        <f>(raw_data!D305*weights!$B$2)+(raw_data!E305*weights!$B$3)+(raw_data!F305*weights!$B$4)</f>
        <v>19.684000000000001</v>
      </c>
      <c r="I305" t="str">
        <f t="shared" si="8"/>
        <v>Low</v>
      </c>
      <c r="J305" t="str">
        <f t="shared" si="9"/>
        <v>2013 Q4</v>
      </c>
      <c r="K305">
        <f>raw_data!H305</f>
        <v>3.28</v>
      </c>
      <c r="L305" s="13">
        <f>raw_data!I305</f>
        <v>13.85</v>
      </c>
      <c r="M305" s="13">
        <f>raw_data!J305</f>
        <v>2.56</v>
      </c>
    </row>
    <row r="306" spans="1:13" x14ac:dyDescent="0.2">
      <c r="A306" t="str">
        <f>raw_data!A306</f>
        <v>2013Q4</v>
      </c>
      <c r="B306" t="str">
        <f>raw_data!B306</f>
        <v>Victoria</v>
      </c>
      <c r="C306" t="str">
        <f>raw_data!C306</f>
        <v>Manufacturing</v>
      </c>
      <c r="D306">
        <f>raw_data!D306</f>
        <v>4.21</v>
      </c>
      <c r="E306">
        <f>raw_data!E306</f>
        <v>48.08</v>
      </c>
      <c r="F306">
        <f>raw_data!F306</f>
        <v>2.12</v>
      </c>
      <c r="G306">
        <f>raw_data!G306</f>
        <v>16.739999999999998</v>
      </c>
      <c r="H306">
        <f>(raw_data!D306*weights!$B$2)+(raw_data!E306*weights!$B$3)+(raw_data!F306*weights!$B$4)</f>
        <v>16.744</v>
      </c>
      <c r="I306" t="str">
        <f t="shared" si="8"/>
        <v>Low</v>
      </c>
      <c r="J306" t="str">
        <f t="shared" si="9"/>
        <v>2013 Q4</v>
      </c>
      <c r="K306">
        <f>raw_data!H306</f>
        <v>1.68</v>
      </c>
      <c r="L306" s="13">
        <f>raw_data!I306</f>
        <v>14.42</v>
      </c>
      <c r="M306" s="13">
        <f>raw_data!J306</f>
        <v>0.64</v>
      </c>
    </row>
    <row r="307" spans="1:13" x14ac:dyDescent="0.2">
      <c r="A307" t="str">
        <f>raw_data!A307</f>
        <v>2013Q4</v>
      </c>
      <c r="B307" t="str">
        <f>raw_data!B307</f>
        <v>Victoria</v>
      </c>
      <c r="C307" t="str">
        <f>raw_data!C307</f>
        <v>Professional, Scientific and Technical Services</v>
      </c>
      <c r="D307">
        <f>raw_data!D307</f>
        <v>16.39</v>
      </c>
      <c r="E307">
        <f>raw_data!E307</f>
        <v>25</v>
      </c>
      <c r="F307">
        <f>raw_data!F307</f>
        <v>7.26</v>
      </c>
      <c r="G307">
        <f>raw_data!G307</f>
        <v>16.23</v>
      </c>
      <c r="H307">
        <f>(raw_data!D307*weights!$B$2)+(raw_data!E307*weights!$B$3)+(raw_data!F307*weights!$B$4)</f>
        <v>16.234000000000002</v>
      </c>
      <c r="I307" t="str">
        <f t="shared" si="8"/>
        <v>Low</v>
      </c>
      <c r="J307" t="str">
        <f t="shared" si="9"/>
        <v>2013 Q4</v>
      </c>
      <c r="K307">
        <f>raw_data!H307</f>
        <v>6.56</v>
      </c>
      <c r="L307" s="13">
        <f>raw_data!I307</f>
        <v>7.5</v>
      </c>
      <c r="M307" s="13">
        <f>raw_data!J307</f>
        <v>2.1800000000000002</v>
      </c>
    </row>
    <row r="308" spans="1:13" x14ac:dyDescent="0.2">
      <c r="A308" t="str">
        <f>raw_data!A308</f>
        <v>2014Q1</v>
      </c>
      <c r="B308" t="str">
        <f>raw_data!B308</f>
        <v>New South Wales</v>
      </c>
      <c r="C308" t="str">
        <f>raw_data!C308</f>
        <v>Accommodation and Food Services</v>
      </c>
      <c r="D308">
        <f>raw_data!D308</f>
        <v>18.43</v>
      </c>
      <c r="E308">
        <f>raw_data!E308</f>
        <v>38.46</v>
      </c>
      <c r="F308">
        <f>raw_data!F308</f>
        <v>2.79</v>
      </c>
      <c r="G308">
        <f>raw_data!G308</f>
        <v>19.75</v>
      </c>
      <c r="H308">
        <f>(raw_data!D308*weights!$B$2)+(raw_data!E308*weights!$B$3)+(raw_data!F308*weights!$B$4)</f>
        <v>19.747</v>
      </c>
      <c r="I308" t="str">
        <f t="shared" si="8"/>
        <v>Low</v>
      </c>
      <c r="J308" t="str">
        <f t="shared" si="9"/>
        <v>2014 Q1</v>
      </c>
      <c r="K308">
        <f>raw_data!H308</f>
        <v>7.37</v>
      </c>
      <c r="L308" s="13">
        <f>raw_data!I308</f>
        <v>11.54</v>
      </c>
      <c r="M308" s="13">
        <f>raw_data!J308</f>
        <v>0.84</v>
      </c>
    </row>
    <row r="309" spans="1:13" x14ac:dyDescent="0.2">
      <c r="A309" t="str">
        <f>raw_data!A309</f>
        <v>2014Q1</v>
      </c>
      <c r="B309" t="str">
        <f>raw_data!B309</f>
        <v>New South Wales</v>
      </c>
      <c r="C309" t="str">
        <f>raw_data!C309</f>
        <v>Construction</v>
      </c>
      <c r="D309">
        <f>raw_data!D309</f>
        <v>10.9</v>
      </c>
      <c r="E309">
        <f>raw_data!E309</f>
        <v>55.77</v>
      </c>
      <c r="F309">
        <f>raw_data!F309</f>
        <v>5.62</v>
      </c>
      <c r="G309">
        <f>raw_data!G309</f>
        <v>22.78</v>
      </c>
      <c r="H309">
        <f>(raw_data!D309*weights!$B$2)+(raw_data!E309*weights!$B$3)+(raw_data!F309*weights!$B$4)</f>
        <v>22.777000000000001</v>
      </c>
      <c r="I309" t="str">
        <f t="shared" si="8"/>
        <v>Low</v>
      </c>
      <c r="J309" t="str">
        <f t="shared" si="9"/>
        <v>2014 Q1</v>
      </c>
      <c r="K309">
        <f>raw_data!H309</f>
        <v>4.3600000000000003</v>
      </c>
      <c r="L309" s="13">
        <f>raw_data!I309</f>
        <v>16.73</v>
      </c>
      <c r="M309" s="13">
        <f>raw_data!J309</f>
        <v>1.69</v>
      </c>
    </row>
    <row r="310" spans="1:13" x14ac:dyDescent="0.2">
      <c r="A310" t="str">
        <f>raw_data!A310</f>
        <v>2014Q1</v>
      </c>
      <c r="B310" t="str">
        <f>raw_data!B310</f>
        <v>New South Wales</v>
      </c>
      <c r="C310" t="str">
        <f>raw_data!C310</f>
        <v>Education and Training</v>
      </c>
      <c r="D310">
        <f>raw_data!D310</f>
        <v>0.36</v>
      </c>
      <c r="E310">
        <f>raw_data!E310</f>
        <v>55.77</v>
      </c>
      <c r="F310">
        <f>raw_data!F310</f>
        <v>1.03</v>
      </c>
      <c r="G310">
        <f>raw_data!G310</f>
        <v>17.18</v>
      </c>
      <c r="H310">
        <f>(raw_data!D310*weights!$B$2)+(raw_data!E310*weights!$B$3)+(raw_data!F310*weights!$B$4)</f>
        <v>17.184000000000001</v>
      </c>
      <c r="I310" t="str">
        <f t="shared" si="8"/>
        <v>Low</v>
      </c>
      <c r="J310" t="str">
        <f t="shared" si="9"/>
        <v>2014 Q1</v>
      </c>
      <c r="K310">
        <f>raw_data!H310</f>
        <v>0.14000000000000001</v>
      </c>
      <c r="L310" s="13">
        <f>raw_data!I310</f>
        <v>16.73</v>
      </c>
      <c r="M310" s="13">
        <f>raw_data!J310</f>
        <v>0.31</v>
      </c>
    </row>
    <row r="311" spans="1:13" x14ac:dyDescent="0.2">
      <c r="A311" t="str">
        <f>raw_data!A311</f>
        <v>2014Q1</v>
      </c>
      <c r="B311" t="str">
        <f>raw_data!B311</f>
        <v>New South Wales</v>
      </c>
      <c r="C311" t="str">
        <f>raw_data!C311</f>
        <v>Health Care and Social Assistance</v>
      </c>
      <c r="D311">
        <f>raw_data!D311</f>
        <v>6.31</v>
      </c>
      <c r="E311">
        <f>raw_data!E311</f>
        <v>50</v>
      </c>
      <c r="F311">
        <f>raw_data!F311</f>
        <v>7.78</v>
      </c>
      <c r="G311">
        <f>raw_data!G311</f>
        <v>19.86</v>
      </c>
      <c r="H311">
        <f>(raw_data!D311*weights!$B$2)+(raw_data!E311*weights!$B$3)+(raw_data!F311*weights!$B$4)</f>
        <v>19.858000000000001</v>
      </c>
      <c r="I311" t="str">
        <f t="shared" si="8"/>
        <v>Low</v>
      </c>
      <c r="J311" t="str">
        <f t="shared" si="9"/>
        <v>2014 Q1</v>
      </c>
      <c r="K311">
        <f>raw_data!H311</f>
        <v>2.52</v>
      </c>
      <c r="L311" s="13">
        <f>raw_data!I311</f>
        <v>15</v>
      </c>
      <c r="M311" s="13">
        <f>raw_data!J311</f>
        <v>2.33</v>
      </c>
    </row>
    <row r="312" spans="1:13" x14ac:dyDescent="0.2">
      <c r="A312" t="str">
        <f>raw_data!A312</f>
        <v>2014Q1</v>
      </c>
      <c r="B312" t="str">
        <f>raw_data!B312</f>
        <v>New South Wales</v>
      </c>
      <c r="C312" t="str">
        <f>raw_data!C312</f>
        <v>Manufacturing</v>
      </c>
      <c r="D312">
        <f>raw_data!D312</f>
        <v>5.75</v>
      </c>
      <c r="E312">
        <f>raw_data!E312</f>
        <v>53.85</v>
      </c>
      <c r="F312">
        <f>raw_data!F312</f>
        <v>1.78</v>
      </c>
      <c r="G312">
        <f>raw_data!G312</f>
        <v>18.989999999999998</v>
      </c>
      <c r="H312">
        <f>(raw_data!D312*weights!$B$2)+(raw_data!E312*weights!$B$3)+(raw_data!F312*weights!$B$4)</f>
        <v>18.989000000000001</v>
      </c>
      <c r="I312" t="str">
        <f t="shared" si="8"/>
        <v>Low</v>
      </c>
      <c r="J312" t="str">
        <f t="shared" si="9"/>
        <v>2014 Q1</v>
      </c>
      <c r="K312">
        <f>raw_data!H312</f>
        <v>2.2999999999999998</v>
      </c>
      <c r="L312" s="13">
        <f>raw_data!I312</f>
        <v>16.149999999999999</v>
      </c>
      <c r="M312" s="13">
        <f>raw_data!J312</f>
        <v>0.53</v>
      </c>
    </row>
    <row r="313" spans="1:13" x14ac:dyDescent="0.2">
      <c r="A313" t="str">
        <f>raw_data!A313</f>
        <v>2014Q1</v>
      </c>
      <c r="B313" t="str">
        <f>raw_data!B313</f>
        <v>New South Wales</v>
      </c>
      <c r="C313" t="str">
        <f>raw_data!C313</f>
        <v>Professional, Scientific and Technical Services</v>
      </c>
      <c r="D313">
        <f>raw_data!D313</f>
        <v>12.63</v>
      </c>
      <c r="E313">
        <f>raw_data!E313</f>
        <v>30.77</v>
      </c>
      <c r="F313">
        <f>raw_data!F313</f>
        <v>8.57</v>
      </c>
      <c r="G313">
        <f>raw_data!G313</f>
        <v>16.850000000000001</v>
      </c>
      <c r="H313">
        <f>(raw_data!D313*weights!$B$2)+(raw_data!E313*weights!$B$3)+(raw_data!F313*weights!$B$4)</f>
        <v>16.854000000000003</v>
      </c>
      <c r="I313" t="str">
        <f t="shared" si="8"/>
        <v>Low</v>
      </c>
      <c r="J313" t="str">
        <f t="shared" si="9"/>
        <v>2014 Q1</v>
      </c>
      <c r="K313">
        <f>raw_data!H313</f>
        <v>5.05</v>
      </c>
      <c r="L313" s="13">
        <f>raw_data!I313</f>
        <v>9.23</v>
      </c>
      <c r="M313" s="13">
        <f>raw_data!J313</f>
        <v>2.57</v>
      </c>
    </row>
    <row r="314" spans="1:13" x14ac:dyDescent="0.2">
      <c r="A314" t="str">
        <f>raw_data!A314</f>
        <v>2014Q1</v>
      </c>
      <c r="B314" t="str">
        <f>raw_data!B314</f>
        <v>Queensland</v>
      </c>
      <c r="C314" t="str">
        <f>raw_data!C314</f>
        <v>Accommodation and Food Services</v>
      </c>
      <c r="D314">
        <f>raw_data!D314</f>
        <v>31.6</v>
      </c>
      <c r="E314">
        <f>raw_data!E314</f>
        <v>38.46</v>
      </c>
      <c r="F314">
        <f>raw_data!F314</f>
        <v>5.4</v>
      </c>
      <c r="G314">
        <f>raw_data!G314</f>
        <v>25.8</v>
      </c>
      <c r="H314">
        <f>(raw_data!D314*weights!$B$2)+(raw_data!E314*weights!$B$3)+(raw_data!F314*weights!$B$4)</f>
        <v>25.798000000000002</v>
      </c>
      <c r="I314" t="str">
        <f t="shared" si="8"/>
        <v>Moderate</v>
      </c>
      <c r="J314" t="str">
        <f t="shared" si="9"/>
        <v>2014 Q1</v>
      </c>
      <c r="K314">
        <f>raw_data!H314</f>
        <v>12.64</v>
      </c>
      <c r="L314" s="13">
        <f>raw_data!I314</f>
        <v>11.54</v>
      </c>
      <c r="M314" s="13">
        <f>raw_data!J314</f>
        <v>1.62</v>
      </c>
    </row>
    <row r="315" spans="1:13" x14ac:dyDescent="0.2">
      <c r="A315" t="str">
        <f>raw_data!A315</f>
        <v>2014Q1</v>
      </c>
      <c r="B315" t="str">
        <f>raw_data!B315</f>
        <v>Queensland</v>
      </c>
      <c r="C315" t="str">
        <f>raw_data!C315</f>
        <v>Construction</v>
      </c>
      <c r="D315">
        <f>raw_data!D315</f>
        <v>15.02</v>
      </c>
      <c r="E315">
        <f>raw_data!E315</f>
        <v>55.77</v>
      </c>
      <c r="F315">
        <f>raw_data!F315</f>
        <v>4.92</v>
      </c>
      <c r="G315">
        <f>raw_data!G315</f>
        <v>24.22</v>
      </c>
      <c r="H315">
        <f>(raw_data!D315*weights!$B$2)+(raw_data!E315*weights!$B$3)+(raw_data!F315*weights!$B$4)</f>
        <v>24.215</v>
      </c>
      <c r="I315" t="str">
        <f t="shared" si="8"/>
        <v>Low</v>
      </c>
      <c r="J315" t="str">
        <f t="shared" si="9"/>
        <v>2014 Q1</v>
      </c>
      <c r="K315">
        <f>raw_data!H315</f>
        <v>6.01</v>
      </c>
      <c r="L315" s="13">
        <f>raw_data!I315</f>
        <v>16.73</v>
      </c>
      <c r="M315" s="13">
        <f>raw_data!J315</f>
        <v>1.48</v>
      </c>
    </row>
    <row r="316" spans="1:13" x14ac:dyDescent="0.2">
      <c r="A316" t="str">
        <f>raw_data!A316</f>
        <v>2014Q1</v>
      </c>
      <c r="B316" t="str">
        <f>raw_data!B316</f>
        <v>Queensland</v>
      </c>
      <c r="C316" t="str">
        <f>raw_data!C316</f>
        <v>Education and Training</v>
      </c>
      <c r="D316">
        <f>raw_data!D316</f>
        <v>2.04</v>
      </c>
      <c r="E316">
        <f>raw_data!E316</f>
        <v>55.77</v>
      </c>
      <c r="F316">
        <f>raw_data!F316</f>
        <v>1.1399999999999999</v>
      </c>
      <c r="G316">
        <f>raw_data!G316</f>
        <v>17.89</v>
      </c>
      <c r="H316">
        <f>(raw_data!D316*weights!$B$2)+(raw_data!E316*weights!$B$3)+(raw_data!F316*weights!$B$4)</f>
        <v>17.888999999999999</v>
      </c>
      <c r="I316" t="str">
        <f t="shared" si="8"/>
        <v>Low</v>
      </c>
      <c r="J316" t="str">
        <f t="shared" si="9"/>
        <v>2014 Q1</v>
      </c>
      <c r="K316">
        <f>raw_data!H316</f>
        <v>0.82</v>
      </c>
      <c r="L316" s="13">
        <f>raw_data!I316</f>
        <v>16.73</v>
      </c>
      <c r="M316" s="13">
        <f>raw_data!J316</f>
        <v>0.34</v>
      </c>
    </row>
    <row r="317" spans="1:13" x14ac:dyDescent="0.2">
      <c r="A317" t="str">
        <f>raw_data!A317</f>
        <v>2014Q1</v>
      </c>
      <c r="B317" t="str">
        <f>raw_data!B317</f>
        <v>Queensland</v>
      </c>
      <c r="C317" t="str">
        <f>raw_data!C317</f>
        <v>Health Care and Social Assistance</v>
      </c>
      <c r="D317">
        <f>raw_data!D317</f>
        <v>11.03</v>
      </c>
      <c r="E317">
        <f>raw_data!E317</f>
        <v>50</v>
      </c>
      <c r="F317">
        <f>raw_data!F317</f>
        <v>9.68</v>
      </c>
      <c r="G317">
        <f>raw_data!G317</f>
        <v>22.31</v>
      </c>
      <c r="H317">
        <f>(raw_data!D317*weights!$B$2)+(raw_data!E317*weights!$B$3)+(raw_data!F317*weights!$B$4)</f>
        <v>22.315999999999999</v>
      </c>
      <c r="I317" t="str">
        <f t="shared" si="8"/>
        <v>Low</v>
      </c>
      <c r="J317" t="str">
        <f t="shared" si="9"/>
        <v>2014 Q1</v>
      </c>
      <c r="K317">
        <f>raw_data!H317</f>
        <v>4.41</v>
      </c>
      <c r="L317" s="13">
        <f>raw_data!I317</f>
        <v>15</v>
      </c>
      <c r="M317" s="13">
        <f>raw_data!J317</f>
        <v>2.9</v>
      </c>
    </row>
    <row r="318" spans="1:13" x14ac:dyDescent="0.2">
      <c r="A318" t="str">
        <f>raw_data!A318</f>
        <v>2014Q1</v>
      </c>
      <c r="B318" t="str">
        <f>raw_data!B318</f>
        <v>Queensland</v>
      </c>
      <c r="C318" t="str">
        <f>raw_data!C318</f>
        <v>Manufacturing</v>
      </c>
      <c r="D318">
        <f>raw_data!D318</f>
        <v>10.73</v>
      </c>
      <c r="E318">
        <f>raw_data!E318</f>
        <v>53.85</v>
      </c>
      <c r="F318">
        <f>raw_data!F318</f>
        <v>3.89</v>
      </c>
      <c r="G318">
        <f>raw_data!G318</f>
        <v>21.61</v>
      </c>
      <c r="H318">
        <f>(raw_data!D318*weights!$B$2)+(raw_data!E318*weights!$B$3)+(raw_data!F318*weights!$B$4)</f>
        <v>21.614000000000004</v>
      </c>
      <c r="I318" t="str">
        <f t="shared" si="8"/>
        <v>Low</v>
      </c>
      <c r="J318" t="str">
        <f t="shared" si="9"/>
        <v>2014 Q1</v>
      </c>
      <c r="K318">
        <f>raw_data!H318</f>
        <v>4.29</v>
      </c>
      <c r="L318" s="13">
        <f>raw_data!I318</f>
        <v>16.149999999999999</v>
      </c>
      <c r="M318" s="13">
        <f>raw_data!J318</f>
        <v>1.17</v>
      </c>
    </row>
    <row r="319" spans="1:13" x14ac:dyDescent="0.2">
      <c r="A319" t="str">
        <f>raw_data!A319</f>
        <v>2014Q1</v>
      </c>
      <c r="B319" t="str">
        <f>raw_data!B319</f>
        <v>Queensland</v>
      </c>
      <c r="C319" t="str">
        <f>raw_data!C319</f>
        <v>Professional, Scientific and Technical Services</v>
      </c>
      <c r="D319">
        <f>raw_data!D319</f>
        <v>24.74</v>
      </c>
      <c r="E319">
        <f>raw_data!E319</f>
        <v>30.77</v>
      </c>
      <c r="F319">
        <f>raw_data!F319</f>
        <v>14.46</v>
      </c>
      <c r="G319">
        <f>raw_data!G319</f>
        <v>23.46</v>
      </c>
      <c r="H319">
        <f>(raw_data!D319*weights!$B$2)+(raw_data!E319*weights!$B$3)+(raw_data!F319*weights!$B$4)</f>
        <v>23.465000000000003</v>
      </c>
      <c r="I319" t="str">
        <f t="shared" si="8"/>
        <v>Low</v>
      </c>
      <c r="J319" t="str">
        <f t="shared" si="9"/>
        <v>2014 Q1</v>
      </c>
      <c r="K319">
        <f>raw_data!H319</f>
        <v>9.9</v>
      </c>
      <c r="L319" s="13">
        <f>raw_data!I319</f>
        <v>9.23</v>
      </c>
      <c r="M319" s="13">
        <f>raw_data!J319</f>
        <v>4.34</v>
      </c>
    </row>
    <row r="320" spans="1:13" x14ac:dyDescent="0.2">
      <c r="A320" t="str">
        <f>raw_data!A320</f>
        <v>2014Q1</v>
      </c>
      <c r="B320" t="str">
        <f>raw_data!B320</f>
        <v>Victoria</v>
      </c>
      <c r="C320" t="str">
        <f>raw_data!C320</f>
        <v>Accommodation and Food Services</v>
      </c>
      <c r="D320">
        <f>raw_data!D320</f>
        <v>26.43</v>
      </c>
      <c r="E320">
        <f>raw_data!E320</f>
        <v>38.46</v>
      </c>
      <c r="F320">
        <f>raw_data!F320</f>
        <v>3.79</v>
      </c>
      <c r="G320">
        <f>raw_data!G320</f>
        <v>23.25</v>
      </c>
      <c r="H320">
        <f>(raw_data!D320*weights!$B$2)+(raw_data!E320*weights!$B$3)+(raw_data!F320*weights!$B$4)</f>
        <v>23.247</v>
      </c>
      <c r="I320" t="str">
        <f t="shared" si="8"/>
        <v>Low</v>
      </c>
      <c r="J320" t="str">
        <f t="shared" si="9"/>
        <v>2014 Q1</v>
      </c>
      <c r="K320">
        <f>raw_data!H320</f>
        <v>10.57</v>
      </c>
      <c r="L320" s="13">
        <f>raw_data!I320</f>
        <v>11.54</v>
      </c>
      <c r="M320" s="13">
        <f>raw_data!J320</f>
        <v>1.1399999999999999</v>
      </c>
    </row>
    <row r="321" spans="1:13" x14ac:dyDescent="0.2">
      <c r="A321" t="str">
        <f>raw_data!A321</f>
        <v>2014Q1</v>
      </c>
      <c r="B321" t="str">
        <f>raw_data!B321</f>
        <v>Victoria</v>
      </c>
      <c r="C321" t="str">
        <f>raw_data!C321</f>
        <v>Construction</v>
      </c>
      <c r="D321">
        <f>raw_data!D321</f>
        <v>13.63</v>
      </c>
      <c r="E321">
        <f>raw_data!E321</f>
        <v>55.77</v>
      </c>
      <c r="F321">
        <f>raw_data!F321</f>
        <v>5.35</v>
      </c>
      <c r="G321">
        <f>raw_data!G321</f>
        <v>23.79</v>
      </c>
      <c r="H321">
        <f>(raw_data!D321*weights!$B$2)+(raw_data!E321*weights!$B$3)+(raw_data!F321*weights!$B$4)</f>
        <v>23.788000000000004</v>
      </c>
      <c r="I321" t="str">
        <f t="shared" si="8"/>
        <v>Low</v>
      </c>
      <c r="J321" t="str">
        <f t="shared" si="9"/>
        <v>2014 Q1</v>
      </c>
      <c r="K321">
        <f>raw_data!H321</f>
        <v>5.45</v>
      </c>
      <c r="L321" s="13">
        <f>raw_data!I321</f>
        <v>16.73</v>
      </c>
      <c r="M321" s="13">
        <f>raw_data!J321</f>
        <v>1.61</v>
      </c>
    </row>
    <row r="322" spans="1:13" x14ac:dyDescent="0.2">
      <c r="A322" t="str">
        <f>raw_data!A322</f>
        <v>2014Q1</v>
      </c>
      <c r="B322" t="str">
        <f>raw_data!B322</f>
        <v>Victoria</v>
      </c>
      <c r="C322" t="str">
        <f>raw_data!C322</f>
        <v>Education and Training</v>
      </c>
      <c r="D322">
        <f>raw_data!D322</f>
        <v>1.1000000000000001</v>
      </c>
      <c r="E322">
        <f>raw_data!E322</f>
        <v>55.77</v>
      </c>
      <c r="F322">
        <f>raw_data!F322</f>
        <v>0.54</v>
      </c>
      <c r="G322">
        <f>raw_data!G322</f>
        <v>17.329999999999998</v>
      </c>
      <c r="H322">
        <f>(raw_data!D322*weights!$B$2)+(raw_data!E322*weights!$B$3)+(raw_data!F322*weights!$B$4)</f>
        <v>17.333000000000002</v>
      </c>
      <c r="I322" t="str">
        <f t="shared" si="8"/>
        <v>Low</v>
      </c>
      <c r="J322" t="str">
        <f t="shared" si="9"/>
        <v>2014 Q1</v>
      </c>
      <c r="K322">
        <f>raw_data!H322</f>
        <v>0.44</v>
      </c>
      <c r="L322" s="13">
        <f>raw_data!I322</f>
        <v>16.73</v>
      </c>
      <c r="M322" s="13">
        <f>raw_data!J322</f>
        <v>0.16</v>
      </c>
    </row>
    <row r="323" spans="1:13" x14ac:dyDescent="0.2">
      <c r="A323" t="str">
        <f>raw_data!A323</f>
        <v>2014Q1</v>
      </c>
      <c r="B323" t="str">
        <f>raw_data!B323</f>
        <v>Victoria</v>
      </c>
      <c r="C323" t="str">
        <f>raw_data!C323</f>
        <v>Health Care and Social Assistance</v>
      </c>
      <c r="D323">
        <f>raw_data!D323</f>
        <v>8.7899999999999991</v>
      </c>
      <c r="E323">
        <f>raw_data!E323</f>
        <v>50</v>
      </c>
      <c r="F323">
        <f>raw_data!F323</f>
        <v>5.6</v>
      </c>
      <c r="G323">
        <f>raw_data!G323</f>
        <v>20.2</v>
      </c>
      <c r="H323">
        <f>(raw_data!D323*weights!$B$2)+(raw_data!E323*weights!$B$3)+(raw_data!F323*weights!$B$4)</f>
        <v>20.195999999999998</v>
      </c>
      <c r="I323" t="str">
        <f t="shared" ref="I323:I386" si="10">IF(H323&gt;=60,"Critical",IF(H323&gt;=45,"High",IF(H323&gt;=25,"Moderate","Low")))</f>
        <v>Low</v>
      </c>
      <c r="J323" t="str">
        <f t="shared" ref="J323:J386" si="11">LEFT(A323,4)&amp;" "&amp;RIGHT(A323,2)</f>
        <v>2014 Q1</v>
      </c>
      <c r="K323">
        <f>raw_data!H323</f>
        <v>3.52</v>
      </c>
      <c r="L323" s="13">
        <f>raw_data!I323</f>
        <v>15</v>
      </c>
      <c r="M323" s="13">
        <f>raw_data!J323</f>
        <v>1.68</v>
      </c>
    </row>
    <row r="324" spans="1:13" x14ac:dyDescent="0.2">
      <c r="A324" t="str">
        <f>raw_data!A324</f>
        <v>2014Q1</v>
      </c>
      <c r="B324" t="str">
        <f>raw_data!B324</f>
        <v>Victoria</v>
      </c>
      <c r="C324" t="str">
        <f>raw_data!C324</f>
        <v>Manufacturing</v>
      </c>
      <c r="D324">
        <f>raw_data!D324</f>
        <v>5.93</v>
      </c>
      <c r="E324">
        <f>raw_data!E324</f>
        <v>53.85</v>
      </c>
      <c r="F324">
        <f>raw_data!F324</f>
        <v>2.41</v>
      </c>
      <c r="G324">
        <f>raw_data!G324</f>
        <v>19.25</v>
      </c>
      <c r="H324">
        <f>(raw_data!D324*weights!$B$2)+(raw_data!E324*weights!$B$3)+(raw_data!F324*weights!$B$4)</f>
        <v>19.25</v>
      </c>
      <c r="I324" t="str">
        <f t="shared" si="10"/>
        <v>Low</v>
      </c>
      <c r="J324" t="str">
        <f t="shared" si="11"/>
        <v>2014 Q1</v>
      </c>
      <c r="K324">
        <f>raw_data!H324</f>
        <v>2.37</v>
      </c>
      <c r="L324" s="13">
        <f>raw_data!I324</f>
        <v>16.149999999999999</v>
      </c>
      <c r="M324" s="13">
        <f>raw_data!J324</f>
        <v>0.72</v>
      </c>
    </row>
    <row r="325" spans="1:13" x14ac:dyDescent="0.2">
      <c r="A325" t="str">
        <f>raw_data!A325</f>
        <v>2014Q1</v>
      </c>
      <c r="B325" t="str">
        <f>raw_data!B325</f>
        <v>Victoria</v>
      </c>
      <c r="C325" t="str">
        <f>raw_data!C325</f>
        <v>Professional, Scientific and Technical Services</v>
      </c>
      <c r="D325">
        <f>raw_data!D325</f>
        <v>15.82</v>
      </c>
      <c r="E325">
        <f>raw_data!E325</f>
        <v>30.77</v>
      </c>
      <c r="F325">
        <f>raw_data!F325</f>
        <v>5.68</v>
      </c>
      <c r="G325">
        <f>raw_data!G325</f>
        <v>17.260000000000002</v>
      </c>
      <c r="H325">
        <f>(raw_data!D325*weights!$B$2)+(raw_data!E325*weights!$B$3)+(raw_data!F325*weights!$B$4)</f>
        <v>17.263000000000002</v>
      </c>
      <c r="I325" t="str">
        <f t="shared" si="10"/>
        <v>Low</v>
      </c>
      <c r="J325" t="str">
        <f t="shared" si="11"/>
        <v>2014 Q1</v>
      </c>
      <c r="K325">
        <f>raw_data!H325</f>
        <v>6.33</v>
      </c>
      <c r="L325" s="13">
        <f>raw_data!I325</f>
        <v>9.23</v>
      </c>
      <c r="M325" s="13">
        <f>raw_data!J325</f>
        <v>1.7</v>
      </c>
    </row>
    <row r="326" spans="1:13" x14ac:dyDescent="0.2">
      <c r="A326" t="str">
        <f>raw_data!A326</f>
        <v>2014Q2</v>
      </c>
      <c r="B326" t="str">
        <f>raw_data!B326</f>
        <v>New South Wales</v>
      </c>
      <c r="C326" t="str">
        <f>raw_data!C326</f>
        <v>Accommodation and Food Services</v>
      </c>
      <c r="D326">
        <f>raw_data!D326</f>
        <v>12.03</v>
      </c>
      <c r="E326">
        <f>raw_data!E326</f>
        <v>34.619999999999997</v>
      </c>
      <c r="F326">
        <f>raw_data!F326</f>
        <v>3.04</v>
      </c>
      <c r="G326">
        <f>raw_data!G326</f>
        <v>16.11</v>
      </c>
      <c r="H326">
        <f>(raw_data!D326*weights!$B$2)+(raw_data!E326*weights!$B$3)+(raw_data!F326*weights!$B$4)</f>
        <v>16.11</v>
      </c>
      <c r="I326" t="str">
        <f t="shared" si="10"/>
        <v>Low</v>
      </c>
      <c r="J326" t="str">
        <f t="shared" si="11"/>
        <v>2014 Q2</v>
      </c>
      <c r="K326">
        <f>raw_data!H326</f>
        <v>4.8099999999999996</v>
      </c>
      <c r="L326" s="13">
        <f>raw_data!I326</f>
        <v>10.38</v>
      </c>
      <c r="M326" s="13">
        <f>raw_data!J326</f>
        <v>0.91</v>
      </c>
    </row>
    <row r="327" spans="1:13" x14ac:dyDescent="0.2">
      <c r="A327" t="str">
        <f>raw_data!A327</f>
        <v>2014Q2</v>
      </c>
      <c r="B327" t="str">
        <f>raw_data!B327</f>
        <v>New South Wales</v>
      </c>
      <c r="C327" t="str">
        <f>raw_data!C327</f>
        <v>Construction</v>
      </c>
      <c r="D327">
        <f>raw_data!D327</f>
        <v>9.66</v>
      </c>
      <c r="E327">
        <f>raw_data!E327</f>
        <v>50</v>
      </c>
      <c r="F327">
        <f>raw_data!F327</f>
        <v>6.09</v>
      </c>
      <c r="G327">
        <f>raw_data!G327</f>
        <v>20.69</v>
      </c>
      <c r="H327">
        <f>(raw_data!D327*weights!$B$2)+(raw_data!E327*weights!$B$3)+(raw_data!F327*weights!$B$4)</f>
        <v>20.691000000000003</v>
      </c>
      <c r="I327" t="str">
        <f t="shared" si="10"/>
        <v>Low</v>
      </c>
      <c r="J327" t="str">
        <f t="shared" si="11"/>
        <v>2014 Q2</v>
      </c>
      <c r="K327">
        <f>raw_data!H327</f>
        <v>3.87</v>
      </c>
      <c r="L327" s="13">
        <f>raw_data!I327</f>
        <v>15</v>
      </c>
      <c r="M327" s="13">
        <f>raw_data!J327</f>
        <v>1.83</v>
      </c>
    </row>
    <row r="328" spans="1:13" x14ac:dyDescent="0.2">
      <c r="A328" t="str">
        <f>raw_data!A328</f>
        <v>2014Q2</v>
      </c>
      <c r="B328" t="str">
        <f>raw_data!B328</f>
        <v>New South Wales</v>
      </c>
      <c r="C328" t="str">
        <f>raw_data!C328</f>
        <v>Education and Training</v>
      </c>
      <c r="D328">
        <f>raw_data!D328</f>
        <v>0</v>
      </c>
      <c r="E328">
        <f>raw_data!E328</f>
        <v>55.77</v>
      </c>
      <c r="F328">
        <f>raw_data!F328</f>
        <v>1.33</v>
      </c>
      <c r="G328">
        <f>raw_data!G328</f>
        <v>17.13</v>
      </c>
      <c r="H328">
        <f>(raw_data!D328*weights!$B$2)+(raw_data!E328*weights!$B$3)+(raw_data!F328*weights!$B$4)</f>
        <v>17.130000000000003</v>
      </c>
      <c r="I328" t="str">
        <f t="shared" si="10"/>
        <v>Low</v>
      </c>
      <c r="J328" t="str">
        <f t="shared" si="11"/>
        <v>2014 Q2</v>
      </c>
      <c r="K328">
        <f>raw_data!H328</f>
        <v>0</v>
      </c>
      <c r="L328" s="13">
        <f>raw_data!I328</f>
        <v>16.73</v>
      </c>
      <c r="M328" s="13">
        <f>raw_data!J328</f>
        <v>0.4</v>
      </c>
    </row>
    <row r="329" spans="1:13" x14ac:dyDescent="0.2">
      <c r="A329" t="str">
        <f>raw_data!A329</f>
        <v>2014Q2</v>
      </c>
      <c r="B329" t="str">
        <f>raw_data!B329</f>
        <v>New South Wales</v>
      </c>
      <c r="C329" t="str">
        <f>raw_data!C329</f>
        <v>Health Care and Social Assistance</v>
      </c>
      <c r="D329">
        <f>raw_data!D329</f>
        <v>7.08</v>
      </c>
      <c r="E329">
        <f>raw_data!E329</f>
        <v>50</v>
      </c>
      <c r="F329">
        <f>raw_data!F329</f>
        <v>6.79</v>
      </c>
      <c r="G329">
        <f>raw_data!G329</f>
        <v>19.87</v>
      </c>
      <c r="H329">
        <f>(raw_data!D329*weights!$B$2)+(raw_data!E329*weights!$B$3)+(raw_data!F329*weights!$B$4)</f>
        <v>19.869</v>
      </c>
      <c r="I329" t="str">
        <f t="shared" si="10"/>
        <v>Low</v>
      </c>
      <c r="J329" t="str">
        <f t="shared" si="11"/>
        <v>2014 Q2</v>
      </c>
      <c r="K329">
        <f>raw_data!H329</f>
        <v>2.83</v>
      </c>
      <c r="L329" s="13">
        <f>raw_data!I329</f>
        <v>15</v>
      </c>
      <c r="M329" s="13">
        <f>raw_data!J329</f>
        <v>2.04</v>
      </c>
    </row>
    <row r="330" spans="1:13" x14ac:dyDescent="0.2">
      <c r="A330" t="str">
        <f>raw_data!A330</f>
        <v>2014Q2</v>
      </c>
      <c r="B330" t="str">
        <f>raw_data!B330</f>
        <v>New South Wales</v>
      </c>
      <c r="C330" t="str">
        <f>raw_data!C330</f>
        <v>Manufacturing</v>
      </c>
      <c r="D330">
        <f>raw_data!D330</f>
        <v>8.99</v>
      </c>
      <c r="E330">
        <f>raw_data!E330</f>
        <v>46.15</v>
      </c>
      <c r="F330">
        <f>raw_data!F330</f>
        <v>2.9</v>
      </c>
      <c r="G330">
        <f>raw_data!G330</f>
        <v>18.309999999999999</v>
      </c>
      <c r="H330">
        <f>(raw_data!D330*weights!$B$2)+(raw_data!E330*weights!$B$3)+(raw_data!F330*weights!$B$4)</f>
        <v>18.311</v>
      </c>
      <c r="I330" t="str">
        <f t="shared" si="10"/>
        <v>Low</v>
      </c>
      <c r="J330" t="str">
        <f t="shared" si="11"/>
        <v>2014 Q2</v>
      </c>
      <c r="K330">
        <f>raw_data!H330</f>
        <v>3.59</v>
      </c>
      <c r="L330" s="13">
        <f>raw_data!I330</f>
        <v>13.85</v>
      </c>
      <c r="M330" s="13">
        <f>raw_data!J330</f>
        <v>0.87</v>
      </c>
    </row>
    <row r="331" spans="1:13" x14ac:dyDescent="0.2">
      <c r="A331" t="str">
        <f>raw_data!A331</f>
        <v>2014Q2</v>
      </c>
      <c r="B331" t="str">
        <f>raw_data!B331</f>
        <v>New South Wales</v>
      </c>
      <c r="C331" t="str">
        <f>raw_data!C331</f>
        <v>Professional, Scientific and Technical Services</v>
      </c>
      <c r="D331">
        <f>raw_data!D331</f>
        <v>15.36</v>
      </c>
      <c r="E331">
        <f>raw_data!E331</f>
        <v>32.69</v>
      </c>
      <c r="F331">
        <f>raw_data!F331</f>
        <v>13.13</v>
      </c>
      <c r="G331">
        <f>raw_data!G331</f>
        <v>19.89</v>
      </c>
      <c r="H331">
        <f>(raw_data!D331*weights!$B$2)+(raw_data!E331*weights!$B$3)+(raw_data!F331*weights!$B$4)</f>
        <v>19.89</v>
      </c>
      <c r="I331" t="str">
        <f t="shared" si="10"/>
        <v>Low</v>
      </c>
      <c r="J331" t="str">
        <f t="shared" si="11"/>
        <v>2014 Q2</v>
      </c>
      <c r="K331">
        <f>raw_data!H331</f>
        <v>6.14</v>
      </c>
      <c r="L331" s="13">
        <f>raw_data!I331</f>
        <v>9.81</v>
      </c>
      <c r="M331" s="13">
        <f>raw_data!J331</f>
        <v>3.94</v>
      </c>
    </row>
    <row r="332" spans="1:13" x14ac:dyDescent="0.2">
      <c r="A332" t="str">
        <f>raw_data!A332</f>
        <v>2014Q2</v>
      </c>
      <c r="B332" t="str">
        <f>raw_data!B332</f>
        <v>Queensland</v>
      </c>
      <c r="C332" t="str">
        <f>raw_data!C332</f>
        <v>Accommodation and Food Services</v>
      </c>
      <c r="D332">
        <f>raw_data!D332</f>
        <v>18.47</v>
      </c>
      <c r="E332">
        <f>raw_data!E332</f>
        <v>34.619999999999997</v>
      </c>
      <c r="F332">
        <f>raw_data!F332</f>
        <v>3.65</v>
      </c>
      <c r="G332">
        <f>raw_data!G332</f>
        <v>18.87</v>
      </c>
      <c r="H332">
        <f>(raw_data!D332*weights!$B$2)+(raw_data!E332*weights!$B$3)+(raw_data!F332*weights!$B$4)</f>
        <v>18.869</v>
      </c>
      <c r="I332" t="str">
        <f t="shared" si="10"/>
        <v>Low</v>
      </c>
      <c r="J332" t="str">
        <f t="shared" si="11"/>
        <v>2014 Q2</v>
      </c>
      <c r="K332">
        <f>raw_data!H332</f>
        <v>7.39</v>
      </c>
      <c r="L332" s="13">
        <f>raw_data!I332</f>
        <v>10.38</v>
      </c>
      <c r="M332" s="13">
        <f>raw_data!J332</f>
        <v>1.0900000000000001</v>
      </c>
    </row>
    <row r="333" spans="1:13" x14ac:dyDescent="0.2">
      <c r="A333" t="str">
        <f>raw_data!A333</f>
        <v>2014Q2</v>
      </c>
      <c r="B333" t="str">
        <f>raw_data!B333</f>
        <v>Queensland</v>
      </c>
      <c r="C333" t="str">
        <f>raw_data!C333</f>
        <v>Construction</v>
      </c>
      <c r="D333">
        <f>raw_data!D333</f>
        <v>15.18</v>
      </c>
      <c r="E333">
        <f>raw_data!E333</f>
        <v>50</v>
      </c>
      <c r="F333">
        <f>raw_data!F333</f>
        <v>6.57</v>
      </c>
      <c r="G333">
        <f>raw_data!G333</f>
        <v>23.04</v>
      </c>
      <c r="H333">
        <f>(raw_data!D333*weights!$B$2)+(raw_data!E333*weights!$B$3)+(raw_data!F333*weights!$B$4)</f>
        <v>23.042999999999999</v>
      </c>
      <c r="I333" t="str">
        <f t="shared" si="10"/>
        <v>Low</v>
      </c>
      <c r="J333" t="str">
        <f t="shared" si="11"/>
        <v>2014 Q2</v>
      </c>
      <c r="K333">
        <f>raw_data!H333</f>
        <v>6.07</v>
      </c>
      <c r="L333" s="13">
        <f>raw_data!I333</f>
        <v>15</v>
      </c>
      <c r="M333" s="13">
        <f>raw_data!J333</f>
        <v>1.97</v>
      </c>
    </row>
    <row r="334" spans="1:13" x14ac:dyDescent="0.2">
      <c r="A334" t="str">
        <f>raw_data!A334</f>
        <v>2014Q2</v>
      </c>
      <c r="B334" t="str">
        <f>raw_data!B334</f>
        <v>Queensland</v>
      </c>
      <c r="C334" t="str">
        <f>raw_data!C334</f>
        <v>Education and Training</v>
      </c>
      <c r="D334">
        <f>raw_data!D334</f>
        <v>1.02</v>
      </c>
      <c r="E334">
        <f>raw_data!E334</f>
        <v>55.77</v>
      </c>
      <c r="F334">
        <f>raw_data!F334</f>
        <v>2.2599999999999998</v>
      </c>
      <c r="G334">
        <f>raw_data!G334</f>
        <v>17.82</v>
      </c>
      <c r="H334">
        <f>(raw_data!D334*weights!$B$2)+(raw_data!E334*weights!$B$3)+(raw_data!F334*weights!$B$4)</f>
        <v>17.817000000000004</v>
      </c>
      <c r="I334" t="str">
        <f t="shared" si="10"/>
        <v>Low</v>
      </c>
      <c r="J334" t="str">
        <f t="shared" si="11"/>
        <v>2014 Q2</v>
      </c>
      <c r="K334">
        <f>raw_data!H334</f>
        <v>0.41</v>
      </c>
      <c r="L334" s="13">
        <f>raw_data!I334</f>
        <v>16.73</v>
      </c>
      <c r="M334" s="13">
        <f>raw_data!J334</f>
        <v>0.68</v>
      </c>
    </row>
    <row r="335" spans="1:13" x14ac:dyDescent="0.2">
      <c r="A335" t="str">
        <f>raw_data!A335</f>
        <v>2014Q2</v>
      </c>
      <c r="B335" t="str">
        <f>raw_data!B335</f>
        <v>Queensland</v>
      </c>
      <c r="C335" t="str">
        <f>raw_data!C335</f>
        <v>Health Care and Social Assistance</v>
      </c>
      <c r="D335">
        <f>raw_data!D335</f>
        <v>11.28</v>
      </c>
      <c r="E335">
        <f>raw_data!E335</f>
        <v>50</v>
      </c>
      <c r="F335">
        <f>raw_data!F335</f>
        <v>8.5299999999999994</v>
      </c>
      <c r="G335">
        <f>raw_data!G335</f>
        <v>22.07</v>
      </c>
      <c r="H335">
        <f>(raw_data!D335*weights!$B$2)+(raw_data!E335*weights!$B$3)+(raw_data!F335*weights!$B$4)</f>
        <v>22.071000000000002</v>
      </c>
      <c r="I335" t="str">
        <f t="shared" si="10"/>
        <v>Low</v>
      </c>
      <c r="J335" t="str">
        <f t="shared" si="11"/>
        <v>2014 Q2</v>
      </c>
      <c r="K335">
        <f>raw_data!H335</f>
        <v>4.51</v>
      </c>
      <c r="L335" s="13">
        <f>raw_data!I335</f>
        <v>15</v>
      </c>
      <c r="M335" s="13">
        <f>raw_data!J335</f>
        <v>2.56</v>
      </c>
    </row>
    <row r="336" spans="1:13" x14ac:dyDescent="0.2">
      <c r="A336" t="str">
        <f>raw_data!A336</f>
        <v>2014Q2</v>
      </c>
      <c r="B336" t="str">
        <f>raw_data!B336</f>
        <v>Queensland</v>
      </c>
      <c r="C336" t="str">
        <f>raw_data!C336</f>
        <v>Manufacturing</v>
      </c>
      <c r="D336">
        <f>raw_data!D336</f>
        <v>17.04</v>
      </c>
      <c r="E336">
        <f>raw_data!E336</f>
        <v>46.15</v>
      </c>
      <c r="F336">
        <f>raw_data!F336</f>
        <v>4.76</v>
      </c>
      <c r="G336">
        <f>raw_data!G336</f>
        <v>22.09</v>
      </c>
      <c r="H336">
        <f>(raw_data!D336*weights!$B$2)+(raw_data!E336*weights!$B$3)+(raw_data!F336*weights!$B$4)</f>
        <v>22.088999999999999</v>
      </c>
      <c r="I336" t="str">
        <f t="shared" si="10"/>
        <v>Low</v>
      </c>
      <c r="J336" t="str">
        <f t="shared" si="11"/>
        <v>2014 Q2</v>
      </c>
      <c r="K336">
        <f>raw_data!H336</f>
        <v>6.82</v>
      </c>
      <c r="L336" s="13">
        <f>raw_data!I336</f>
        <v>13.85</v>
      </c>
      <c r="M336" s="13">
        <f>raw_data!J336</f>
        <v>1.43</v>
      </c>
    </row>
    <row r="337" spans="1:13" x14ac:dyDescent="0.2">
      <c r="A337" t="str">
        <f>raw_data!A337</f>
        <v>2014Q2</v>
      </c>
      <c r="B337" t="str">
        <f>raw_data!B337</f>
        <v>Queensland</v>
      </c>
      <c r="C337" t="str">
        <f>raw_data!C337</f>
        <v>Professional, Scientific and Technical Services</v>
      </c>
      <c r="D337">
        <f>raw_data!D337</f>
        <v>29.08</v>
      </c>
      <c r="E337">
        <f>raw_data!E337</f>
        <v>32.69</v>
      </c>
      <c r="F337">
        <f>raw_data!F337</f>
        <v>14.07</v>
      </c>
      <c r="G337">
        <f>raw_data!G337</f>
        <v>25.66</v>
      </c>
      <c r="H337">
        <f>(raw_data!D337*weights!$B$2)+(raw_data!E337*weights!$B$3)+(raw_data!F337*weights!$B$4)</f>
        <v>25.66</v>
      </c>
      <c r="I337" t="str">
        <f t="shared" si="10"/>
        <v>Moderate</v>
      </c>
      <c r="J337" t="str">
        <f t="shared" si="11"/>
        <v>2014 Q2</v>
      </c>
      <c r="K337">
        <f>raw_data!H337</f>
        <v>11.63</v>
      </c>
      <c r="L337" s="13">
        <f>raw_data!I337</f>
        <v>9.81</v>
      </c>
      <c r="M337" s="13">
        <f>raw_data!J337</f>
        <v>4.22</v>
      </c>
    </row>
    <row r="338" spans="1:13" x14ac:dyDescent="0.2">
      <c r="A338" t="str">
        <f>raw_data!A338</f>
        <v>2014Q2</v>
      </c>
      <c r="B338" t="str">
        <f>raw_data!B338</f>
        <v>Victoria</v>
      </c>
      <c r="C338" t="str">
        <f>raw_data!C338</f>
        <v>Accommodation and Food Services</v>
      </c>
      <c r="D338">
        <f>raw_data!D338</f>
        <v>15.77</v>
      </c>
      <c r="E338">
        <f>raw_data!E338</f>
        <v>34.619999999999997</v>
      </c>
      <c r="F338">
        <f>raw_data!F338</f>
        <v>2.85</v>
      </c>
      <c r="G338">
        <f>raw_data!G338</f>
        <v>17.55</v>
      </c>
      <c r="H338">
        <f>(raw_data!D338*weights!$B$2)+(raw_data!E338*weights!$B$3)+(raw_data!F338*weights!$B$4)</f>
        <v>17.548999999999999</v>
      </c>
      <c r="I338" t="str">
        <f t="shared" si="10"/>
        <v>Low</v>
      </c>
      <c r="J338" t="str">
        <f t="shared" si="11"/>
        <v>2014 Q2</v>
      </c>
      <c r="K338">
        <f>raw_data!H338</f>
        <v>6.31</v>
      </c>
      <c r="L338" s="13">
        <f>raw_data!I338</f>
        <v>10.38</v>
      </c>
      <c r="M338" s="13">
        <f>raw_data!J338</f>
        <v>0.85</v>
      </c>
    </row>
    <row r="339" spans="1:13" x14ac:dyDescent="0.2">
      <c r="A339" t="str">
        <f>raw_data!A339</f>
        <v>2014Q2</v>
      </c>
      <c r="B339" t="str">
        <f>raw_data!B339</f>
        <v>Victoria</v>
      </c>
      <c r="C339" t="str">
        <f>raw_data!C339</f>
        <v>Construction</v>
      </c>
      <c r="D339">
        <f>raw_data!D339</f>
        <v>13.83</v>
      </c>
      <c r="E339">
        <f>raw_data!E339</f>
        <v>50</v>
      </c>
      <c r="F339">
        <f>raw_data!F339</f>
        <v>6.96</v>
      </c>
      <c r="G339">
        <f>raw_data!G339</f>
        <v>22.62</v>
      </c>
      <c r="H339">
        <f>(raw_data!D339*weights!$B$2)+(raw_data!E339*weights!$B$3)+(raw_data!F339*weights!$B$4)</f>
        <v>22.62</v>
      </c>
      <c r="I339" t="str">
        <f t="shared" si="10"/>
        <v>Low</v>
      </c>
      <c r="J339" t="str">
        <f t="shared" si="11"/>
        <v>2014 Q2</v>
      </c>
      <c r="K339">
        <f>raw_data!H339</f>
        <v>5.53</v>
      </c>
      <c r="L339" s="13">
        <f>raw_data!I339</f>
        <v>15</v>
      </c>
      <c r="M339" s="13">
        <f>raw_data!J339</f>
        <v>2.09</v>
      </c>
    </row>
    <row r="340" spans="1:13" x14ac:dyDescent="0.2">
      <c r="A340" t="str">
        <f>raw_data!A340</f>
        <v>2014Q2</v>
      </c>
      <c r="B340" t="str">
        <f>raw_data!B340</f>
        <v>Victoria</v>
      </c>
      <c r="C340" t="str">
        <f>raw_data!C340</f>
        <v>Education and Training</v>
      </c>
      <c r="D340">
        <f>raw_data!D340</f>
        <v>0.36</v>
      </c>
      <c r="E340">
        <f>raw_data!E340</f>
        <v>55.77</v>
      </c>
      <c r="F340">
        <f>raw_data!F340</f>
        <v>1.65</v>
      </c>
      <c r="G340">
        <f>raw_data!G340</f>
        <v>17.37</v>
      </c>
      <c r="H340">
        <f>(raw_data!D340*weights!$B$2)+(raw_data!E340*weights!$B$3)+(raw_data!F340*weights!$B$4)</f>
        <v>17.37</v>
      </c>
      <c r="I340" t="str">
        <f t="shared" si="10"/>
        <v>Low</v>
      </c>
      <c r="J340" t="str">
        <f t="shared" si="11"/>
        <v>2014 Q2</v>
      </c>
      <c r="K340">
        <f>raw_data!H340</f>
        <v>0.14000000000000001</v>
      </c>
      <c r="L340" s="13">
        <f>raw_data!I340</f>
        <v>16.73</v>
      </c>
      <c r="M340" s="13">
        <f>raw_data!J340</f>
        <v>0.5</v>
      </c>
    </row>
    <row r="341" spans="1:13" x14ac:dyDescent="0.2">
      <c r="A341" t="str">
        <f>raw_data!A341</f>
        <v>2014Q2</v>
      </c>
      <c r="B341" t="str">
        <f>raw_data!B341</f>
        <v>Victoria</v>
      </c>
      <c r="C341" t="str">
        <f>raw_data!C341</f>
        <v>Health Care and Social Assistance</v>
      </c>
      <c r="D341">
        <f>raw_data!D341</f>
        <v>8.65</v>
      </c>
      <c r="E341">
        <f>raw_data!E341</f>
        <v>50</v>
      </c>
      <c r="F341">
        <f>raw_data!F341</f>
        <v>7.62</v>
      </c>
      <c r="G341">
        <f>raw_data!G341</f>
        <v>20.75</v>
      </c>
      <c r="H341">
        <f>(raw_data!D341*weights!$B$2)+(raw_data!E341*weights!$B$3)+(raw_data!F341*weights!$B$4)</f>
        <v>20.746000000000002</v>
      </c>
      <c r="I341" t="str">
        <f t="shared" si="10"/>
        <v>Low</v>
      </c>
      <c r="J341" t="str">
        <f t="shared" si="11"/>
        <v>2014 Q2</v>
      </c>
      <c r="K341">
        <f>raw_data!H341</f>
        <v>3.46</v>
      </c>
      <c r="L341" s="13">
        <f>raw_data!I341</f>
        <v>15</v>
      </c>
      <c r="M341" s="13">
        <f>raw_data!J341</f>
        <v>2.29</v>
      </c>
    </row>
    <row r="342" spans="1:13" x14ac:dyDescent="0.2">
      <c r="A342" t="str">
        <f>raw_data!A342</f>
        <v>2014Q2</v>
      </c>
      <c r="B342" t="str">
        <f>raw_data!B342</f>
        <v>Victoria</v>
      </c>
      <c r="C342" t="str">
        <f>raw_data!C342</f>
        <v>Manufacturing</v>
      </c>
      <c r="D342">
        <f>raw_data!D342</f>
        <v>9.2200000000000006</v>
      </c>
      <c r="E342">
        <f>raw_data!E342</f>
        <v>46.15</v>
      </c>
      <c r="F342">
        <f>raw_data!F342</f>
        <v>3.94</v>
      </c>
      <c r="G342">
        <f>raw_data!G342</f>
        <v>18.72</v>
      </c>
      <c r="H342">
        <f>(raw_data!D342*weights!$B$2)+(raw_data!E342*weights!$B$3)+(raw_data!F342*weights!$B$4)</f>
        <v>18.715</v>
      </c>
      <c r="I342" t="str">
        <f t="shared" si="10"/>
        <v>Low</v>
      </c>
      <c r="J342" t="str">
        <f t="shared" si="11"/>
        <v>2014 Q2</v>
      </c>
      <c r="K342">
        <f>raw_data!H342</f>
        <v>3.69</v>
      </c>
      <c r="L342" s="13">
        <f>raw_data!I342</f>
        <v>13.85</v>
      </c>
      <c r="M342" s="13">
        <f>raw_data!J342</f>
        <v>1.18</v>
      </c>
    </row>
    <row r="343" spans="1:13" x14ac:dyDescent="0.2">
      <c r="A343" t="str">
        <f>raw_data!A343</f>
        <v>2014Q2</v>
      </c>
      <c r="B343" t="str">
        <f>raw_data!B343</f>
        <v>Victoria</v>
      </c>
      <c r="C343" t="str">
        <f>raw_data!C343</f>
        <v>Professional, Scientific and Technical Services</v>
      </c>
      <c r="D343">
        <f>raw_data!D343</f>
        <v>19.7</v>
      </c>
      <c r="E343">
        <f>raw_data!E343</f>
        <v>32.69</v>
      </c>
      <c r="F343">
        <f>raw_data!F343</f>
        <v>12.15</v>
      </c>
      <c r="G343">
        <f>raw_data!G343</f>
        <v>21.33</v>
      </c>
      <c r="H343">
        <f>(raw_data!D343*weights!$B$2)+(raw_data!E343*weights!$B$3)+(raw_data!F343*weights!$B$4)</f>
        <v>21.331999999999997</v>
      </c>
      <c r="I343" t="str">
        <f t="shared" si="10"/>
        <v>Low</v>
      </c>
      <c r="J343" t="str">
        <f t="shared" si="11"/>
        <v>2014 Q2</v>
      </c>
      <c r="K343">
        <f>raw_data!H343</f>
        <v>7.88</v>
      </c>
      <c r="L343" s="13">
        <f>raw_data!I343</f>
        <v>9.81</v>
      </c>
      <c r="M343" s="13">
        <f>raw_data!J343</f>
        <v>3.64</v>
      </c>
    </row>
    <row r="344" spans="1:13" x14ac:dyDescent="0.2">
      <c r="A344" t="str">
        <f>raw_data!A344</f>
        <v>2014Q3</v>
      </c>
      <c r="B344" t="str">
        <f>raw_data!B344</f>
        <v>New South Wales</v>
      </c>
      <c r="C344" t="str">
        <f>raw_data!C344</f>
        <v>Accommodation and Food Services</v>
      </c>
      <c r="D344">
        <f>raw_data!D344</f>
        <v>13.26</v>
      </c>
      <c r="E344">
        <f>raw_data!E344</f>
        <v>44.23</v>
      </c>
      <c r="F344">
        <f>raw_data!F344</f>
        <v>3.1</v>
      </c>
      <c r="G344">
        <f>raw_data!G344</f>
        <v>19.5</v>
      </c>
      <c r="H344">
        <f>(raw_data!D344*weights!$B$2)+(raw_data!E344*weights!$B$3)+(raw_data!F344*weights!$B$4)</f>
        <v>19.503</v>
      </c>
      <c r="I344" t="str">
        <f t="shared" si="10"/>
        <v>Low</v>
      </c>
      <c r="J344" t="str">
        <f t="shared" si="11"/>
        <v>2014 Q3</v>
      </c>
      <c r="K344">
        <f>raw_data!H344</f>
        <v>5.3</v>
      </c>
      <c r="L344" s="13">
        <f>raw_data!I344</f>
        <v>13.27</v>
      </c>
      <c r="M344" s="13">
        <f>raw_data!J344</f>
        <v>0.93</v>
      </c>
    </row>
    <row r="345" spans="1:13" x14ac:dyDescent="0.2">
      <c r="A345" t="str">
        <f>raw_data!A345</f>
        <v>2014Q3</v>
      </c>
      <c r="B345" t="str">
        <f>raw_data!B345</f>
        <v>New South Wales</v>
      </c>
      <c r="C345" t="str">
        <f>raw_data!C345</f>
        <v>Construction</v>
      </c>
      <c r="D345">
        <f>raw_data!D345</f>
        <v>8.9</v>
      </c>
      <c r="E345">
        <f>raw_data!E345</f>
        <v>42.31</v>
      </c>
      <c r="F345">
        <f>raw_data!F345</f>
        <v>6.49</v>
      </c>
      <c r="G345">
        <f>raw_data!G345</f>
        <v>18.2</v>
      </c>
      <c r="H345">
        <f>(raw_data!D345*weights!$B$2)+(raw_data!E345*weights!$B$3)+(raw_data!F345*weights!$B$4)</f>
        <v>18.2</v>
      </c>
      <c r="I345" t="str">
        <f t="shared" si="10"/>
        <v>Low</v>
      </c>
      <c r="J345" t="str">
        <f t="shared" si="11"/>
        <v>2014 Q3</v>
      </c>
      <c r="K345">
        <f>raw_data!H345</f>
        <v>3.56</v>
      </c>
      <c r="L345" s="13">
        <f>raw_data!I345</f>
        <v>12.69</v>
      </c>
      <c r="M345" s="13">
        <f>raw_data!J345</f>
        <v>1.95</v>
      </c>
    </row>
    <row r="346" spans="1:13" x14ac:dyDescent="0.2">
      <c r="A346" t="str">
        <f>raw_data!A346</f>
        <v>2014Q3</v>
      </c>
      <c r="B346" t="str">
        <f>raw_data!B346</f>
        <v>New South Wales</v>
      </c>
      <c r="C346" t="str">
        <f>raw_data!C346</f>
        <v>Education and Training</v>
      </c>
      <c r="D346">
        <f>raw_data!D346</f>
        <v>0.46</v>
      </c>
      <c r="E346">
        <f>raw_data!E346</f>
        <v>55.77</v>
      </c>
      <c r="F346">
        <f>raw_data!F346</f>
        <v>1.2</v>
      </c>
      <c r="G346">
        <f>raw_data!G346</f>
        <v>17.27</v>
      </c>
      <c r="H346">
        <f>(raw_data!D346*weights!$B$2)+(raw_data!E346*weights!$B$3)+(raw_data!F346*weights!$B$4)</f>
        <v>17.275000000000002</v>
      </c>
      <c r="I346" t="str">
        <f t="shared" si="10"/>
        <v>Low</v>
      </c>
      <c r="J346" t="str">
        <f t="shared" si="11"/>
        <v>2014 Q3</v>
      </c>
      <c r="K346">
        <f>raw_data!H346</f>
        <v>0.18</v>
      </c>
      <c r="L346" s="13">
        <f>raw_data!I346</f>
        <v>16.73</v>
      </c>
      <c r="M346" s="13">
        <f>raw_data!J346</f>
        <v>0.36</v>
      </c>
    </row>
    <row r="347" spans="1:13" x14ac:dyDescent="0.2">
      <c r="A347" t="str">
        <f>raw_data!A347</f>
        <v>2014Q3</v>
      </c>
      <c r="B347" t="str">
        <f>raw_data!B347</f>
        <v>New South Wales</v>
      </c>
      <c r="C347" t="str">
        <f>raw_data!C347</f>
        <v>Health Care and Social Assistance</v>
      </c>
      <c r="D347">
        <f>raw_data!D347</f>
        <v>6.04</v>
      </c>
      <c r="E347">
        <f>raw_data!E347</f>
        <v>51.92</v>
      </c>
      <c r="F347">
        <f>raw_data!F347</f>
        <v>6.48</v>
      </c>
      <c r="G347">
        <f>raw_data!G347</f>
        <v>19.940000000000001</v>
      </c>
      <c r="H347">
        <f>(raw_data!D347*weights!$B$2)+(raw_data!E347*weights!$B$3)+(raw_data!F347*weights!$B$4)</f>
        <v>19.936</v>
      </c>
      <c r="I347" t="str">
        <f t="shared" si="10"/>
        <v>Low</v>
      </c>
      <c r="J347" t="str">
        <f t="shared" si="11"/>
        <v>2014 Q3</v>
      </c>
      <c r="K347">
        <f>raw_data!H347</f>
        <v>2.42</v>
      </c>
      <c r="L347" s="13">
        <f>raw_data!I347</f>
        <v>15.58</v>
      </c>
      <c r="M347" s="13">
        <f>raw_data!J347</f>
        <v>1.94</v>
      </c>
    </row>
    <row r="348" spans="1:13" x14ac:dyDescent="0.2">
      <c r="A348" t="str">
        <f>raw_data!A348</f>
        <v>2014Q3</v>
      </c>
      <c r="B348" t="str">
        <f>raw_data!B348</f>
        <v>New South Wales</v>
      </c>
      <c r="C348" t="str">
        <f>raw_data!C348</f>
        <v>Manufacturing</v>
      </c>
      <c r="D348">
        <f>raw_data!D348</f>
        <v>9.0500000000000007</v>
      </c>
      <c r="E348">
        <f>raw_data!E348</f>
        <v>46.15</v>
      </c>
      <c r="F348">
        <f>raw_data!F348</f>
        <v>2.4900000000000002</v>
      </c>
      <c r="G348">
        <f>raw_data!G348</f>
        <v>18.22</v>
      </c>
      <c r="H348">
        <f>(raw_data!D348*weights!$B$2)+(raw_data!E348*weights!$B$3)+(raw_data!F348*weights!$B$4)</f>
        <v>18.212</v>
      </c>
      <c r="I348" t="str">
        <f t="shared" si="10"/>
        <v>Low</v>
      </c>
      <c r="J348" t="str">
        <f t="shared" si="11"/>
        <v>2014 Q3</v>
      </c>
      <c r="K348">
        <f>raw_data!H348</f>
        <v>3.62</v>
      </c>
      <c r="L348" s="13">
        <f>raw_data!I348</f>
        <v>13.85</v>
      </c>
      <c r="M348" s="13">
        <f>raw_data!J348</f>
        <v>0.75</v>
      </c>
    </row>
    <row r="349" spans="1:13" x14ac:dyDescent="0.2">
      <c r="A349" t="str">
        <f>raw_data!A349</f>
        <v>2014Q3</v>
      </c>
      <c r="B349" t="str">
        <f>raw_data!B349</f>
        <v>New South Wales</v>
      </c>
      <c r="C349" t="str">
        <f>raw_data!C349</f>
        <v>Professional, Scientific and Technical Services</v>
      </c>
      <c r="D349">
        <f>raw_data!D349</f>
        <v>16.489999999999998</v>
      </c>
      <c r="E349">
        <f>raw_data!E349</f>
        <v>32.69</v>
      </c>
      <c r="F349">
        <f>raw_data!F349</f>
        <v>10.4</v>
      </c>
      <c r="G349">
        <f>raw_data!G349</f>
        <v>19.52</v>
      </c>
      <c r="H349">
        <f>(raw_data!D349*weights!$B$2)+(raw_data!E349*weights!$B$3)+(raw_data!F349*weights!$B$4)</f>
        <v>19.523</v>
      </c>
      <c r="I349" t="str">
        <f t="shared" si="10"/>
        <v>Low</v>
      </c>
      <c r="J349" t="str">
        <f t="shared" si="11"/>
        <v>2014 Q3</v>
      </c>
      <c r="K349">
        <f>raw_data!H349</f>
        <v>6.59</v>
      </c>
      <c r="L349" s="13">
        <f>raw_data!I349</f>
        <v>9.81</v>
      </c>
      <c r="M349" s="13">
        <f>raw_data!J349</f>
        <v>3.12</v>
      </c>
    </row>
    <row r="350" spans="1:13" x14ac:dyDescent="0.2">
      <c r="A350" t="str">
        <f>raw_data!A350</f>
        <v>2014Q3</v>
      </c>
      <c r="B350" t="str">
        <f>raw_data!B350</f>
        <v>Queensland</v>
      </c>
      <c r="C350" t="str">
        <f>raw_data!C350</f>
        <v>Accommodation and Food Services</v>
      </c>
      <c r="D350">
        <f>raw_data!D350</f>
        <v>20.260000000000002</v>
      </c>
      <c r="E350">
        <f>raw_data!E350</f>
        <v>44.23</v>
      </c>
      <c r="F350">
        <f>raw_data!F350</f>
        <v>2.61</v>
      </c>
      <c r="G350">
        <f>raw_data!G350</f>
        <v>22.16</v>
      </c>
      <c r="H350">
        <f>(raw_data!D350*weights!$B$2)+(raw_data!E350*weights!$B$3)+(raw_data!F350*weights!$B$4)</f>
        <v>22.155999999999999</v>
      </c>
      <c r="I350" t="str">
        <f t="shared" si="10"/>
        <v>Low</v>
      </c>
      <c r="J350" t="str">
        <f t="shared" si="11"/>
        <v>2014 Q3</v>
      </c>
      <c r="K350">
        <f>raw_data!H350</f>
        <v>8.1</v>
      </c>
      <c r="L350" s="13">
        <f>raw_data!I350</f>
        <v>13.27</v>
      </c>
      <c r="M350" s="13">
        <f>raw_data!J350</f>
        <v>0.78</v>
      </c>
    </row>
    <row r="351" spans="1:13" x14ac:dyDescent="0.2">
      <c r="A351" t="str">
        <f>raw_data!A351</f>
        <v>2014Q3</v>
      </c>
      <c r="B351" t="str">
        <f>raw_data!B351</f>
        <v>Queensland</v>
      </c>
      <c r="C351" t="str">
        <f>raw_data!C351</f>
        <v>Construction</v>
      </c>
      <c r="D351">
        <f>raw_data!D351</f>
        <v>13.5</v>
      </c>
      <c r="E351">
        <f>raw_data!E351</f>
        <v>42.31</v>
      </c>
      <c r="F351">
        <f>raw_data!F351</f>
        <v>4.26</v>
      </c>
      <c r="G351">
        <f>raw_data!G351</f>
        <v>19.37</v>
      </c>
      <c r="H351">
        <f>(raw_data!D351*weights!$B$2)+(raw_data!E351*weights!$B$3)+(raw_data!F351*weights!$B$4)</f>
        <v>19.370999999999999</v>
      </c>
      <c r="I351" t="str">
        <f t="shared" si="10"/>
        <v>Low</v>
      </c>
      <c r="J351" t="str">
        <f t="shared" si="11"/>
        <v>2014 Q3</v>
      </c>
      <c r="K351">
        <f>raw_data!H351</f>
        <v>5.4</v>
      </c>
      <c r="L351" s="13">
        <f>raw_data!I351</f>
        <v>12.69</v>
      </c>
      <c r="M351" s="13">
        <f>raw_data!J351</f>
        <v>1.28</v>
      </c>
    </row>
    <row r="352" spans="1:13" x14ac:dyDescent="0.2">
      <c r="A352" t="str">
        <f>raw_data!A352</f>
        <v>2014Q3</v>
      </c>
      <c r="B352" t="str">
        <f>raw_data!B352</f>
        <v>Queensland</v>
      </c>
      <c r="C352" t="str">
        <f>raw_data!C352</f>
        <v>Education and Training</v>
      </c>
      <c r="D352">
        <f>raw_data!D352</f>
        <v>2.36</v>
      </c>
      <c r="E352">
        <f>raw_data!E352</f>
        <v>55.77</v>
      </c>
      <c r="F352">
        <f>raw_data!F352</f>
        <v>6.75</v>
      </c>
      <c r="G352">
        <f>raw_data!G352</f>
        <v>19.7</v>
      </c>
      <c r="H352">
        <f>(raw_data!D352*weights!$B$2)+(raw_data!E352*weights!$B$3)+(raw_data!F352*weights!$B$4)</f>
        <v>19.7</v>
      </c>
      <c r="I352" t="str">
        <f t="shared" si="10"/>
        <v>Low</v>
      </c>
      <c r="J352" t="str">
        <f t="shared" si="11"/>
        <v>2014 Q3</v>
      </c>
      <c r="K352">
        <f>raw_data!H352</f>
        <v>0.95</v>
      </c>
      <c r="L352" s="13">
        <f>raw_data!I352</f>
        <v>16.73</v>
      </c>
      <c r="M352" s="13">
        <f>raw_data!J352</f>
        <v>2.02</v>
      </c>
    </row>
    <row r="353" spans="1:13" x14ac:dyDescent="0.2">
      <c r="A353" t="str">
        <f>raw_data!A353</f>
        <v>2014Q3</v>
      </c>
      <c r="B353" t="str">
        <f>raw_data!B353</f>
        <v>Queensland</v>
      </c>
      <c r="C353" t="str">
        <f>raw_data!C353</f>
        <v>Health Care and Social Assistance</v>
      </c>
      <c r="D353">
        <f>raw_data!D353</f>
        <v>9.3800000000000008</v>
      </c>
      <c r="E353">
        <f>raw_data!E353</f>
        <v>51.92</v>
      </c>
      <c r="F353">
        <f>raw_data!F353</f>
        <v>7.54</v>
      </c>
      <c r="G353">
        <f>raw_data!G353</f>
        <v>21.59</v>
      </c>
      <c r="H353">
        <f>(raw_data!D353*weights!$B$2)+(raw_data!E353*weights!$B$3)+(raw_data!F353*weights!$B$4)</f>
        <v>21.590000000000003</v>
      </c>
      <c r="I353" t="str">
        <f t="shared" si="10"/>
        <v>Low</v>
      </c>
      <c r="J353" t="str">
        <f t="shared" si="11"/>
        <v>2014 Q3</v>
      </c>
      <c r="K353">
        <f>raw_data!H353</f>
        <v>3.75</v>
      </c>
      <c r="L353" s="13">
        <f>raw_data!I353</f>
        <v>15.58</v>
      </c>
      <c r="M353" s="13">
        <f>raw_data!J353</f>
        <v>2.2599999999999998</v>
      </c>
    </row>
    <row r="354" spans="1:13" x14ac:dyDescent="0.2">
      <c r="A354" t="str">
        <f>raw_data!A354</f>
        <v>2014Q3</v>
      </c>
      <c r="B354" t="str">
        <f>raw_data!B354</f>
        <v>Queensland</v>
      </c>
      <c r="C354" t="str">
        <f>raw_data!C354</f>
        <v>Manufacturing</v>
      </c>
      <c r="D354">
        <f>raw_data!D354</f>
        <v>15.74</v>
      </c>
      <c r="E354">
        <f>raw_data!E354</f>
        <v>46.15</v>
      </c>
      <c r="F354">
        <f>raw_data!F354</f>
        <v>4.46</v>
      </c>
      <c r="G354">
        <f>raw_data!G354</f>
        <v>21.48</v>
      </c>
      <c r="H354">
        <f>(raw_data!D354*weights!$B$2)+(raw_data!E354*weights!$B$3)+(raw_data!F354*weights!$B$4)</f>
        <v>21.478999999999999</v>
      </c>
      <c r="I354" t="str">
        <f t="shared" si="10"/>
        <v>Low</v>
      </c>
      <c r="J354" t="str">
        <f t="shared" si="11"/>
        <v>2014 Q3</v>
      </c>
      <c r="K354">
        <f>raw_data!H354</f>
        <v>6.3</v>
      </c>
      <c r="L354" s="13">
        <f>raw_data!I354</f>
        <v>13.85</v>
      </c>
      <c r="M354" s="13">
        <f>raw_data!J354</f>
        <v>1.34</v>
      </c>
    </row>
    <row r="355" spans="1:13" x14ac:dyDescent="0.2">
      <c r="A355" t="str">
        <f>raw_data!A355</f>
        <v>2014Q3</v>
      </c>
      <c r="B355" t="str">
        <f>raw_data!B355</f>
        <v>Queensland</v>
      </c>
      <c r="C355" t="str">
        <f>raw_data!C355</f>
        <v>Professional, Scientific and Technical Services</v>
      </c>
      <c r="D355">
        <f>raw_data!D355</f>
        <v>29.11</v>
      </c>
      <c r="E355">
        <f>raw_data!E355</f>
        <v>32.69</v>
      </c>
      <c r="F355">
        <f>raw_data!F355</f>
        <v>22.77</v>
      </c>
      <c r="G355">
        <f>raw_data!G355</f>
        <v>28.28</v>
      </c>
      <c r="H355">
        <f>(raw_data!D355*weights!$B$2)+(raw_data!E355*weights!$B$3)+(raw_data!F355*weights!$B$4)</f>
        <v>28.282</v>
      </c>
      <c r="I355" t="str">
        <f t="shared" si="10"/>
        <v>Moderate</v>
      </c>
      <c r="J355" t="str">
        <f t="shared" si="11"/>
        <v>2014 Q3</v>
      </c>
      <c r="K355">
        <f>raw_data!H355</f>
        <v>11.64</v>
      </c>
      <c r="L355" s="13">
        <f>raw_data!I355</f>
        <v>9.81</v>
      </c>
      <c r="M355" s="13">
        <f>raw_data!J355</f>
        <v>6.83</v>
      </c>
    </row>
    <row r="356" spans="1:13" x14ac:dyDescent="0.2">
      <c r="A356" t="str">
        <f>raw_data!A356</f>
        <v>2014Q3</v>
      </c>
      <c r="B356" t="str">
        <f>raw_data!B356</f>
        <v>Victoria</v>
      </c>
      <c r="C356" t="str">
        <f>raw_data!C356</f>
        <v>Accommodation and Food Services</v>
      </c>
      <c r="D356">
        <f>raw_data!D356</f>
        <v>17.04</v>
      </c>
      <c r="E356">
        <f>raw_data!E356</f>
        <v>44.23</v>
      </c>
      <c r="F356">
        <f>raw_data!F356</f>
        <v>2.14</v>
      </c>
      <c r="G356">
        <f>raw_data!G356</f>
        <v>20.73</v>
      </c>
      <c r="H356">
        <f>(raw_data!D356*weights!$B$2)+(raw_data!E356*weights!$B$3)+(raw_data!F356*weights!$B$4)</f>
        <v>20.726999999999997</v>
      </c>
      <c r="I356" t="str">
        <f t="shared" si="10"/>
        <v>Low</v>
      </c>
      <c r="J356" t="str">
        <f t="shared" si="11"/>
        <v>2014 Q3</v>
      </c>
      <c r="K356">
        <f>raw_data!H356</f>
        <v>6.82</v>
      </c>
      <c r="L356" s="13">
        <f>raw_data!I356</f>
        <v>13.27</v>
      </c>
      <c r="M356" s="13">
        <f>raw_data!J356</f>
        <v>0.64</v>
      </c>
    </row>
    <row r="357" spans="1:13" x14ac:dyDescent="0.2">
      <c r="A357" t="str">
        <f>raw_data!A357</f>
        <v>2014Q3</v>
      </c>
      <c r="B357" t="str">
        <f>raw_data!B357</f>
        <v>Victoria</v>
      </c>
      <c r="C357" t="str">
        <f>raw_data!C357</f>
        <v>Construction</v>
      </c>
      <c r="D357">
        <f>raw_data!D357</f>
        <v>12.99</v>
      </c>
      <c r="E357">
        <f>raw_data!E357</f>
        <v>42.31</v>
      </c>
      <c r="F357">
        <f>raw_data!F357</f>
        <v>4.5</v>
      </c>
      <c r="G357">
        <f>raw_data!G357</f>
        <v>19.239999999999998</v>
      </c>
      <c r="H357">
        <f>(raw_data!D357*weights!$B$2)+(raw_data!E357*weights!$B$3)+(raw_data!F357*weights!$B$4)</f>
        <v>19.239000000000001</v>
      </c>
      <c r="I357" t="str">
        <f t="shared" si="10"/>
        <v>Low</v>
      </c>
      <c r="J357" t="str">
        <f t="shared" si="11"/>
        <v>2014 Q3</v>
      </c>
      <c r="K357">
        <f>raw_data!H357</f>
        <v>5.2</v>
      </c>
      <c r="L357" s="13">
        <f>raw_data!I357</f>
        <v>12.69</v>
      </c>
      <c r="M357" s="13">
        <f>raw_data!J357</f>
        <v>1.35</v>
      </c>
    </row>
    <row r="358" spans="1:13" x14ac:dyDescent="0.2">
      <c r="A358" t="str">
        <f>raw_data!A358</f>
        <v>2014Q3</v>
      </c>
      <c r="B358" t="str">
        <f>raw_data!B358</f>
        <v>Victoria</v>
      </c>
      <c r="C358" t="str">
        <f>raw_data!C358</f>
        <v>Education and Training</v>
      </c>
      <c r="D358">
        <f>raw_data!D358</f>
        <v>1.19</v>
      </c>
      <c r="E358">
        <f>raw_data!E358</f>
        <v>55.77</v>
      </c>
      <c r="F358">
        <f>raw_data!F358</f>
        <v>1.89</v>
      </c>
      <c r="G358">
        <f>raw_data!G358</f>
        <v>17.77</v>
      </c>
      <c r="H358">
        <f>(raw_data!D358*weights!$B$2)+(raw_data!E358*weights!$B$3)+(raw_data!F358*weights!$B$4)</f>
        <v>17.774000000000001</v>
      </c>
      <c r="I358" t="str">
        <f t="shared" si="10"/>
        <v>Low</v>
      </c>
      <c r="J358" t="str">
        <f t="shared" si="11"/>
        <v>2014 Q3</v>
      </c>
      <c r="K358">
        <f>raw_data!H358</f>
        <v>0.48</v>
      </c>
      <c r="L358" s="13">
        <f>raw_data!I358</f>
        <v>16.73</v>
      </c>
      <c r="M358" s="13">
        <f>raw_data!J358</f>
        <v>0.56999999999999995</v>
      </c>
    </row>
    <row r="359" spans="1:13" x14ac:dyDescent="0.2">
      <c r="A359" t="str">
        <f>raw_data!A359</f>
        <v>2014Q3</v>
      </c>
      <c r="B359" t="str">
        <f>raw_data!B359</f>
        <v>Victoria</v>
      </c>
      <c r="C359" t="str">
        <f>raw_data!C359</f>
        <v>Health Care and Social Assistance</v>
      </c>
      <c r="D359">
        <f>raw_data!D359</f>
        <v>7.99</v>
      </c>
      <c r="E359">
        <f>raw_data!E359</f>
        <v>51.92</v>
      </c>
      <c r="F359">
        <f>raw_data!F359</f>
        <v>4.5999999999999996</v>
      </c>
      <c r="G359">
        <f>raw_data!G359</f>
        <v>20.149999999999999</v>
      </c>
      <c r="H359">
        <f>(raw_data!D359*weights!$B$2)+(raw_data!E359*weights!$B$3)+(raw_data!F359*weights!$B$4)</f>
        <v>20.152000000000001</v>
      </c>
      <c r="I359" t="str">
        <f t="shared" si="10"/>
        <v>Low</v>
      </c>
      <c r="J359" t="str">
        <f t="shared" si="11"/>
        <v>2014 Q3</v>
      </c>
      <c r="K359">
        <f>raw_data!H359</f>
        <v>3.2</v>
      </c>
      <c r="L359" s="13">
        <f>raw_data!I359</f>
        <v>15.58</v>
      </c>
      <c r="M359" s="13">
        <f>raw_data!J359</f>
        <v>1.38</v>
      </c>
    </row>
    <row r="360" spans="1:13" x14ac:dyDescent="0.2">
      <c r="A360" t="str">
        <f>raw_data!A360</f>
        <v>2014Q3</v>
      </c>
      <c r="B360" t="str">
        <f>raw_data!B360</f>
        <v>Victoria</v>
      </c>
      <c r="C360" t="str">
        <f>raw_data!C360</f>
        <v>Manufacturing</v>
      </c>
      <c r="D360">
        <f>raw_data!D360</f>
        <v>8.2799999999999994</v>
      </c>
      <c r="E360">
        <f>raw_data!E360</f>
        <v>46.15</v>
      </c>
      <c r="F360">
        <f>raw_data!F360</f>
        <v>2.69</v>
      </c>
      <c r="G360">
        <f>raw_data!G360</f>
        <v>17.97</v>
      </c>
      <c r="H360">
        <f>(raw_data!D360*weights!$B$2)+(raw_data!E360*weights!$B$3)+(raw_data!F360*weights!$B$4)</f>
        <v>17.963999999999999</v>
      </c>
      <c r="I360" t="str">
        <f t="shared" si="10"/>
        <v>Low</v>
      </c>
      <c r="J360" t="str">
        <f t="shared" si="11"/>
        <v>2014 Q3</v>
      </c>
      <c r="K360">
        <f>raw_data!H360</f>
        <v>3.31</v>
      </c>
      <c r="L360" s="13">
        <f>raw_data!I360</f>
        <v>13.85</v>
      </c>
      <c r="M360" s="13">
        <f>raw_data!J360</f>
        <v>0.81</v>
      </c>
    </row>
    <row r="361" spans="1:13" x14ac:dyDescent="0.2">
      <c r="A361" t="str">
        <f>raw_data!A361</f>
        <v>2014Q3</v>
      </c>
      <c r="B361" t="str">
        <f>raw_data!B361</f>
        <v>Victoria</v>
      </c>
      <c r="C361" t="str">
        <f>raw_data!C361</f>
        <v>Professional, Scientific and Technical Services</v>
      </c>
      <c r="D361">
        <f>raw_data!D361</f>
        <v>20.27</v>
      </c>
      <c r="E361">
        <f>raw_data!E361</f>
        <v>32.69</v>
      </c>
      <c r="F361">
        <f>raw_data!F361</f>
        <v>11.01</v>
      </c>
      <c r="G361">
        <f>raw_data!G361</f>
        <v>21.22</v>
      </c>
      <c r="H361">
        <f>(raw_data!D361*weights!$B$2)+(raw_data!E361*weights!$B$3)+(raw_data!F361*weights!$B$4)</f>
        <v>21.218</v>
      </c>
      <c r="I361" t="str">
        <f t="shared" si="10"/>
        <v>Low</v>
      </c>
      <c r="J361" t="str">
        <f t="shared" si="11"/>
        <v>2014 Q3</v>
      </c>
      <c r="K361">
        <f>raw_data!H361</f>
        <v>8.11</v>
      </c>
      <c r="L361" s="13">
        <f>raw_data!I361</f>
        <v>9.81</v>
      </c>
      <c r="M361" s="13">
        <f>raw_data!J361</f>
        <v>3.3</v>
      </c>
    </row>
    <row r="362" spans="1:13" x14ac:dyDescent="0.2">
      <c r="A362" t="str">
        <f>raw_data!A362</f>
        <v>2014Q4</v>
      </c>
      <c r="B362" t="str">
        <f>raw_data!B362</f>
        <v>New South Wales</v>
      </c>
      <c r="C362" t="str">
        <f>raw_data!C362</f>
        <v>Accommodation and Food Services</v>
      </c>
      <c r="D362">
        <f>raw_data!D362</f>
        <v>18.100000000000001</v>
      </c>
      <c r="E362">
        <f>raw_data!E362</f>
        <v>44.23</v>
      </c>
      <c r="F362">
        <f>raw_data!F362</f>
        <v>3</v>
      </c>
      <c r="G362">
        <f>raw_data!G362</f>
        <v>21.41</v>
      </c>
      <c r="H362">
        <f>(raw_data!D362*weights!$B$2)+(raw_data!E362*weights!$B$3)+(raw_data!F362*weights!$B$4)</f>
        <v>21.408999999999999</v>
      </c>
      <c r="I362" t="str">
        <f t="shared" si="10"/>
        <v>Low</v>
      </c>
      <c r="J362" t="str">
        <f t="shared" si="11"/>
        <v>2014 Q4</v>
      </c>
      <c r="K362">
        <f>raw_data!H362</f>
        <v>7.24</v>
      </c>
      <c r="L362" s="13">
        <f>raw_data!I362</f>
        <v>13.27</v>
      </c>
      <c r="M362" s="13">
        <f>raw_data!J362</f>
        <v>0.9</v>
      </c>
    </row>
    <row r="363" spans="1:13" x14ac:dyDescent="0.2">
      <c r="A363" t="str">
        <f>raw_data!A363</f>
        <v>2014Q4</v>
      </c>
      <c r="B363" t="str">
        <f>raw_data!B363</f>
        <v>New South Wales</v>
      </c>
      <c r="C363" t="str">
        <f>raw_data!C363</f>
        <v>Construction</v>
      </c>
      <c r="D363">
        <f>raw_data!D363</f>
        <v>7.3</v>
      </c>
      <c r="E363">
        <f>raw_data!E363</f>
        <v>42.31</v>
      </c>
      <c r="F363">
        <f>raw_data!F363</f>
        <v>4.8899999999999997</v>
      </c>
      <c r="G363">
        <f>raw_data!G363</f>
        <v>17.079999999999998</v>
      </c>
      <c r="H363">
        <f>(raw_data!D363*weights!$B$2)+(raw_data!E363*weights!$B$3)+(raw_data!F363*weights!$B$4)</f>
        <v>17.079999999999998</v>
      </c>
      <c r="I363" t="str">
        <f t="shared" si="10"/>
        <v>Low</v>
      </c>
      <c r="J363" t="str">
        <f t="shared" si="11"/>
        <v>2014 Q4</v>
      </c>
      <c r="K363">
        <f>raw_data!H363</f>
        <v>2.92</v>
      </c>
      <c r="L363" s="13">
        <f>raw_data!I363</f>
        <v>12.69</v>
      </c>
      <c r="M363" s="13">
        <f>raw_data!J363</f>
        <v>1.47</v>
      </c>
    </row>
    <row r="364" spans="1:13" x14ac:dyDescent="0.2">
      <c r="A364" t="str">
        <f>raw_data!A364</f>
        <v>2014Q4</v>
      </c>
      <c r="B364" t="str">
        <f>raw_data!B364</f>
        <v>New South Wales</v>
      </c>
      <c r="C364" t="str">
        <f>raw_data!C364</f>
        <v>Education and Training</v>
      </c>
      <c r="D364">
        <f>raw_data!D364</f>
        <v>1.58</v>
      </c>
      <c r="E364">
        <f>raw_data!E364</f>
        <v>59.62</v>
      </c>
      <c r="F364">
        <f>raw_data!F364</f>
        <v>2.23</v>
      </c>
      <c r="G364">
        <f>raw_data!G364</f>
        <v>19.18</v>
      </c>
      <c r="H364">
        <f>(raw_data!D364*weights!$B$2)+(raw_data!E364*weights!$B$3)+(raw_data!F364*weights!$B$4)</f>
        <v>19.187000000000001</v>
      </c>
      <c r="I364" t="str">
        <f t="shared" si="10"/>
        <v>Low</v>
      </c>
      <c r="J364" t="str">
        <f t="shared" si="11"/>
        <v>2014 Q4</v>
      </c>
      <c r="K364">
        <f>raw_data!H364</f>
        <v>0.63</v>
      </c>
      <c r="L364" s="13">
        <f>raw_data!I364</f>
        <v>17.88</v>
      </c>
      <c r="M364" s="13">
        <f>raw_data!J364</f>
        <v>0.67</v>
      </c>
    </row>
    <row r="365" spans="1:13" x14ac:dyDescent="0.2">
      <c r="A365" t="str">
        <f>raw_data!A365</f>
        <v>2014Q4</v>
      </c>
      <c r="B365" t="str">
        <f>raw_data!B365</f>
        <v>New South Wales</v>
      </c>
      <c r="C365" t="str">
        <f>raw_data!C365</f>
        <v>Health Care and Social Assistance</v>
      </c>
      <c r="D365">
        <f>raw_data!D365</f>
        <v>7.24</v>
      </c>
      <c r="E365">
        <f>raw_data!E365</f>
        <v>48.08</v>
      </c>
      <c r="F365">
        <f>raw_data!F365</f>
        <v>7.91</v>
      </c>
      <c r="G365">
        <f>raw_data!G365</f>
        <v>19.690000000000001</v>
      </c>
      <c r="H365">
        <f>(raw_data!D365*weights!$B$2)+(raw_data!E365*weights!$B$3)+(raw_data!F365*weights!$B$4)</f>
        <v>19.693000000000001</v>
      </c>
      <c r="I365" t="str">
        <f t="shared" si="10"/>
        <v>Low</v>
      </c>
      <c r="J365" t="str">
        <f t="shared" si="11"/>
        <v>2014 Q4</v>
      </c>
      <c r="K365">
        <f>raw_data!H365</f>
        <v>2.9</v>
      </c>
      <c r="L365" s="13">
        <f>raw_data!I365</f>
        <v>14.42</v>
      </c>
      <c r="M365" s="13">
        <f>raw_data!J365</f>
        <v>2.37</v>
      </c>
    </row>
    <row r="366" spans="1:13" x14ac:dyDescent="0.2">
      <c r="A366" t="str">
        <f>raw_data!A366</f>
        <v>2014Q4</v>
      </c>
      <c r="B366" t="str">
        <f>raw_data!B366</f>
        <v>New South Wales</v>
      </c>
      <c r="C366" t="str">
        <f>raw_data!C366</f>
        <v>Manufacturing</v>
      </c>
      <c r="D366">
        <f>raw_data!D366</f>
        <v>7.34</v>
      </c>
      <c r="E366">
        <f>raw_data!E366</f>
        <v>48.08</v>
      </c>
      <c r="F366">
        <f>raw_data!F366</f>
        <v>3.86</v>
      </c>
      <c r="G366">
        <f>raw_data!G366</f>
        <v>18.52</v>
      </c>
      <c r="H366">
        <f>(raw_data!D366*weights!$B$2)+(raw_data!E366*weights!$B$3)+(raw_data!F366*weights!$B$4)</f>
        <v>18.518000000000001</v>
      </c>
      <c r="I366" t="str">
        <f t="shared" si="10"/>
        <v>Low</v>
      </c>
      <c r="J366" t="str">
        <f t="shared" si="11"/>
        <v>2014 Q4</v>
      </c>
      <c r="K366">
        <f>raw_data!H366</f>
        <v>2.94</v>
      </c>
      <c r="L366" s="13">
        <f>raw_data!I366</f>
        <v>14.42</v>
      </c>
      <c r="M366" s="13">
        <f>raw_data!J366</f>
        <v>1.1599999999999999</v>
      </c>
    </row>
    <row r="367" spans="1:13" x14ac:dyDescent="0.2">
      <c r="A367" t="str">
        <f>raw_data!A367</f>
        <v>2014Q4</v>
      </c>
      <c r="B367" t="str">
        <f>raw_data!B367</f>
        <v>New South Wales</v>
      </c>
      <c r="C367" t="str">
        <f>raw_data!C367</f>
        <v>Professional, Scientific and Technical Services</v>
      </c>
      <c r="D367">
        <f>raw_data!D367</f>
        <v>16.18</v>
      </c>
      <c r="E367">
        <f>raw_data!E367</f>
        <v>30.77</v>
      </c>
      <c r="F367">
        <f>raw_data!F367</f>
        <v>15.15</v>
      </c>
      <c r="G367">
        <f>raw_data!G367</f>
        <v>20.25</v>
      </c>
      <c r="H367">
        <f>(raw_data!D367*weights!$B$2)+(raw_data!E367*weights!$B$3)+(raw_data!F367*weights!$B$4)</f>
        <v>20.247999999999998</v>
      </c>
      <c r="I367" t="str">
        <f t="shared" si="10"/>
        <v>Low</v>
      </c>
      <c r="J367" t="str">
        <f t="shared" si="11"/>
        <v>2014 Q4</v>
      </c>
      <c r="K367">
        <f>raw_data!H367</f>
        <v>6.47</v>
      </c>
      <c r="L367" s="13">
        <f>raw_data!I367</f>
        <v>9.23</v>
      </c>
      <c r="M367" s="13">
        <f>raw_data!J367</f>
        <v>4.54</v>
      </c>
    </row>
    <row r="368" spans="1:13" x14ac:dyDescent="0.2">
      <c r="A368" t="str">
        <f>raw_data!A368</f>
        <v>2014Q4</v>
      </c>
      <c r="B368" t="str">
        <f>raw_data!B368</f>
        <v>Queensland</v>
      </c>
      <c r="C368" t="str">
        <f>raw_data!C368</f>
        <v>Accommodation and Food Services</v>
      </c>
      <c r="D368">
        <f>raw_data!D368</f>
        <v>25.9</v>
      </c>
      <c r="E368">
        <f>raw_data!E368</f>
        <v>44.23</v>
      </c>
      <c r="F368">
        <f>raw_data!F368</f>
        <v>5.0999999999999996</v>
      </c>
      <c r="G368">
        <f>raw_data!G368</f>
        <v>25.16</v>
      </c>
      <c r="H368">
        <f>(raw_data!D368*weights!$B$2)+(raw_data!E368*weights!$B$3)+(raw_data!F368*weights!$B$4)</f>
        <v>25.158999999999999</v>
      </c>
      <c r="I368" t="str">
        <f t="shared" si="10"/>
        <v>Moderate</v>
      </c>
      <c r="J368" t="str">
        <f t="shared" si="11"/>
        <v>2014 Q4</v>
      </c>
      <c r="K368">
        <f>raw_data!H368</f>
        <v>10.36</v>
      </c>
      <c r="L368" s="13">
        <f>raw_data!I368</f>
        <v>13.27</v>
      </c>
      <c r="M368" s="13">
        <f>raw_data!J368</f>
        <v>1.53</v>
      </c>
    </row>
    <row r="369" spans="1:13" x14ac:dyDescent="0.2">
      <c r="A369" t="str">
        <f>raw_data!A369</f>
        <v>2014Q4</v>
      </c>
      <c r="B369" t="str">
        <f>raw_data!B369</f>
        <v>Queensland</v>
      </c>
      <c r="C369" t="str">
        <f>raw_data!C369</f>
        <v>Construction</v>
      </c>
      <c r="D369">
        <f>raw_data!D369</f>
        <v>12.67</v>
      </c>
      <c r="E369">
        <f>raw_data!E369</f>
        <v>42.31</v>
      </c>
      <c r="F369">
        <f>raw_data!F369</f>
        <v>3.93</v>
      </c>
      <c r="G369">
        <f>raw_data!G369</f>
        <v>18.940000000000001</v>
      </c>
      <c r="H369">
        <f>(raw_data!D369*weights!$B$2)+(raw_data!E369*weights!$B$3)+(raw_data!F369*weights!$B$4)</f>
        <v>18.939999999999998</v>
      </c>
      <c r="I369" t="str">
        <f t="shared" si="10"/>
        <v>Low</v>
      </c>
      <c r="J369" t="str">
        <f t="shared" si="11"/>
        <v>2014 Q4</v>
      </c>
      <c r="K369">
        <f>raw_data!H369</f>
        <v>5.07</v>
      </c>
      <c r="L369" s="13">
        <f>raw_data!I369</f>
        <v>12.69</v>
      </c>
      <c r="M369" s="13">
        <f>raw_data!J369</f>
        <v>1.18</v>
      </c>
    </row>
    <row r="370" spans="1:13" x14ac:dyDescent="0.2">
      <c r="A370" t="str">
        <f>raw_data!A370</f>
        <v>2014Q4</v>
      </c>
      <c r="B370" t="str">
        <f>raw_data!B370</f>
        <v>Queensland</v>
      </c>
      <c r="C370" t="str">
        <f>raw_data!C370</f>
        <v>Education and Training</v>
      </c>
      <c r="D370">
        <f>raw_data!D370</f>
        <v>4.1900000000000004</v>
      </c>
      <c r="E370">
        <f>raw_data!E370</f>
        <v>59.62</v>
      </c>
      <c r="F370">
        <f>raw_data!F370</f>
        <v>4.7300000000000004</v>
      </c>
      <c r="G370">
        <f>raw_data!G370</f>
        <v>20.98</v>
      </c>
      <c r="H370">
        <f>(raw_data!D370*weights!$B$2)+(raw_data!E370*weights!$B$3)+(raw_data!F370*weights!$B$4)</f>
        <v>20.980999999999998</v>
      </c>
      <c r="I370" t="str">
        <f t="shared" si="10"/>
        <v>Low</v>
      </c>
      <c r="J370" t="str">
        <f t="shared" si="11"/>
        <v>2014 Q4</v>
      </c>
      <c r="K370">
        <f>raw_data!H370</f>
        <v>1.67</v>
      </c>
      <c r="L370" s="13">
        <f>raw_data!I370</f>
        <v>17.88</v>
      </c>
      <c r="M370" s="13">
        <f>raw_data!J370</f>
        <v>1.42</v>
      </c>
    </row>
    <row r="371" spans="1:13" x14ac:dyDescent="0.2">
      <c r="A371" t="str">
        <f>raw_data!A371</f>
        <v>2014Q4</v>
      </c>
      <c r="B371" t="str">
        <f>raw_data!B371</f>
        <v>Queensland</v>
      </c>
      <c r="C371" t="str">
        <f>raw_data!C371</f>
        <v>Health Care and Social Assistance</v>
      </c>
      <c r="D371">
        <f>raw_data!D371</f>
        <v>12.23</v>
      </c>
      <c r="E371">
        <f>raw_data!E371</f>
        <v>48.08</v>
      </c>
      <c r="F371">
        <f>raw_data!F371</f>
        <v>7.82</v>
      </c>
      <c r="G371">
        <f>raw_data!G371</f>
        <v>21.66</v>
      </c>
      <c r="H371">
        <f>(raw_data!D371*weights!$B$2)+(raw_data!E371*weights!$B$3)+(raw_data!F371*weights!$B$4)</f>
        <v>21.661999999999999</v>
      </c>
      <c r="I371" t="str">
        <f t="shared" si="10"/>
        <v>Low</v>
      </c>
      <c r="J371" t="str">
        <f t="shared" si="11"/>
        <v>2014 Q4</v>
      </c>
      <c r="K371">
        <f>raw_data!H371</f>
        <v>4.8899999999999997</v>
      </c>
      <c r="L371" s="13">
        <f>raw_data!I371</f>
        <v>14.42</v>
      </c>
      <c r="M371" s="13">
        <f>raw_data!J371</f>
        <v>2.35</v>
      </c>
    </row>
    <row r="372" spans="1:13" x14ac:dyDescent="0.2">
      <c r="A372" t="str">
        <f>raw_data!A372</f>
        <v>2014Q4</v>
      </c>
      <c r="B372" t="str">
        <f>raw_data!B372</f>
        <v>Queensland</v>
      </c>
      <c r="C372" t="str">
        <f>raw_data!C372</f>
        <v>Manufacturing</v>
      </c>
      <c r="D372">
        <f>raw_data!D372</f>
        <v>15.39</v>
      </c>
      <c r="E372">
        <f>raw_data!E372</f>
        <v>48.08</v>
      </c>
      <c r="F372">
        <f>raw_data!F372</f>
        <v>6.08</v>
      </c>
      <c r="G372">
        <f>raw_data!G372</f>
        <v>22.41</v>
      </c>
      <c r="H372">
        <f>(raw_data!D372*weights!$B$2)+(raw_data!E372*weights!$B$3)+(raw_data!F372*weights!$B$4)</f>
        <v>22.403999999999996</v>
      </c>
      <c r="I372" t="str">
        <f t="shared" si="10"/>
        <v>Low</v>
      </c>
      <c r="J372" t="str">
        <f t="shared" si="11"/>
        <v>2014 Q4</v>
      </c>
      <c r="K372">
        <f>raw_data!H372</f>
        <v>6.16</v>
      </c>
      <c r="L372" s="13">
        <f>raw_data!I372</f>
        <v>14.42</v>
      </c>
      <c r="M372" s="13">
        <f>raw_data!J372</f>
        <v>1.83</v>
      </c>
    </row>
    <row r="373" spans="1:13" x14ac:dyDescent="0.2">
      <c r="A373" t="str">
        <f>raw_data!A373</f>
        <v>2014Q4</v>
      </c>
      <c r="B373" t="str">
        <f>raw_data!B373</f>
        <v>Queensland</v>
      </c>
      <c r="C373" t="str">
        <f>raw_data!C373</f>
        <v>Professional, Scientific and Technical Services</v>
      </c>
      <c r="D373">
        <f>raw_data!D373</f>
        <v>29.33</v>
      </c>
      <c r="E373">
        <f>raw_data!E373</f>
        <v>30.77</v>
      </c>
      <c r="F373">
        <f>raw_data!F373</f>
        <v>27.58</v>
      </c>
      <c r="G373">
        <f>raw_data!G373</f>
        <v>29.24</v>
      </c>
      <c r="H373">
        <f>(raw_data!D373*weights!$B$2)+(raw_data!E373*weights!$B$3)+(raw_data!F373*weights!$B$4)</f>
        <v>29.237000000000002</v>
      </c>
      <c r="I373" t="str">
        <f t="shared" si="10"/>
        <v>Moderate</v>
      </c>
      <c r="J373" t="str">
        <f t="shared" si="11"/>
        <v>2014 Q4</v>
      </c>
      <c r="K373">
        <f>raw_data!H373</f>
        <v>11.73</v>
      </c>
      <c r="L373" s="13">
        <f>raw_data!I373</f>
        <v>9.23</v>
      </c>
      <c r="M373" s="13">
        <f>raw_data!J373</f>
        <v>8.27</v>
      </c>
    </row>
    <row r="374" spans="1:13" x14ac:dyDescent="0.2">
      <c r="A374" t="str">
        <f>raw_data!A374</f>
        <v>2014Q4</v>
      </c>
      <c r="B374" t="str">
        <f>raw_data!B374</f>
        <v>Victoria</v>
      </c>
      <c r="C374" t="str">
        <f>raw_data!C374</f>
        <v>Accommodation and Food Services</v>
      </c>
      <c r="D374">
        <f>raw_data!D374</f>
        <v>23.64</v>
      </c>
      <c r="E374">
        <f>raw_data!E374</f>
        <v>44.23</v>
      </c>
      <c r="F374">
        <f>raw_data!F374</f>
        <v>3.58</v>
      </c>
      <c r="G374">
        <f>raw_data!G374</f>
        <v>23.8</v>
      </c>
      <c r="H374">
        <f>(raw_data!D374*weights!$B$2)+(raw_data!E374*weights!$B$3)+(raw_data!F374*weights!$B$4)</f>
        <v>23.799000000000003</v>
      </c>
      <c r="I374" t="str">
        <f t="shared" si="10"/>
        <v>Low</v>
      </c>
      <c r="J374" t="str">
        <f t="shared" si="11"/>
        <v>2014 Q4</v>
      </c>
      <c r="K374">
        <f>raw_data!H374</f>
        <v>9.4600000000000009</v>
      </c>
      <c r="L374" s="13">
        <f>raw_data!I374</f>
        <v>13.27</v>
      </c>
      <c r="M374" s="13">
        <f>raw_data!J374</f>
        <v>1.07</v>
      </c>
    </row>
    <row r="375" spans="1:13" x14ac:dyDescent="0.2">
      <c r="A375" t="str">
        <f>raw_data!A375</f>
        <v>2014Q4</v>
      </c>
      <c r="B375" t="str">
        <f>raw_data!B375</f>
        <v>Victoria</v>
      </c>
      <c r="C375" t="str">
        <f>raw_data!C375</f>
        <v>Construction</v>
      </c>
      <c r="D375">
        <f>raw_data!D375</f>
        <v>11.47</v>
      </c>
      <c r="E375">
        <f>raw_data!E375</f>
        <v>42.31</v>
      </c>
      <c r="F375">
        <f>raw_data!F375</f>
        <v>4.4000000000000004</v>
      </c>
      <c r="G375">
        <f>raw_data!G375</f>
        <v>18.600000000000001</v>
      </c>
      <c r="H375">
        <f>(raw_data!D375*weights!$B$2)+(raw_data!E375*weights!$B$3)+(raw_data!F375*weights!$B$4)</f>
        <v>18.600999999999999</v>
      </c>
      <c r="I375" t="str">
        <f t="shared" si="10"/>
        <v>Low</v>
      </c>
      <c r="J375" t="str">
        <f t="shared" si="11"/>
        <v>2014 Q4</v>
      </c>
      <c r="K375">
        <f>raw_data!H375</f>
        <v>4.59</v>
      </c>
      <c r="L375" s="13">
        <f>raw_data!I375</f>
        <v>12.69</v>
      </c>
      <c r="M375" s="13">
        <f>raw_data!J375</f>
        <v>1.32</v>
      </c>
    </row>
    <row r="376" spans="1:13" x14ac:dyDescent="0.2">
      <c r="A376" t="str">
        <f>raw_data!A376</f>
        <v>2014Q4</v>
      </c>
      <c r="B376" t="str">
        <f>raw_data!B376</f>
        <v>Victoria</v>
      </c>
      <c r="C376" t="str">
        <f>raw_data!C376</f>
        <v>Education and Training</v>
      </c>
      <c r="D376">
        <f>raw_data!D376</f>
        <v>2.33</v>
      </c>
      <c r="E376">
        <f>raw_data!E376</f>
        <v>59.62</v>
      </c>
      <c r="F376">
        <f>raw_data!F376</f>
        <v>3.24</v>
      </c>
      <c r="G376">
        <f>raw_data!G376</f>
        <v>19.79</v>
      </c>
      <c r="H376">
        <f>(raw_data!D376*weights!$B$2)+(raw_data!E376*weights!$B$3)+(raw_data!F376*weights!$B$4)</f>
        <v>19.79</v>
      </c>
      <c r="I376" t="str">
        <f t="shared" si="10"/>
        <v>Low</v>
      </c>
      <c r="J376" t="str">
        <f t="shared" si="11"/>
        <v>2014 Q4</v>
      </c>
      <c r="K376">
        <f>raw_data!H376</f>
        <v>0.93</v>
      </c>
      <c r="L376" s="13">
        <f>raw_data!I376</f>
        <v>17.88</v>
      </c>
      <c r="M376" s="13">
        <f>raw_data!J376</f>
        <v>0.97</v>
      </c>
    </row>
    <row r="377" spans="1:13" x14ac:dyDescent="0.2">
      <c r="A377" t="str">
        <f>raw_data!A377</f>
        <v>2014Q4</v>
      </c>
      <c r="B377" t="str">
        <f>raw_data!B377</f>
        <v>Victoria</v>
      </c>
      <c r="C377" t="str">
        <f>raw_data!C377</f>
        <v>Health Care and Social Assistance</v>
      </c>
      <c r="D377">
        <f>raw_data!D377</f>
        <v>9.4499999999999993</v>
      </c>
      <c r="E377">
        <f>raw_data!E377</f>
        <v>48.08</v>
      </c>
      <c r="F377">
        <f>raw_data!F377</f>
        <v>6.4</v>
      </c>
      <c r="G377">
        <f>raw_data!G377</f>
        <v>20.12</v>
      </c>
      <c r="H377">
        <f>(raw_data!D377*weights!$B$2)+(raw_data!E377*weights!$B$3)+(raw_data!F377*weights!$B$4)</f>
        <v>20.124000000000002</v>
      </c>
      <c r="I377" t="str">
        <f t="shared" si="10"/>
        <v>Low</v>
      </c>
      <c r="J377" t="str">
        <f t="shared" si="11"/>
        <v>2014 Q4</v>
      </c>
      <c r="K377">
        <f>raw_data!H377</f>
        <v>3.78</v>
      </c>
      <c r="L377" s="13">
        <f>raw_data!I377</f>
        <v>14.42</v>
      </c>
      <c r="M377" s="13">
        <f>raw_data!J377</f>
        <v>1.92</v>
      </c>
    </row>
    <row r="378" spans="1:13" x14ac:dyDescent="0.2">
      <c r="A378" t="str">
        <f>raw_data!A378</f>
        <v>2014Q4</v>
      </c>
      <c r="B378" t="str">
        <f>raw_data!B378</f>
        <v>Victoria</v>
      </c>
      <c r="C378" t="str">
        <f>raw_data!C378</f>
        <v>Manufacturing</v>
      </c>
      <c r="D378">
        <f>raw_data!D378</f>
        <v>7.32</v>
      </c>
      <c r="E378">
        <f>raw_data!E378</f>
        <v>48.08</v>
      </c>
      <c r="F378">
        <f>raw_data!F378</f>
        <v>2.95</v>
      </c>
      <c r="G378">
        <f>raw_data!G378</f>
        <v>18.239999999999998</v>
      </c>
      <c r="H378">
        <f>(raw_data!D378*weights!$B$2)+(raw_data!E378*weights!$B$3)+(raw_data!F378*weights!$B$4)</f>
        <v>18.237000000000002</v>
      </c>
      <c r="I378" t="str">
        <f t="shared" si="10"/>
        <v>Low</v>
      </c>
      <c r="J378" t="str">
        <f t="shared" si="11"/>
        <v>2014 Q4</v>
      </c>
      <c r="K378">
        <f>raw_data!H378</f>
        <v>2.93</v>
      </c>
      <c r="L378" s="13">
        <f>raw_data!I378</f>
        <v>14.42</v>
      </c>
      <c r="M378" s="13">
        <f>raw_data!J378</f>
        <v>0.89</v>
      </c>
    </row>
    <row r="379" spans="1:13" x14ac:dyDescent="0.2">
      <c r="A379" t="str">
        <f>raw_data!A379</f>
        <v>2014Q4</v>
      </c>
      <c r="B379" t="str">
        <f>raw_data!B379</f>
        <v>Victoria</v>
      </c>
      <c r="C379" t="str">
        <f>raw_data!C379</f>
        <v>Professional, Scientific and Technical Services</v>
      </c>
      <c r="D379">
        <f>raw_data!D379</f>
        <v>22.08</v>
      </c>
      <c r="E379">
        <f>raw_data!E379</f>
        <v>30.77</v>
      </c>
      <c r="F379">
        <f>raw_data!F379</f>
        <v>8.9499999999999993</v>
      </c>
      <c r="G379">
        <f>raw_data!G379</f>
        <v>20.75</v>
      </c>
      <c r="H379">
        <f>(raw_data!D379*weights!$B$2)+(raw_data!E379*weights!$B$3)+(raw_data!F379*weights!$B$4)</f>
        <v>20.747999999999998</v>
      </c>
      <c r="I379" t="str">
        <f t="shared" si="10"/>
        <v>Low</v>
      </c>
      <c r="J379" t="str">
        <f t="shared" si="11"/>
        <v>2014 Q4</v>
      </c>
      <c r="K379">
        <f>raw_data!H379</f>
        <v>8.83</v>
      </c>
      <c r="L379" s="13">
        <f>raw_data!I379</f>
        <v>9.23</v>
      </c>
      <c r="M379" s="13">
        <f>raw_data!J379</f>
        <v>2.69</v>
      </c>
    </row>
    <row r="380" spans="1:13" x14ac:dyDescent="0.2">
      <c r="A380" t="str">
        <f>raw_data!A380</f>
        <v>2015Q1</v>
      </c>
      <c r="B380" t="str">
        <f>raw_data!B380</f>
        <v>New South Wales</v>
      </c>
      <c r="C380" t="str">
        <f>raw_data!C380</f>
        <v>Accommodation and Food Services</v>
      </c>
      <c r="D380">
        <f>raw_data!D380</f>
        <v>15.79</v>
      </c>
      <c r="E380">
        <f>raw_data!E380</f>
        <v>40.380000000000003</v>
      </c>
      <c r="F380">
        <f>raw_data!F380</f>
        <v>2.38</v>
      </c>
      <c r="G380">
        <f>raw_data!G380</f>
        <v>19.149999999999999</v>
      </c>
      <c r="H380">
        <f>(raw_data!D380*weights!$B$2)+(raw_data!E380*weights!$B$3)+(raw_data!F380*weights!$B$4)</f>
        <v>19.143999999999998</v>
      </c>
      <c r="I380" t="str">
        <f t="shared" si="10"/>
        <v>Low</v>
      </c>
      <c r="J380" t="str">
        <f t="shared" si="11"/>
        <v>2015 Q1</v>
      </c>
      <c r="K380">
        <f>raw_data!H380</f>
        <v>6.32</v>
      </c>
      <c r="L380" s="13">
        <f>raw_data!I380</f>
        <v>12.12</v>
      </c>
      <c r="M380" s="13">
        <f>raw_data!J380</f>
        <v>0.71</v>
      </c>
    </row>
    <row r="381" spans="1:13" x14ac:dyDescent="0.2">
      <c r="A381" t="str">
        <f>raw_data!A381</f>
        <v>2015Q1</v>
      </c>
      <c r="B381" t="str">
        <f>raw_data!B381</f>
        <v>New South Wales</v>
      </c>
      <c r="C381" t="str">
        <f>raw_data!C381</f>
        <v>Construction</v>
      </c>
      <c r="D381">
        <f>raw_data!D381</f>
        <v>10.119999999999999</v>
      </c>
      <c r="E381">
        <f>raw_data!E381</f>
        <v>28.85</v>
      </c>
      <c r="F381">
        <f>raw_data!F381</f>
        <v>3.54</v>
      </c>
      <c r="G381">
        <f>raw_data!G381</f>
        <v>13.76</v>
      </c>
      <c r="H381">
        <f>(raw_data!D381*weights!$B$2)+(raw_data!E381*weights!$B$3)+(raw_data!F381*weights!$B$4)</f>
        <v>13.764999999999999</v>
      </c>
      <c r="I381" t="str">
        <f t="shared" si="10"/>
        <v>Low</v>
      </c>
      <c r="J381" t="str">
        <f t="shared" si="11"/>
        <v>2015 Q1</v>
      </c>
      <c r="K381">
        <f>raw_data!H381</f>
        <v>4.05</v>
      </c>
      <c r="L381" s="13">
        <f>raw_data!I381</f>
        <v>8.65</v>
      </c>
      <c r="M381" s="13">
        <f>raw_data!J381</f>
        <v>1.06</v>
      </c>
    </row>
    <row r="382" spans="1:13" x14ac:dyDescent="0.2">
      <c r="A382" t="str">
        <f>raw_data!A382</f>
        <v>2015Q1</v>
      </c>
      <c r="B382" t="str">
        <f>raw_data!B382</f>
        <v>New South Wales</v>
      </c>
      <c r="C382" t="str">
        <f>raw_data!C382</f>
        <v>Education and Training</v>
      </c>
      <c r="D382">
        <f>raw_data!D382</f>
        <v>1.28</v>
      </c>
      <c r="E382">
        <f>raw_data!E382</f>
        <v>48.08</v>
      </c>
      <c r="F382">
        <f>raw_data!F382</f>
        <v>0.82</v>
      </c>
      <c r="G382">
        <f>raw_data!G382</f>
        <v>15.18</v>
      </c>
      <c r="H382">
        <f>(raw_data!D382*weights!$B$2)+(raw_data!E382*weights!$B$3)+(raw_data!F382*weights!$B$4)</f>
        <v>15.182</v>
      </c>
      <c r="I382" t="str">
        <f t="shared" si="10"/>
        <v>Low</v>
      </c>
      <c r="J382" t="str">
        <f t="shared" si="11"/>
        <v>2015 Q1</v>
      </c>
      <c r="K382">
        <f>raw_data!H382</f>
        <v>0.51</v>
      </c>
      <c r="L382" s="13">
        <f>raw_data!I382</f>
        <v>14.42</v>
      </c>
      <c r="M382" s="13">
        <f>raw_data!J382</f>
        <v>0.25</v>
      </c>
    </row>
    <row r="383" spans="1:13" x14ac:dyDescent="0.2">
      <c r="A383" t="str">
        <f>raw_data!A383</f>
        <v>2015Q1</v>
      </c>
      <c r="B383" t="str">
        <f>raw_data!B383</f>
        <v>New South Wales</v>
      </c>
      <c r="C383" t="str">
        <f>raw_data!C383</f>
        <v>Health Care and Social Assistance</v>
      </c>
      <c r="D383">
        <f>raw_data!D383</f>
        <v>7.58</v>
      </c>
      <c r="E383">
        <f>raw_data!E383</f>
        <v>44.23</v>
      </c>
      <c r="F383">
        <f>raw_data!F383</f>
        <v>6.6</v>
      </c>
      <c r="G383">
        <f>raw_data!G383</f>
        <v>18.28</v>
      </c>
      <c r="H383">
        <f>(raw_data!D383*weights!$B$2)+(raw_data!E383*weights!$B$3)+(raw_data!F383*weights!$B$4)</f>
        <v>18.280999999999999</v>
      </c>
      <c r="I383" t="str">
        <f t="shared" si="10"/>
        <v>Low</v>
      </c>
      <c r="J383" t="str">
        <f t="shared" si="11"/>
        <v>2015 Q1</v>
      </c>
      <c r="K383">
        <f>raw_data!H383</f>
        <v>3.03</v>
      </c>
      <c r="L383" s="13">
        <f>raw_data!I383</f>
        <v>13.27</v>
      </c>
      <c r="M383" s="13">
        <f>raw_data!J383</f>
        <v>1.98</v>
      </c>
    </row>
    <row r="384" spans="1:13" x14ac:dyDescent="0.2">
      <c r="A384" t="str">
        <f>raw_data!A384</f>
        <v>2015Q1</v>
      </c>
      <c r="B384" t="str">
        <f>raw_data!B384</f>
        <v>New South Wales</v>
      </c>
      <c r="C384" t="str">
        <f>raw_data!C384</f>
        <v>Manufacturing</v>
      </c>
      <c r="D384">
        <f>raw_data!D384</f>
        <v>8.01</v>
      </c>
      <c r="E384">
        <f>raw_data!E384</f>
        <v>44.23</v>
      </c>
      <c r="F384">
        <f>raw_data!F384</f>
        <v>3.22</v>
      </c>
      <c r="G384">
        <f>raw_data!G384</f>
        <v>17.440000000000001</v>
      </c>
      <c r="H384">
        <f>(raw_data!D384*weights!$B$2)+(raw_data!E384*weights!$B$3)+(raw_data!F384*weights!$B$4)</f>
        <v>17.439</v>
      </c>
      <c r="I384" t="str">
        <f t="shared" si="10"/>
        <v>Low</v>
      </c>
      <c r="J384" t="str">
        <f t="shared" si="11"/>
        <v>2015 Q1</v>
      </c>
      <c r="K384">
        <f>raw_data!H384</f>
        <v>3.21</v>
      </c>
      <c r="L384" s="13">
        <f>raw_data!I384</f>
        <v>13.27</v>
      </c>
      <c r="M384" s="13">
        <f>raw_data!J384</f>
        <v>0.97</v>
      </c>
    </row>
    <row r="385" spans="1:13" x14ac:dyDescent="0.2">
      <c r="A385" t="str">
        <f>raw_data!A385</f>
        <v>2015Q1</v>
      </c>
      <c r="B385" t="str">
        <f>raw_data!B385</f>
        <v>New South Wales</v>
      </c>
      <c r="C385" t="str">
        <f>raw_data!C385</f>
        <v>Professional, Scientific and Technical Services</v>
      </c>
      <c r="D385">
        <f>raw_data!D385</f>
        <v>14.57</v>
      </c>
      <c r="E385">
        <f>raw_data!E385</f>
        <v>25</v>
      </c>
      <c r="F385">
        <f>raw_data!F385</f>
        <v>8.5399999999999991</v>
      </c>
      <c r="G385">
        <f>raw_data!G385</f>
        <v>15.89</v>
      </c>
      <c r="H385">
        <f>(raw_data!D385*weights!$B$2)+(raw_data!E385*weights!$B$3)+(raw_data!F385*weights!$B$4)</f>
        <v>15.889999999999999</v>
      </c>
      <c r="I385" t="str">
        <f t="shared" si="10"/>
        <v>Low</v>
      </c>
      <c r="J385" t="str">
        <f t="shared" si="11"/>
        <v>2015 Q1</v>
      </c>
      <c r="K385">
        <f>raw_data!H385</f>
        <v>5.83</v>
      </c>
      <c r="L385" s="13">
        <f>raw_data!I385</f>
        <v>7.5</v>
      </c>
      <c r="M385" s="13">
        <f>raw_data!J385</f>
        <v>2.56</v>
      </c>
    </row>
    <row r="386" spans="1:13" x14ac:dyDescent="0.2">
      <c r="A386" t="str">
        <f>raw_data!A386</f>
        <v>2015Q1</v>
      </c>
      <c r="B386" t="str">
        <f>raw_data!B386</f>
        <v>Queensland</v>
      </c>
      <c r="C386" t="str">
        <f>raw_data!C386</f>
        <v>Accommodation and Food Services</v>
      </c>
      <c r="D386">
        <f>raw_data!D386</f>
        <v>22.62</v>
      </c>
      <c r="E386">
        <f>raw_data!E386</f>
        <v>40.380000000000003</v>
      </c>
      <c r="F386">
        <f>raw_data!F386</f>
        <v>6.32</v>
      </c>
      <c r="G386">
        <f>raw_data!G386</f>
        <v>23.06</v>
      </c>
      <c r="H386">
        <f>(raw_data!D386*weights!$B$2)+(raw_data!E386*weights!$B$3)+(raw_data!F386*weights!$B$4)</f>
        <v>23.058</v>
      </c>
      <c r="I386" t="str">
        <f t="shared" si="10"/>
        <v>Low</v>
      </c>
      <c r="J386" t="str">
        <f t="shared" si="11"/>
        <v>2015 Q1</v>
      </c>
      <c r="K386">
        <f>raw_data!H386</f>
        <v>9.0500000000000007</v>
      </c>
      <c r="L386" s="13">
        <f>raw_data!I386</f>
        <v>12.12</v>
      </c>
      <c r="M386" s="13">
        <f>raw_data!J386</f>
        <v>1.9</v>
      </c>
    </row>
    <row r="387" spans="1:13" x14ac:dyDescent="0.2">
      <c r="A387" t="str">
        <f>raw_data!A387</f>
        <v>2015Q1</v>
      </c>
      <c r="B387" t="str">
        <f>raw_data!B387</f>
        <v>Queensland</v>
      </c>
      <c r="C387" t="str">
        <f>raw_data!C387</f>
        <v>Construction</v>
      </c>
      <c r="D387">
        <f>raw_data!D387</f>
        <v>15.19</v>
      </c>
      <c r="E387">
        <f>raw_data!E387</f>
        <v>28.85</v>
      </c>
      <c r="F387">
        <f>raw_data!F387</f>
        <v>3.11</v>
      </c>
      <c r="G387">
        <f>raw_data!G387</f>
        <v>15.66</v>
      </c>
      <c r="H387">
        <f>(raw_data!D387*weights!$B$2)+(raw_data!E387*weights!$B$3)+(raw_data!F387*weights!$B$4)</f>
        <v>15.664</v>
      </c>
      <c r="I387" t="str">
        <f t="shared" ref="I387:I450" si="12">IF(H387&gt;=60,"Critical",IF(H387&gt;=45,"High",IF(H387&gt;=25,"Moderate","Low")))</f>
        <v>Low</v>
      </c>
      <c r="J387" t="str">
        <f t="shared" ref="J387:J450" si="13">LEFT(A387,4)&amp;" "&amp;RIGHT(A387,2)</f>
        <v>2015 Q1</v>
      </c>
      <c r="K387">
        <f>raw_data!H387</f>
        <v>6.08</v>
      </c>
      <c r="L387" s="13">
        <f>raw_data!I387</f>
        <v>8.65</v>
      </c>
      <c r="M387" s="13">
        <f>raw_data!J387</f>
        <v>0.93</v>
      </c>
    </row>
    <row r="388" spans="1:13" x14ac:dyDescent="0.2">
      <c r="A388" t="str">
        <f>raw_data!A388</f>
        <v>2015Q1</v>
      </c>
      <c r="B388" t="str">
        <f>raw_data!B388</f>
        <v>Queensland</v>
      </c>
      <c r="C388" t="str">
        <f>raw_data!C388</f>
        <v>Education and Training</v>
      </c>
      <c r="D388">
        <f>raw_data!D388</f>
        <v>3.09</v>
      </c>
      <c r="E388">
        <f>raw_data!E388</f>
        <v>48.08</v>
      </c>
      <c r="F388">
        <f>raw_data!F388</f>
        <v>1.89</v>
      </c>
      <c r="G388">
        <f>raw_data!G388</f>
        <v>16.23</v>
      </c>
      <c r="H388">
        <f>(raw_data!D388*weights!$B$2)+(raw_data!E388*weights!$B$3)+(raw_data!F388*weights!$B$4)</f>
        <v>16.227</v>
      </c>
      <c r="I388" t="str">
        <f t="shared" si="12"/>
        <v>Low</v>
      </c>
      <c r="J388" t="str">
        <f t="shared" si="13"/>
        <v>2015 Q1</v>
      </c>
      <c r="K388">
        <f>raw_data!H388</f>
        <v>1.24</v>
      </c>
      <c r="L388" s="13">
        <f>raw_data!I388</f>
        <v>14.42</v>
      </c>
      <c r="M388" s="13">
        <f>raw_data!J388</f>
        <v>0.56999999999999995</v>
      </c>
    </row>
    <row r="389" spans="1:13" x14ac:dyDescent="0.2">
      <c r="A389" t="str">
        <f>raw_data!A389</f>
        <v>2015Q1</v>
      </c>
      <c r="B389" t="str">
        <f>raw_data!B389</f>
        <v>Queensland</v>
      </c>
      <c r="C389" t="str">
        <f>raw_data!C389</f>
        <v>Health Care and Social Assistance</v>
      </c>
      <c r="D389">
        <f>raw_data!D389</f>
        <v>13.47</v>
      </c>
      <c r="E389">
        <f>raw_data!E389</f>
        <v>44.23</v>
      </c>
      <c r="F389">
        <f>raw_data!F389</f>
        <v>8.4</v>
      </c>
      <c r="G389">
        <f>raw_data!G389</f>
        <v>21.18</v>
      </c>
      <c r="H389">
        <f>(raw_data!D389*weights!$B$2)+(raw_data!E389*weights!$B$3)+(raw_data!F389*weights!$B$4)</f>
        <v>21.177</v>
      </c>
      <c r="I389" t="str">
        <f t="shared" si="12"/>
        <v>Low</v>
      </c>
      <c r="J389" t="str">
        <f t="shared" si="13"/>
        <v>2015 Q1</v>
      </c>
      <c r="K389">
        <f>raw_data!H389</f>
        <v>5.39</v>
      </c>
      <c r="L389" s="13">
        <f>raw_data!I389</f>
        <v>13.27</v>
      </c>
      <c r="M389" s="13">
        <f>raw_data!J389</f>
        <v>2.52</v>
      </c>
    </row>
    <row r="390" spans="1:13" x14ac:dyDescent="0.2">
      <c r="A390" t="str">
        <f>raw_data!A390</f>
        <v>2015Q1</v>
      </c>
      <c r="B390" t="str">
        <f>raw_data!B390</f>
        <v>Queensland</v>
      </c>
      <c r="C390" t="str">
        <f>raw_data!C390</f>
        <v>Manufacturing</v>
      </c>
      <c r="D390">
        <f>raw_data!D390</f>
        <v>14.82</v>
      </c>
      <c r="E390">
        <f>raw_data!E390</f>
        <v>44.23</v>
      </c>
      <c r="F390">
        <f>raw_data!F390</f>
        <v>3.8</v>
      </c>
      <c r="G390">
        <f>raw_data!G390</f>
        <v>20.34</v>
      </c>
      <c r="H390">
        <f>(raw_data!D390*weights!$B$2)+(raw_data!E390*weights!$B$3)+(raw_data!F390*weights!$B$4)</f>
        <v>20.337</v>
      </c>
      <c r="I390" t="str">
        <f t="shared" si="12"/>
        <v>Low</v>
      </c>
      <c r="J390" t="str">
        <f t="shared" si="13"/>
        <v>2015 Q1</v>
      </c>
      <c r="K390">
        <f>raw_data!H390</f>
        <v>5.93</v>
      </c>
      <c r="L390" s="13">
        <f>raw_data!I390</f>
        <v>13.27</v>
      </c>
      <c r="M390" s="13">
        <f>raw_data!J390</f>
        <v>1.1399999999999999</v>
      </c>
    </row>
    <row r="391" spans="1:13" x14ac:dyDescent="0.2">
      <c r="A391" t="str">
        <f>raw_data!A391</f>
        <v>2015Q1</v>
      </c>
      <c r="B391" t="str">
        <f>raw_data!B391</f>
        <v>Queensland</v>
      </c>
      <c r="C391" t="str">
        <f>raw_data!C391</f>
        <v>Professional, Scientific and Technical Services</v>
      </c>
      <c r="D391">
        <f>raw_data!D391</f>
        <v>29.11</v>
      </c>
      <c r="E391">
        <f>raw_data!E391</f>
        <v>25</v>
      </c>
      <c r="F391">
        <f>raw_data!F391</f>
        <v>19.670000000000002</v>
      </c>
      <c r="G391">
        <f>raw_data!G391</f>
        <v>25.04</v>
      </c>
      <c r="H391">
        <f>(raw_data!D391*weights!$B$2)+(raw_data!E391*weights!$B$3)+(raw_data!F391*weights!$B$4)</f>
        <v>25.044999999999998</v>
      </c>
      <c r="I391" t="str">
        <f t="shared" si="12"/>
        <v>Moderate</v>
      </c>
      <c r="J391" t="str">
        <f t="shared" si="13"/>
        <v>2015 Q1</v>
      </c>
      <c r="K391">
        <f>raw_data!H391</f>
        <v>11.65</v>
      </c>
      <c r="L391" s="13">
        <f>raw_data!I391</f>
        <v>7.5</v>
      </c>
      <c r="M391" s="13">
        <f>raw_data!J391</f>
        <v>5.9</v>
      </c>
    </row>
    <row r="392" spans="1:13" x14ac:dyDescent="0.2">
      <c r="A392" t="str">
        <f>raw_data!A392</f>
        <v>2015Q1</v>
      </c>
      <c r="B392" t="str">
        <f>raw_data!B392</f>
        <v>Victoria</v>
      </c>
      <c r="C392" t="str">
        <f>raw_data!C392</f>
        <v>Accommodation and Food Services</v>
      </c>
      <c r="D392">
        <f>raw_data!D392</f>
        <v>19.510000000000002</v>
      </c>
      <c r="E392">
        <f>raw_data!E392</f>
        <v>40.380000000000003</v>
      </c>
      <c r="F392">
        <f>raw_data!F392</f>
        <v>4.01</v>
      </c>
      <c r="G392">
        <f>raw_data!G392</f>
        <v>21.12</v>
      </c>
      <c r="H392">
        <f>(raw_data!D392*weights!$B$2)+(raw_data!E392*weights!$B$3)+(raw_data!F392*weights!$B$4)</f>
        <v>21.121000000000002</v>
      </c>
      <c r="I392" t="str">
        <f t="shared" si="12"/>
        <v>Low</v>
      </c>
      <c r="J392" t="str">
        <f t="shared" si="13"/>
        <v>2015 Q1</v>
      </c>
      <c r="K392">
        <f>raw_data!H392</f>
        <v>7.8</v>
      </c>
      <c r="L392" s="13">
        <f>raw_data!I392</f>
        <v>12.12</v>
      </c>
      <c r="M392" s="13">
        <f>raw_data!J392</f>
        <v>1.2</v>
      </c>
    </row>
    <row r="393" spans="1:13" x14ac:dyDescent="0.2">
      <c r="A393" t="str">
        <f>raw_data!A393</f>
        <v>2015Q1</v>
      </c>
      <c r="B393" t="str">
        <f>raw_data!B393</f>
        <v>Victoria</v>
      </c>
      <c r="C393" t="str">
        <f>raw_data!C393</f>
        <v>Construction</v>
      </c>
      <c r="D393">
        <f>raw_data!D393</f>
        <v>13.01</v>
      </c>
      <c r="E393">
        <f>raw_data!E393</f>
        <v>28.85</v>
      </c>
      <c r="F393">
        <f>raw_data!F393</f>
        <v>5.79</v>
      </c>
      <c r="G393">
        <f>raw_data!G393</f>
        <v>15.59</v>
      </c>
      <c r="H393">
        <f>(raw_data!D393*weights!$B$2)+(raw_data!E393*weights!$B$3)+(raw_data!F393*weights!$B$4)</f>
        <v>15.596</v>
      </c>
      <c r="I393" t="str">
        <f t="shared" si="12"/>
        <v>Low</v>
      </c>
      <c r="J393" t="str">
        <f t="shared" si="13"/>
        <v>2015 Q1</v>
      </c>
      <c r="K393">
        <f>raw_data!H393</f>
        <v>5.2</v>
      </c>
      <c r="L393" s="13">
        <f>raw_data!I393</f>
        <v>8.65</v>
      </c>
      <c r="M393" s="13">
        <f>raw_data!J393</f>
        <v>1.74</v>
      </c>
    </row>
    <row r="394" spans="1:13" x14ac:dyDescent="0.2">
      <c r="A394" t="str">
        <f>raw_data!A394</f>
        <v>2015Q1</v>
      </c>
      <c r="B394" t="str">
        <f>raw_data!B394</f>
        <v>Victoria</v>
      </c>
      <c r="C394" t="str">
        <f>raw_data!C394</f>
        <v>Education and Training</v>
      </c>
      <c r="D394">
        <f>raw_data!D394</f>
        <v>1.85</v>
      </c>
      <c r="E394">
        <f>raw_data!E394</f>
        <v>48.08</v>
      </c>
      <c r="F394">
        <f>raw_data!F394</f>
        <v>1.19</v>
      </c>
      <c r="G394">
        <f>raw_data!G394</f>
        <v>15.52</v>
      </c>
      <c r="H394">
        <f>(raw_data!D394*weights!$B$2)+(raw_data!E394*weights!$B$3)+(raw_data!F394*weights!$B$4)</f>
        <v>15.520999999999999</v>
      </c>
      <c r="I394" t="str">
        <f t="shared" si="12"/>
        <v>Low</v>
      </c>
      <c r="J394" t="str">
        <f t="shared" si="13"/>
        <v>2015 Q1</v>
      </c>
      <c r="K394">
        <f>raw_data!H394</f>
        <v>0.74</v>
      </c>
      <c r="L394" s="13">
        <f>raw_data!I394</f>
        <v>14.42</v>
      </c>
      <c r="M394" s="13">
        <f>raw_data!J394</f>
        <v>0.36</v>
      </c>
    </row>
    <row r="395" spans="1:13" x14ac:dyDescent="0.2">
      <c r="A395" t="str">
        <f>raw_data!A395</f>
        <v>2015Q1</v>
      </c>
      <c r="B395" t="str">
        <f>raw_data!B395</f>
        <v>Victoria</v>
      </c>
      <c r="C395" t="str">
        <f>raw_data!C395</f>
        <v>Health Care and Social Assistance</v>
      </c>
      <c r="D395">
        <f>raw_data!D395</f>
        <v>10.24</v>
      </c>
      <c r="E395">
        <f>raw_data!E395</f>
        <v>44.23</v>
      </c>
      <c r="F395">
        <f>raw_data!F395</f>
        <v>9.56</v>
      </c>
      <c r="G395">
        <f>raw_data!G395</f>
        <v>20.23</v>
      </c>
      <c r="H395">
        <f>(raw_data!D395*weights!$B$2)+(raw_data!E395*weights!$B$3)+(raw_data!F395*weights!$B$4)</f>
        <v>20.232999999999997</v>
      </c>
      <c r="I395" t="str">
        <f t="shared" si="12"/>
        <v>Low</v>
      </c>
      <c r="J395" t="str">
        <f t="shared" si="13"/>
        <v>2015 Q1</v>
      </c>
      <c r="K395">
        <f>raw_data!H395</f>
        <v>4.09</v>
      </c>
      <c r="L395" s="13">
        <f>raw_data!I395</f>
        <v>13.27</v>
      </c>
      <c r="M395" s="13">
        <f>raw_data!J395</f>
        <v>2.87</v>
      </c>
    </row>
    <row r="396" spans="1:13" x14ac:dyDescent="0.2">
      <c r="A396" t="str">
        <f>raw_data!A396</f>
        <v>2015Q1</v>
      </c>
      <c r="B396" t="str">
        <f>raw_data!B396</f>
        <v>Victoria</v>
      </c>
      <c r="C396" t="str">
        <f>raw_data!C396</f>
        <v>Manufacturing</v>
      </c>
      <c r="D396">
        <f>raw_data!D396</f>
        <v>7.88</v>
      </c>
      <c r="E396">
        <f>raw_data!E396</f>
        <v>44.23</v>
      </c>
      <c r="F396">
        <f>raw_data!F396</f>
        <v>3.51</v>
      </c>
      <c r="G396">
        <f>raw_data!G396</f>
        <v>17.47</v>
      </c>
      <c r="H396">
        <f>(raw_data!D396*weights!$B$2)+(raw_data!E396*weights!$B$3)+(raw_data!F396*weights!$B$4)</f>
        <v>17.474</v>
      </c>
      <c r="I396" t="str">
        <f t="shared" si="12"/>
        <v>Low</v>
      </c>
      <c r="J396" t="str">
        <f t="shared" si="13"/>
        <v>2015 Q1</v>
      </c>
      <c r="K396">
        <f>raw_data!H396</f>
        <v>3.15</v>
      </c>
      <c r="L396" s="13">
        <f>raw_data!I396</f>
        <v>13.27</v>
      </c>
      <c r="M396" s="13">
        <f>raw_data!J396</f>
        <v>1.05</v>
      </c>
    </row>
    <row r="397" spans="1:13" x14ac:dyDescent="0.2">
      <c r="A397" t="str">
        <f>raw_data!A397</f>
        <v>2015Q1</v>
      </c>
      <c r="B397" t="str">
        <f>raw_data!B397</f>
        <v>Victoria</v>
      </c>
      <c r="C397" t="str">
        <f>raw_data!C397</f>
        <v>Professional, Scientific and Technical Services</v>
      </c>
      <c r="D397">
        <f>raw_data!D397</f>
        <v>17.68</v>
      </c>
      <c r="E397">
        <f>raw_data!E397</f>
        <v>25</v>
      </c>
      <c r="F397">
        <f>raw_data!F397</f>
        <v>10.84</v>
      </c>
      <c r="G397">
        <f>raw_data!G397</f>
        <v>17.82</v>
      </c>
      <c r="H397">
        <f>(raw_data!D397*weights!$B$2)+(raw_data!E397*weights!$B$3)+(raw_data!F397*weights!$B$4)</f>
        <v>17.823999999999998</v>
      </c>
      <c r="I397" t="str">
        <f t="shared" si="12"/>
        <v>Low</v>
      </c>
      <c r="J397" t="str">
        <f t="shared" si="13"/>
        <v>2015 Q1</v>
      </c>
      <c r="K397">
        <f>raw_data!H397</f>
        <v>7.07</v>
      </c>
      <c r="L397" s="13">
        <f>raw_data!I397</f>
        <v>7.5</v>
      </c>
      <c r="M397" s="13">
        <f>raw_data!J397</f>
        <v>3.25</v>
      </c>
    </row>
    <row r="398" spans="1:13" x14ac:dyDescent="0.2">
      <c r="A398" t="str">
        <f>raw_data!A398</f>
        <v>2015Q2</v>
      </c>
      <c r="B398" t="str">
        <f>raw_data!B398</f>
        <v>New South Wales</v>
      </c>
      <c r="C398" t="str">
        <f>raw_data!C398</f>
        <v>Accommodation and Food Services</v>
      </c>
      <c r="D398">
        <f>raw_data!D398</f>
        <v>15.72</v>
      </c>
      <c r="E398">
        <f>raw_data!E398</f>
        <v>42.31</v>
      </c>
      <c r="F398">
        <f>raw_data!F398</f>
        <v>3.23</v>
      </c>
      <c r="G398">
        <f>raw_data!G398</f>
        <v>19.95</v>
      </c>
      <c r="H398">
        <f>(raw_data!D398*weights!$B$2)+(raw_data!E398*weights!$B$3)+(raw_data!F398*weights!$B$4)</f>
        <v>19.950000000000003</v>
      </c>
      <c r="I398" t="str">
        <f t="shared" si="12"/>
        <v>Low</v>
      </c>
      <c r="J398" t="str">
        <f t="shared" si="13"/>
        <v>2015 Q2</v>
      </c>
      <c r="K398">
        <f>raw_data!H398</f>
        <v>6.29</v>
      </c>
      <c r="L398" s="13">
        <f>raw_data!I398</f>
        <v>12.69</v>
      </c>
      <c r="M398" s="13">
        <f>raw_data!J398</f>
        <v>0.97</v>
      </c>
    </row>
    <row r="399" spans="1:13" x14ac:dyDescent="0.2">
      <c r="A399" t="str">
        <f>raw_data!A399</f>
        <v>2015Q2</v>
      </c>
      <c r="B399" t="str">
        <f>raw_data!B399</f>
        <v>New South Wales</v>
      </c>
      <c r="C399" t="str">
        <f>raw_data!C399</f>
        <v>Construction</v>
      </c>
      <c r="D399">
        <f>raw_data!D399</f>
        <v>9.19</v>
      </c>
      <c r="E399">
        <f>raw_data!E399</f>
        <v>26.92</v>
      </c>
      <c r="F399">
        <f>raw_data!F399</f>
        <v>5.97</v>
      </c>
      <c r="G399">
        <f>raw_data!G399</f>
        <v>13.54</v>
      </c>
      <c r="H399">
        <f>(raw_data!D399*weights!$B$2)+(raw_data!E399*weights!$B$3)+(raw_data!F399*weights!$B$4)</f>
        <v>13.543000000000001</v>
      </c>
      <c r="I399" t="str">
        <f t="shared" si="12"/>
        <v>Low</v>
      </c>
      <c r="J399" t="str">
        <f t="shared" si="13"/>
        <v>2015 Q2</v>
      </c>
      <c r="K399">
        <f>raw_data!H399</f>
        <v>3.68</v>
      </c>
      <c r="L399" s="13">
        <f>raw_data!I399</f>
        <v>8.08</v>
      </c>
      <c r="M399" s="13">
        <f>raw_data!J399</f>
        <v>1.79</v>
      </c>
    </row>
    <row r="400" spans="1:13" x14ac:dyDescent="0.2">
      <c r="A400" t="str">
        <f>raw_data!A400</f>
        <v>2015Q2</v>
      </c>
      <c r="B400" t="str">
        <f>raw_data!B400</f>
        <v>New South Wales</v>
      </c>
      <c r="C400" t="str">
        <f>raw_data!C400</f>
        <v>Education and Training</v>
      </c>
      <c r="D400">
        <f>raw_data!D400</f>
        <v>1.35</v>
      </c>
      <c r="E400">
        <f>raw_data!E400</f>
        <v>46.15</v>
      </c>
      <c r="F400">
        <f>raw_data!F400</f>
        <v>3.16</v>
      </c>
      <c r="G400">
        <f>raw_data!G400</f>
        <v>15.33</v>
      </c>
      <c r="H400">
        <f>(raw_data!D400*weights!$B$2)+(raw_data!E400*weights!$B$3)+(raw_data!F400*weights!$B$4)</f>
        <v>15.332999999999998</v>
      </c>
      <c r="I400" t="str">
        <f t="shared" si="12"/>
        <v>Low</v>
      </c>
      <c r="J400" t="str">
        <f t="shared" si="13"/>
        <v>2015 Q2</v>
      </c>
      <c r="K400">
        <f>raw_data!H400</f>
        <v>0.54</v>
      </c>
      <c r="L400" s="13">
        <f>raw_data!I400</f>
        <v>13.85</v>
      </c>
      <c r="M400" s="13">
        <f>raw_data!J400</f>
        <v>0.95</v>
      </c>
    </row>
    <row r="401" spans="1:13" x14ac:dyDescent="0.2">
      <c r="A401" t="str">
        <f>raw_data!A401</f>
        <v>2015Q2</v>
      </c>
      <c r="B401" t="str">
        <f>raw_data!B401</f>
        <v>New South Wales</v>
      </c>
      <c r="C401" t="str">
        <f>raw_data!C401</f>
        <v>Health Care and Social Assistance</v>
      </c>
      <c r="D401">
        <f>raw_data!D401</f>
        <v>5.39</v>
      </c>
      <c r="E401">
        <f>raw_data!E401</f>
        <v>46.15</v>
      </c>
      <c r="F401">
        <f>raw_data!F401</f>
        <v>6.5</v>
      </c>
      <c r="G401">
        <f>raw_data!G401</f>
        <v>17.95</v>
      </c>
      <c r="H401">
        <f>(raw_data!D401*weights!$B$2)+(raw_data!E401*weights!$B$3)+(raw_data!F401*weights!$B$4)</f>
        <v>17.950999999999997</v>
      </c>
      <c r="I401" t="str">
        <f t="shared" si="12"/>
        <v>Low</v>
      </c>
      <c r="J401" t="str">
        <f t="shared" si="13"/>
        <v>2015 Q2</v>
      </c>
      <c r="K401">
        <f>raw_data!H401</f>
        <v>2.16</v>
      </c>
      <c r="L401" s="13">
        <f>raw_data!I401</f>
        <v>13.85</v>
      </c>
      <c r="M401" s="13">
        <f>raw_data!J401</f>
        <v>1.95</v>
      </c>
    </row>
    <row r="402" spans="1:13" x14ac:dyDescent="0.2">
      <c r="A402" t="str">
        <f>raw_data!A402</f>
        <v>2015Q2</v>
      </c>
      <c r="B402" t="str">
        <f>raw_data!B402</f>
        <v>New South Wales</v>
      </c>
      <c r="C402" t="str">
        <f>raw_data!C402</f>
        <v>Manufacturing</v>
      </c>
      <c r="D402">
        <f>raw_data!D402</f>
        <v>8.65</v>
      </c>
      <c r="E402">
        <f>raw_data!E402</f>
        <v>46.15</v>
      </c>
      <c r="F402">
        <f>raw_data!F402</f>
        <v>4.3899999999999997</v>
      </c>
      <c r="G402">
        <f>raw_data!G402</f>
        <v>18.62</v>
      </c>
      <c r="H402">
        <f>(raw_data!D402*weights!$B$2)+(raw_data!E402*weights!$B$3)+(raw_data!F402*weights!$B$4)</f>
        <v>18.622</v>
      </c>
      <c r="I402" t="str">
        <f t="shared" si="12"/>
        <v>Low</v>
      </c>
      <c r="J402" t="str">
        <f t="shared" si="13"/>
        <v>2015 Q2</v>
      </c>
      <c r="K402">
        <f>raw_data!H402</f>
        <v>3.46</v>
      </c>
      <c r="L402" s="13">
        <f>raw_data!I402</f>
        <v>13.85</v>
      </c>
      <c r="M402" s="13">
        <f>raw_data!J402</f>
        <v>1.32</v>
      </c>
    </row>
    <row r="403" spans="1:13" x14ac:dyDescent="0.2">
      <c r="A403" t="str">
        <f>raw_data!A403</f>
        <v>2015Q2</v>
      </c>
      <c r="B403" t="str">
        <f>raw_data!B403</f>
        <v>New South Wales</v>
      </c>
      <c r="C403" t="str">
        <f>raw_data!C403</f>
        <v>Professional, Scientific and Technical Services</v>
      </c>
      <c r="D403">
        <f>raw_data!D403</f>
        <v>12.68</v>
      </c>
      <c r="E403">
        <f>raw_data!E403</f>
        <v>26.92</v>
      </c>
      <c r="F403">
        <f>raw_data!F403</f>
        <v>9.73</v>
      </c>
      <c r="G403">
        <f>raw_data!G403</f>
        <v>16.07</v>
      </c>
      <c r="H403">
        <f>(raw_data!D403*weights!$B$2)+(raw_data!E403*weights!$B$3)+(raw_data!F403*weights!$B$4)</f>
        <v>16.067</v>
      </c>
      <c r="I403" t="str">
        <f t="shared" si="12"/>
        <v>Low</v>
      </c>
      <c r="J403" t="str">
        <f t="shared" si="13"/>
        <v>2015 Q2</v>
      </c>
      <c r="K403">
        <f>raw_data!H403</f>
        <v>5.07</v>
      </c>
      <c r="L403" s="13">
        <f>raw_data!I403</f>
        <v>8.08</v>
      </c>
      <c r="M403" s="13">
        <f>raw_data!J403</f>
        <v>2.92</v>
      </c>
    </row>
    <row r="404" spans="1:13" x14ac:dyDescent="0.2">
      <c r="A404" t="str">
        <f>raw_data!A404</f>
        <v>2015Q2</v>
      </c>
      <c r="B404" t="str">
        <f>raw_data!B404</f>
        <v>Queensland</v>
      </c>
      <c r="C404" t="str">
        <f>raw_data!C404</f>
        <v>Accommodation and Food Services</v>
      </c>
      <c r="D404">
        <f>raw_data!D404</f>
        <v>22.17</v>
      </c>
      <c r="E404">
        <f>raw_data!E404</f>
        <v>42.31</v>
      </c>
      <c r="F404">
        <f>raw_data!F404</f>
        <v>4.1100000000000003</v>
      </c>
      <c r="G404">
        <f>raw_data!G404</f>
        <v>22.79</v>
      </c>
      <c r="H404">
        <f>(raw_data!D404*weights!$B$2)+(raw_data!E404*weights!$B$3)+(raw_data!F404*weights!$B$4)</f>
        <v>22.794</v>
      </c>
      <c r="I404" t="str">
        <f t="shared" si="12"/>
        <v>Low</v>
      </c>
      <c r="J404" t="str">
        <f t="shared" si="13"/>
        <v>2015 Q2</v>
      </c>
      <c r="K404">
        <f>raw_data!H404</f>
        <v>8.8699999999999992</v>
      </c>
      <c r="L404" s="13">
        <f>raw_data!I404</f>
        <v>12.69</v>
      </c>
      <c r="M404" s="13">
        <f>raw_data!J404</f>
        <v>1.23</v>
      </c>
    </row>
    <row r="405" spans="1:13" x14ac:dyDescent="0.2">
      <c r="A405" t="str">
        <f>raw_data!A405</f>
        <v>2015Q2</v>
      </c>
      <c r="B405" t="str">
        <f>raw_data!B405</f>
        <v>Queensland</v>
      </c>
      <c r="C405" t="str">
        <f>raw_data!C405</f>
        <v>Construction</v>
      </c>
      <c r="D405">
        <f>raw_data!D405</f>
        <v>15.49</v>
      </c>
      <c r="E405">
        <f>raw_data!E405</f>
        <v>26.92</v>
      </c>
      <c r="F405">
        <f>raw_data!F405</f>
        <v>5.51</v>
      </c>
      <c r="G405">
        <f>raw_data!G405</f>
        <v>15.93</v>
      </c>
      <c r="H405">
        <f>(raw_data!D405*weights!$B$2)+(raw_data!E405*weights!$B$3)+(raw_data!F405*weights!$B$4)</f>
        <v>15.925000000000002</v>
      </c>
      <c r="I405" t="str">
        <f t="shared" si="12"/>
        <v>Low</v>
      </c>
      <c r="J405" t="str">
        <f t="shared" si="13"/>
        <v>2015 Q2</v>
      </c>
      <c r="K405">
        <f>raw_data!H405</f>
        <v>6.19</v>
      </c>
      <c r="L405" s="13">
        <f>raw_data!I405</f>
        <v>8.08</v>
      </c>
      <c r="M405" s="13">
        <f>raw_data!J405</f>
        <v>1.65</v>
      </c>
    </row>
    <row r="406" spans="1:13" x14ac:dyDescent="0.2">
      <c r="A406" t="str">
        <f>raw_data!A406</f>
        <v>2015Q2</v>
      </c>
      <c r="B406" t="str">
        <f>raw_data!B406</f>
        <v>Queensland</v>
      </c>
      <c r="C406" t="str">
        <f>raw_data!C406</f>
        <v>Education and Training</v>
      </c>
      <c r="D406">
        <f>raw_data!D406</f>
        <v>3.08</v>
      </c>
      <c r="E406">
        <f>raw_data!E406</f>
        <v>46.15</v>
      </c>
      <c r="F406">
        <f>raw_data!F406</f>
        <v>4.55</v>
      </c>
      <c r="G406">
        <f>raw_data!G406</f>
        <v>16.440000000000001</v>
      </c>
      <c r="H406">
        <f>(raw_data!D406*weights!$B$2)+(raw_data!E406*weights!$B$3)+(raw_data!F406*weights!$B$4)</f>
        <v>16.441999999999997</v>
      </c>
      <c r="I406" t="str">
        <f t="shared" si="12"/>
        <v>Low</v>
      </c>
      <c r="J406" t="str">
        <f t="shared" si="13"/>
        <v>2015 Q2</v>
      </c>
      <c r="K406">
        <f>raw_data!H406</f>
        <v>1.23</v>
      </c>
      <c r="L406" s="13">
        <f>raw_data!I406</f>
        <v>13.85</v>
      </c>
      <c r="M406" s="13">
        <f>raw_data!J406</f>
        <v>1.37</v>
      </c>
    </row>
    <row r="407" spans="1:13" x14ac:dyDescent="0.2">
      <c r="A407" t="str">
        <f>raw_data!A407</f>
        <v>2015Q2</v>
      </c>
      <c r="B407" t="str">
        <f>raw_data!B407</f>
        <v>Queensland</v>
      </c>
      <c r="C407" t="str">
        <f>raw_data!C407</f>
        <v>Health Care and Social Assistance</v>
      </c>
      <c r="D407">
        <f>raw_data!D407</f>
        <v>10.57</v>
      </c>
      <c r="E407">
        <f>raw_data!E407</f>
        <v>46.15</v>
      </c>
      <c r="F407">
        <f>raw_data!F407</f>
        <v>17.940000000000001</v>
      </c>
      <c r="G407">
        <f>raw_data!G407</f>
        <v>23.46</v>
      </c>
      <c r="H407">
        <f>(raw_data!D407*weights!$B$2)+(raw_data!E407*weights!$B$3)+(raw_data!F407*weights!$B$4)</f>
        <v>23.455000000000002</v>
      </c>
      <c r="I407" t="str">
        <f t="shared" si="12"/>
        <v>Low</v>
      </c>
      <c r="J407" t="str">
        <f t="shared" si="13"/>
        <v>2015 Q2</v>
      </c>
      <c r="K407">
        <f>raw_data!H407</f>
        <v>4.2300000000000004</v>
      </c>
      <c r="L407" s="13">
        <f>raw_data!I407</f>
        <v>13.85</v>
      </c>
      <c r="M407" s="13">
        <f>raw_data!J407</f>
        <v>5.38</v>
      </c>
    </row>
    <row r="408" spans="1:13" x14ac:dyDescent="0.2">
      <c r="A408" t="str">
        <f>raw_data!A408</f>
        <v>2015Q2</v>
      </c>
      <c r="B408" t="str">
        <f>raw_data!B408</f>
        <v>Queensland</v>
      </c>
      <c r="C408" t="str">
        <f>raw_data!C408</f>
        <v>Manufacturing</v>
      </c>
      <c r="D408">
        <f>raw_data!D408</f>
        <v>14.5</v>
      </c>
      <c r="E408">
        <f>raw_data!E408</f>
        <v>46.15</v>
      </c>
      <c r="F408">
        <f>raw_data!F408</f>
        <v>3.91</v>
      </c>
      <c r="G408">
        <f>raw_data!G408</f>
        <v>20.82</v>
      </c>
      <c r="H408">
        <f>(raw_data!D408*weights!$B$2)+(raw_data!E408*weights!$B$3)+(raw_data!F408*weights!$B$4)</f>
        <v>20.817999999999998</v>
      </c>
      <c r="I408" t="str">
        <f t="shared" si="12"/>
        <v>Low</v>
      </c>
      <c r="J408" t="str">
        <f t="shared" si="13"/>
        <v>2015 Q2</v>
      </c>
      <c r="K408">
        <f>raw_data!H408</f>
        <v>5.8</v>
      </c>
      <c r="L408" s="13">
        <f>raw_data!I408</f>
        <v>13.85</v>
      </c>
      <c r="M408" s="13">
        <f>raw_data!J408</f>
        <v>1.17</v>
      </c>
    </row>
    <row r="409" spans="1:13" x14ac:dyDescent="0.2">
      <c r="A409" t="str">
        <f>raw_data!A409</f>
        <v>2015Q2</v>
      </c>
      <c r="B409" t="str">
        <f>raw_data!B409</f>
        <v>Queensland</v>
      </c>
      <c r="C409" t="str">
        <f>raw_data!C409</f>
        <v>Professional, Scientific and Technical Services</v>
      </c>
      <c r="D409">
        <f>raw_data!D409</f>
        <v>25.59</v>
      </c>
      <c r="E409">
        <f>raw_data!E409</f>
        <v>26.92</v>
      </c>
      <c r="F409">
        <f>raw_data!F409</f>
        <v>15.32</v>
      </c>
      <c r="G409">
        <f>raw_data!G409</f>
        <v>22.91</v>
      </c>
      <c r="H409">
        <f>(raw_data!D409*weights!$B$2)+(raw_data!E409*weights!$B$3)+(raw_data!F409*weights!$B$4)</f>
        <v>22.908000000000001</v>
      </c>
      <c r="I409" t="str">
        <f t="shared" si="12"/>
        <v>Low</v>
      </c>
      <c r="J409" t="str">
        <f t="shared" si="13"/>
        <v>2015 Q2</v>
      </c>
      <c r="K409">
        <f>raw_data!H409</f>
        <v>10.24</v>
      </c>
      <c r="L409" s="13">
        <f>raw_data!I409</f>
        <v>8.08</v>
      </c>
      <c r="M409" s="13">
        <f>raw_data!J409</f>
        <v>4.59</v>
      </c>
    </row>
    <row r="410" spans="1:13" x14ac:dyDescent="0.2">
      <c r="A410" t="str">
        <f>raw_data!A410</f>
        <v>2015Q2</v>
      </c>
      <c r="B410" t="str">
        <f>raw_data!B410</f>
        <v>Victoria</v>
      </c>
      <c r="C410" t="str">
        <f>raw_data!C410</f>
        <v>Accommodation and Food Services</v>
      </c>
      <c r="D410">
        <f>raw_data!D410</f>
        <v>19.09</v>
      </c>
      <c r="E410">
        <f>raw_data!E410</f>
        <v>42.31</v>
      </c>
      <c r="F410">
        <f>raw_data!F410</f>
        <v>3.17</v>
      </c>
      <c r="G410">
        <f>raw_data!G410</f>
        <v>21.28</v>
      </c>
      <c r="H410">
        <f>(raw_data!D410*weights!$B$2)+(raw_data!E410*weights!$B$3)+(raw_data!F410*weights!$B$4)</f>
        <v>21.28</v>
      </c>
      <c r="I410" t="str">
        <f t="shared" si="12"/>
        <v>Low</v>
      </c>
      <c r="J410" t="str">
        <f t="shared" si="13"/>
        <v>2015 Q2</v>
      </c>
      <c r="K410">
        <f>raw_data!H410</f>
        <v>7.64</v>
      </c>
      <c r="L410" s="13">
        <f>raw_data!I410</f>
        <v>12.69</v>
      </c>
      <c r="M410" s="13">
        <f>raw_data!J410</f>
        <v>0.95</v>
      </c>
    </row>
    <row r="411" spans="1:13" x14ac:dyDescent="0.2">
      <c r="A411" t="str">
        <f>raw_data!A411</f>
        <v>2015Q2</v>
      </c>
      <c r="B411" t="str">
        <f>raw_data!B411</f>
        <v>Victoria</v>
      </c>
      <c r="C411" t="str">
        <f>raw_data!C411</f>
        <v>Construction</v>
      </c>
      <c r="D411">
        <f>raw_data!D411</f>
        <v>12.24</v>
      </c>
      <c r="E411">
        <f>raw_data!E411</f>
        <v>26.92</v>
      </c>
      <c r="F411">
        <f>raw_data!F411</f>
        <v>7.03</v>
      </c>
      <c r="G411">
        <f>raw_data!G411</f>
        <v>15.08</v>
      </c>
      <c r="H411">
        <f>(raw_data!D411*weights!$B$2)+(raw_data!E411*weights!$B$3)+(raw_data!F411*weights!$B$4)</f>
        <v>15.081000000000001</v>
      </c>
      <c r="I411" t="str">
        <f t="shared" si="12"/>
        <v>Low</v>
      </c>
      <c r="J411" t="str">
        <f t="shared" si="13"/>
        <v>2015 Q2</v>
      </c>
      <c r="K411">
        <f>raw_data!H411</f>
        <v>4.9000000000000004</v>
      </c>
      <c r="L411" s="13">
        <f>raw_data!I411</f>
        <v>8.08</v>
      </c>
      <c r="M411" s="13">
        <f>raw_data!J411</f>
        <v>2.11</v>
      </c>
    </row>
    <row r="412" spans="1:13" x14ac:dyDescent="0.2">
      <c r="A412" t="str">
        <f>raw_data!A412</f>
        <v>2015Q2</v>
      </c>
      <c r="B412" t="str">
        <f>raw_data!B412</f>
        <v>Victoria</v>
      </c>
      <c r="C412" t="str">
        <f>raw_data!C412</f>
        <v>Education and Training</v>
      </c>
      <c r="D412">
        <f>raw_data!D412</f>
        <v>1.96</v>
      </c>
      <c r="E412">
        <f>raw_data!E412</f>
        <v>46.15</v>
      </c>
      <c r="F412">
        <f>raw_data!F412</f>
        <v>1.1200000000000001</v>
      </c>
      <c r="G412">
        <f>raw_data!G412</f>
        <v>14.97</v>
      </c>
      <c r="H412">
        <f>(raw_data!D412*weights!$B$2)+(raw_data!E412*weights!$B$3)+(raw_data!F412*weights!$B$4)</f>
        <v>14.965</v>
      </c>
      <c r="I412" t="str">
        <f t="shared" si="12"/>
        <v>Low</v>
      </c>
      <c r="J412" t="str">
        <f t="shared" si="13"/>
        <v>2015 Q2</v>
      </c>
      <c r="K412">
        <f>raw_data!H412</f>
        <v>0.79</v>
      </c>
      <c r="L412" s="13">
        <f>raw_data!I412</f>
        <v>13.85</v>
      </c>
      <c r="M412" s="13">
        <f>raw_data!J412</f>
        <v>0.34</v>
      </c>
    </row>
    <row r="413" spans="1:13" x14ac:dyDescent="0.2">
      <c r="A413" t="str">
        <f>raw_data!A413</f>
        <v>2015Q2</v>
      </c>
      <c r="B413" t="str">
        <f>raw_data!B413</f>
        <v>Victoria</v>
      </c>
      <c r="C413" t="str">
        <f>raw_data!C413</f>
        <v>Health Care and Social Assistance</v>
      </c>
      <c r="D413">
        <f>raw_data!D413</f>
        <v>8.24</v>
      </c>
      <c r="E413">
        <f>raw_data!E413</f>
        <v>46.15</v>
      </c>
      <c r="F413">
        <f>raw_data!F413</f>
        <v>8.01</v>
      </c>
      <c r="G413">
        <f>raw_data!G413</f>
        <v>19.54</v>
      </c>
      <c r="H413">
        <f>(raw_data!D413*weights!$B$2)+(raw_data!E413*weights!$B$3)+(raw_data!F413*weights!$B$4)</f>
        <v>19.543999999999997</v>
      </c>
      <c r="I413" t="str">
        <f t="shared" si="12"/>
        <v>Low</v>
      </c>
      <c r="J413" t="str">
        <f t="shared" si="13"/>
        <v>2015 Q2</v>
      </c>
      <c r="K413">
        <f>raw_data!H413</f>
        <v>3.29</v>
      </c>
      <c r="L413" s="13">
        <f>raw_data!I413</f>
        <v>13.85</v>
      </c>
      <c r="M413" s="13">
        <f>raw_data!J413</f>
        <v>2.4</v>
      </c>
    </row>
    <row r="414" spans="1:13" x14ac:dyDescent="0.2">
      <c r="A414" t="str">
        <f>raw_data!A414</f>
        <v>2015Q2</v>
      </c>
      <c r="B414" t="str">
        <f>raw_data!B414</f>
        <v>Victoria</v>
      </c>
      <c r="C414" t="str">
        <f>raw_data!C414</f>
        <v>Manufacturing</v>
      </c>
      <c r="D414">
        <f>raw_data!D414</f>
        <v>7.75</v>
      </c>
      <c r="E414">
        <f>raw_data!E414</f>
        <v>46.15</v>
      </c>
      <c r="F414">
        <f>raw_data!F414</f>
        <v>4.1500000000000004</v>
      </c>
      <c r="G414">
        <f>raw_data!G414</f>
        <v>18.190000000000001</v>
      </c>
      <c r="H414">
        <f>(raw_data!D414*weights!$B$2)+(raw_data!E414*weights!$B$3)+(raw_data!F414*weights!$B$4)</f>
        <v>18.190000000000001</v>
      </c>
      <c r="I414" t="str">
        <f t="shared" si="12"/>
        <v>Low</v>
      </c>
      <c r="J414" t="str">
        <f t="shared" si="13"/>
        <v>2015 Q2</v>
      </c>
      <c r="K414">
        <f>raw_data!H414</f>
        <v>3.1</v>
      </c>
      <c r="L414" s="13">
        <f>raw_data!I414</f>
        <v>13.85</v>
      </c>
      <c r="M414" s="13">
        <f>raw_data!J414</f>
        <v>1.24</v>
      </c>
    </row>
    <row r="415" spans="1:13" x14ac:dyDescent="0.2">
      <c r="A415" t="str">
        <f>raw_data!A415</f>
        <v>2015Q2</v>
      </c>
      <c r="B415" t="str">
        <f>raw_data!B415</f>
        <v>Victoria</v>
      </c>
      <c r="C415" t="str">
        <f>raw_data!C415</f>
        <v>Professional, Scientific and Technical Services</v>
      </c>
      <c r="D415">
        <f>raw_data!D415</f>
        <v>16.68</v>
      </c>
      <c r="E415">
        <f>raw_data!E415</f>
        <v>26.92</v>
      </c>
      <c r="F415">
        <f>raw_data!F415</f>
        <v>9.43</v>
      </c>
      <c r="G415">
        <f>raw_data!G415</f>
        <v>17.579999999999998</v>
      </c>
      <c r="H415">
        <f>(raw_data!D415*weights!$B$2)+(raw_data!E415*weights!$B$3)+(raw_data!F415*weights!$B$4)</f>
        <v>17.577000000000002</v>
      </c>
      <c r="I415" t="str">
        <f t="shared" si="12"/>
        <v>Low</v>
      </c>
      <c r="J415" t="str">
        <f t="shared" si="13"/>
        <v>2015 Q2</v>
      </c>
      <c r="K415">
        <f>raw_data!H415</f>
        <v>6.67</v>
      </c>
      <c r="L415" s="13">
        <f>raw_data!I415</f>
        <v>8.08</v>
      </c>
      <c r="M415" s="13">
        <f>raw_data!J415</f>
        <v>2.83</v>
      </c>
    </row>
    <row r="416" spans="1:13" x14ac:dyDescent="0.2">
      <c r="A416" t="str">
        <f>raw_data!A416</f>
        <v>2015Q3</v>
      </c>
      <c r="B416" t="str">
        <f>raw_data!B416</f>
        <v>New South Wales</v>
      </c>
      <c r="C416" t="str">
        <f>raw_data!C416</f>
        <v>Accommodation and Food Services</v>
      </c>
      <c r="D416">
        <f>raw_data!D416</f>
        <v>20.04</v>
      </c>
      <c r="E416">
        <f>raw_data!E416</f>
        <v>36.54</v>
      </c>
      <c r="F416">
        <f>raw_data!F416</f>
        <v>5.77</v>
      </c>
      <c r="G416">
        <f>raw_data!G416</f>
        <v>20.71</v>
      </c>
      <c r="H416">
        <f>(raw_data!D416*weights!$B$2)+(raw_data!E416*weights!$B$3)+(raw_data!F416*weights!$B$4)</f>
        <v>20.709000000000003</v>
      </c>
      <c r="I416" t="str">
        <f t="shared" si="12"/>
        <v>Low</v>
      </c>
      <c r="J416" t="str">
        <f t="shared" si="13"/>
        <v>2015 Q3</v>
      </c>
      <c r="K416">
        <f>raw_data!H416</f>
        <v>8.01</v>
      </c>
      <c r="L416" s="13">
        <f>raw_data!I416</f>
        <v>10.96</v>
      </c>
      <c r="M416" s="13">
        <f>raw_data!J416</f>
        <v>1.73</v>
      </c>
    </row>
    <row r="417" spans="1:13" x14ac:dyDescent="0.2">
      <c r="A417" t="str">
        <f>raw_data!A417</f>
        <v>2015Q3</v>
      </c>
      <c r="B417" t="str">
        <f>raw_data!B417</f>
        <v>New South Wales</v>
      </c>
      <c r="C417" t="str">
        <f>raw_data!C417</f>
        <v>Construction</v>
      </c>
      <c r="D417">
        <f>raw_data!D417</f>
        <v>6.99</v>
      </c>
      <c r="E417">
        <f>raw_data!E417</f>
        <v>26.92</v>
      </c>
      <c r="F417">
        <f>raw_data!F417</f>
        <v>3.08</v>
      </c>
      <c r="G417">
        <f>raw_data!G417</f>
        <v>11.8</v>
      </c>
      <c r="H417">
        <f>(raw_data!D417*weights!$B$2)+(raw_data!E417*weights!$B$3)+(raw_data!F417*weights!$B$4)</f>
        <v>11.795999999999999</v>
      </c>
      <c r="I417" t="str">
        <f t="shared" si="12"/>
        <v>Low</v>
      </c>
      <c r="J417" t="str">
        <f t="shared" si="13"/>
        <v>2015 Q3</v>
      </c>
      <c r="K417">
        <f>raw_data!H417</f>
        <v>2.8</v>
      </c>
      <c r="L417" s="13">
        <f>raw_data!I417</f>
        <v>8.08</v>
      </c>
      <c r="M417" s="13">
        <f>raw_data!J417</f>
        <v>0.92</v>
      </c>
    </row>
    <row r="418" spans="1:13" x14ac:dyDescent="0.2">
      <c r="A418" t="str">
        <f>raw_data!A418</f>
        <v>2015Q3</v>
      </c>
      <c r="B418" t="str">
        <f>raw_data!B418</f>
        <v>New South Wales</v>
      </c>
      <c r="C418" t="str">
        <f>raw_data!C418</f>
        <v>Education and Training</v>
      </c>
      <c r="D418">
        <f>raw_data!D418</f>
        <v>1.83</v>
      </c>
      <c r="E418">
        <f>raw_data!E418</f>
        <v>51.92</v>
      </c>
      <c r="F418">
        <f>raw_data!F418</f>
        <v>3.62</v>
      </c>
      <c r="G418">
        <f>raw_data!G418</f>
        <v>17.399999999999999</v>
      </c>
      <c r="H418">
        <f>(raw_data!D418*weights!$B$2)+(raw_data!E418*weights!$B$3)+(raw_data!F418*weights!$B$4)</f>
        <v>17.393999999999998</v>
      </c>
      <c r="I418" t="str">
        <f t="shared" si="12"/>
        <v>Low</v>
      </c>
      <c r="J418" t="str">
        <f t="shared" si="13"/>
        <v>2015 Q3</v>
      </c>
      <c r="K418">
        <f>raw_data!H418</f>
        <v>0.73</v>
      </c>
      <c r="L418" s="13">
        <f>raw_data!I418</f>
        <v>15.58</v>
      </c>
      <c r="M418" s="13">
        <f>raw_data!J418</f>
        <v>1.0900000000000001</v>
      </c>
    </row>
    <row r="419" spans="1:13" x14ac:dyDescent="0.2">
      <c r="A419" t="str">
        <f>raw_data!A419</f>
        <v>2015Q3</v>
      </c>
      <c r="B419" t="str">
        <f>raw_data!B419</f>
        <v>New South Wales</v>
      </c>
      <c r="C419" t="str">
        <f>raw_data!C419</f>
        <v>Health Care and Social Assistance</v>
      </c>
      <c r="D419">
        <f>raw_data!D419</f>
        <v>7.49</v>
      </c>
      <c r="E419">
        <f>raw_data!E419</f>
        <v>44.23</v>
      </c>
      <c r="F419">
        <f>raw_data!F419</f>
        <v>5.32</v>
      </c>
      <c r="G419">
        <f>raw_data!G419</f>
        <v>17.86</v>
      </c>
      <c r="H419">
        <f>(raw_data!D419*weights!$B$2)+(raw_data!E419*weights!$B$3)+(raw_data!F419*weights!$B$4)</f>
        <v>17.861000000000001</v>
      </c>
      <c r="I419" t="str">
        <f t="shared" si="12"/>
        <v>Low</v>
      </c>
      <c r="J419" t="str">
        <f t="shared" si="13"/>
        <v>2015 Q3</v>
      </c>
      <c r="K419">
        <f>raw_data!H419</f>
        <v>3</v>
      </c>
      <c r="L419" s="13">
        <f>raw_data!I419</f>
        <v>13.27</v>
      </c>
      <c r="M419" s="13">
        <f>raw_data!J419</f>
        <v>1.59</v>
      </c>
    </row>
    <row r="420" spans="1:13" x14ac:dyDescent="0.2">
      <c r="A420" t="str">
        <f>raw_data!A420</f>
        <v>2015Q3</v>
      </c>
      <c r="B420" t="str">
        <f>raw_data!B420</f>
        <v>New South Wales</v>
      </c>
      <c r="C420" t="str">
        <f>raw_data!C420</f>
        <v>Manufacturing</v>
      </c>
      <c r="D420">
        <f>raw_data!D420</f>
        <v>5.65</v>
      </c>
      <c r="E420">
        <f>raw_data!E420</f>
        <v>44.23</v>
      </c>
      <c r="F420">
        <f>raw_data!F420</f>
        <v>3.18</v>
      </c>
      <c r="G420">
        <f>raw_data!G420</f>
        <v>16.48</v>
      </c>
      <c r="H420">
        <f>(raw_data!D420*weights!$B$2)+(raw_data!E420*weights!$B$3)+(raw_data!F420*weights!$B$4)</f>
        <v>16.482999999999997</v>
      </c>
      <c r="I420" t="str">
        <f t="shared" si="12"/>
        <v>Low</v>
      </c>
      <c r="J420" t="str">
        <f t="shared" si="13"/>
        <v>2015 Q3</v>
      </c>
      <c r="K420">
        <f>raw_data!H420</f>
        <v>2.2599999999999998</v>
      </c>
      <c r="L420" s="13">
        <f>raw_data!I420</f>
        <v>13.27</v>
      </c>
      <c r="M420" s="13">
        <f>raw_data!J420</f>
        <v>0.95</v>
      </c>
    </row>
    <row r="421" spans="1:13" x14ac:dyDescent="0.2">
      <c r="A421" t="str">
        <f>raw_data!A421</f>
        <v>2015Q3</v>
      </c>
      <c r="B421" t="str">
        <f>raw_data!B421</f>
        <v>New South Wales</v>
      </c>
      <c r="C421" t="str">
        <f>raw_data!C421</f>
        <v>Professional, Scientific and Technical Services</v>
      </c>
      <c r="D421">
        <f>raw_data!D421</f>
        <v>14.73</v>
      </c>
      <c r="E421">
        <f>raw_data!E421</f>
        <v>23.08</v>
      </c>
      <c r="F421">
        <f>raw_data!F421</f>
        <v>17.47</v>
      </c>
      <c r="G421">
        <f>raw_data!G421</f>
        <v>18.059999999999999</v>
      </c>
      <c r="H421">
        <f>(raw_data!D421*weights!$B$2)+(raw_data!E421*weights!$B$3)+(raw_data!F421*weights!$B$4)</f>
        <v>18.056999999999999</v>
      </c>
      <c r="I421" t="str">
        <f t="shared" si="12"/>
        <v>Low</v>
      </c>
      <c r="J421" t="str">
        <f t="shared" si="13"/>
        <v>2015 Q3</v>
      </c>
      <c r="K421">
        <f>raw_data!H421</f>
        <v>5.89</v>
      </c>
      <c r="L421" s="13">
        <f>raw_data!I421</f>
        <v>6.92</v>
      </c>
      <c r="M421" s="13">
        <f>raw_data!J421</f>
        <v>5.24</v>
      </c>
    </row>
    <row r="422" spans="1:13" x14ac:dyDescent="0.2">
      <c r="A422" t="str">
        <f>raw_data!A422</f>
        <v>2015Q3</v>
      </c>
      <c r="B422" t="str">
        <f>raw_data!B422</f>
        <v>Queensland</v>
      </c>
      <c r="C422" t="str">
        <f>raw_data!C422</f>
        <v>Accommodation and Food Services</v>
      </c>
      <c r="D422">
        <f>raw_data!D422</f>
        <v>32.520000000000003</v>
      </c>
      <c r="E422">
        <f>raw_data!E422</f>
        <v>36.54</v>
      </c>
      <c r="F422">
        <f>raw_data!F422</f>
        <v>4.6100000000000003</v>
      </c>
      <c r="G422">
        <f>raw_data!G422</f>
        <v>25.35</v>
      </c>
      <c r="H422">
        <f>(raw_data!D422*weights!$B$2)+(raw_data!E422*weights!$B$3)+(raw_data!F422*weights!$B$4)</f>
        <v>25.353000000000002</v>
      </c>
      <c r="I422" t="str">
        <f t="shared" si="12"/>
        <v>Moderate</v>
      </c>
      <c r="J422" t="str">
        <f t="shared" si="13"/>
        <v>2015 Q3</v>
      </c>
      <c r="K422">
        <f>raw_data!H422</f>
        <v>13.01</v>
      </c>
      <c r="L422" s="13">
        <f>raw_data!I422</f>
        <v>10.96</v>
      </c>
      <c r="M422" s="13">
        <f>raw_data!J422</f>
        <v>1.38</v>
      </c>
    </row>
    <row r="423" spans="1:13" x14ac:dyDescent="0.2">
      <c r="A423" t="str">
        <f>raw_data!A423</f>
        <v>2015Q3</v>
      </c>
      <c r="B423" t="str">
        <f>raw_data!B423</f>
        <v>Queensland</v>
      </c>
      <c r="C423" t="str">
        <f>raw_data!C423</f>
        <v>Construction</v>
      </c>
      <c r="D423">
        <f>raw_data!D423</f>
        <v>12.46</v>
      </c>
      <c r="E423">
        <f>raw_data!E423</f>
        <v>26.92</v>
      </c>
      <c r="F423">
        <f>raw_data!F423</f>
        <v>3.54</v>
      </c>
      <c r="G423">
        <f>raw_data!G423</f>
        <v>14.13</v>
      </c>
      <c r="H423">
        <f>(raw_data!D423*weights!$B$2)+(raw_data!E423*weights!$B$3)+(raw_data!F423*weights!$B$4)</f>
        <v>14.122000000000002</v>
      </c>
      <c r="I423" t="str">
        <f t="shared" si="12"/>
        <v>Low</v>
      </c>
      <c r="J423" t="str">
        <f t="shared" si="13"/>
        <v>2015 Q3</v>
      </c>
      <c r="K423">
        <f>raw_data!H423</f>
        <v>4.99</v>
      </c>
      <c r="L423" s="13">
        <f>raw_data!I423</f>
        <v>8.08</v>
      </c>
      <c r="M423" s="13">
        <f>raw_data!J423</f>
        <v>1.06</v>
      </c>
    </row>
    <row r="424" spans="1:13" x14ac:dyDescent="0.2">
      <c r="A424" t="str">
        <f>raw_data!A424</f>
        <v>2015Q3</v>
      </c>
      <c r="B424" t="str">
        <f>raw_data!B424</f>
        <v>Queensland</v>
      </c>
      <c r="C424" t="str">
        <f>raw_data!C424</f>
        <v>Education and Training</v>
      </c>
      <c r="D424">
        <f>raw_data!D424</f>
        <v>3.85</v>
      </c>
      <c r="E424">
        <f>raw_data!E424</f>
        <v>51.92</v>
      </c>
      <c r="F424">
        <f>raw_data!F424</f>
        <v>11.37</v>
      </c>
      <c r="G424">
        <f>raw_data!G424</f>
        <v>20.53</v>
      </c>
      <c r="H424">
        <f>(raw_data!D424*weights!$B$2)+(raw_data!E424*weights!$B$3)+(raw_data!F424*weights!$B$4)</f>
        <v>20.527000000000001</v>
      </c>
      <c r="I424" t="str">
        <f t="shared" si="12"/>
        <v>Low</v>
      </c>
      <c r="J424" t="str">
        <f t="shared" si="13"/>
        <v>2015 Q3</v>
      </c>
      <c r="K424">
        <f>raw_data!H424</f>
        <v>1.54</v>
      </c>
      <c r="L424" s="13">
        <f>raw_data!I424</f>
        <v>15.58</v>
      </c>
      <c r="M424" s="13">
        <f>raw_data!J424</f>
        <v>3.41</v>
      </c>
    </row>
    <row r="425" spans="1:13" x14ac:dyDescent="0.2">
      <c r="A425" t="str">
        <f>raw_data!A425</f>
        <v>2015Q3</v>
      </c>
      <c r="B425" t="str">
        <f>raw_data!B425</f>
        <v>Queensland</v>
      </c>
      <c r="C425" t="str">
        <f>raw_data!C425</f>
        <v>Health Care and Social Assistance</v>
      </c>
      <c r="D425">
        <f>raw_data!D425</f>
        <v>12.54</v>
      </c>
      <c r="E425">
        <f>raw_data!E425</f>
        <v>44.23</v>
      </c>
      <c r="F425">
        <f>raw_data!F425</f>
        <v>19.899999999999999</v>
      </c>
      <c r="G425">
        <f>raw_data!G425</f>
        <v>24.26</v>
      </c>
      <c r="H425">
        <f>(raw_data!D425*weights!$B$2)+(raw_data!E425*weights!$B$3)+(raw_data!F425*weights!$B$4)</f>
        <v>24.254999999999995</v>
      </c>
      <c r="I425" t="str">
        <f t="shared" si="12"/>
        <v>Low</v>
      </c>
      <c r="J425" t="str">
        <f t="shared" si="13"/>
        <v>2015 Q3</v>
      </c>
      <c r="K425">
        <f>raw_data!H425</f>
        <v>5.0199999999999996</v>
      </c>
      <c r="L425" s="13">
        <f>raw_data!I425</f>
        <v>13.27</v>
      </c>
      <c r="M425" s="13">
        <f>raw_data!J425</f>
        <v>5.97</v>
      </c>
    </row>
    <row r="426" spans="1:13" x14ac:dyDescent="0.2">
      <c r="A426" t="str">
        <f>raw_data!A426</f>
        <v>2015Q3</v>
      </c>
      <c r="B426" t="str">
        <f>raw_data!B426</f>
        <v>Queensland</v>
      </c>
      <c r="C426" t="str">
        <f>raw_data!C426</f>
        <v>Manufacturing</v>
      </c>
      <c r="D426">
        <f>raw_data!D426</f>
        <v>10.53</v>
      </c>
      <c r="E426">
        <f>raw_data!E426</f>
        <v>44.23</v>
      </c>
      <c r="F426">
        <f>raw_data!F426</f>
        <v>2.79</v>
      </c>
      <c r="G426">
        <f>raw_data!G426</f>
        <v>18.32</v>
      </c>
      <c r="H426">
        <f>(raw_data!D426*weights!$B$2)+(raw_data!E426*weights!$B$3)+(raw_data!F426*weights!$B$4)</f>
        <v>18.317999999999998</v>
      </c>
      <c r="I426" t="str">
        <f t="shared" si="12"/>
        <v>Low</v>
      </c>
      <c r="J426" t="str">
        <f t="shared" si="13"/>
        <v>2015 Q3</v>
      </c>
      <c r="K426">
        <f>raw_data!H426</f>
        <v>4.21</v>
      </c>
      <c r="L426" s="13">
        <f>raw_data!I426</f>
        <v>13.27</v>
      </c>
      <c r="M426" s="13">
        <f>raw_data!J426</f>
        <v>0.84</v>
      </c>
    </row>
    <row r="427" spans="1:13" x14ac:dyDescent="0.2">
      <c r="A427" t="str">
        <f>raw_data!A427</f>
        <v>2015Q3</v>
      </c>
      <c r="B427" t="str">
        <f>raw_data!B427</f>
        <v>Queensland</v>
      </c>
      <c r="C427" t="str">
        <f>raw_data!C427</f>
        <v>Professional, Scientific and Technical Services</v>
      </c>
      <c r="D427">
        <f>raw_data!D427</f>
        <v>30.8</v>
      </c>
      <c r="E427">
        <f>raw_data!E427</f>
        <v>23.08</v>
      </c>
      <c r="F427">
        <f>raw_data!F427</f>
        <v>14.2</v>
      </c>
      <c r="G427">
        <f>raw_data!G427</f>
        <v>23.5</v>
      </c>
      <c r="H427">
        <f>(raw_data!D427*weights!$B$2)+(raw_data!E427*weights!$B$3)+(raw_data!F427*weights!$B$4)</f>
        <v>23.503999999999998</v>
      </c>
      <c r="I427" t="str">
        <f t="shared" si="12"/>
        <v>Low</v>
      </c>
      <c r="J427" t="str">
        <f t="shared" si="13"/>
        <v>2015 Q3</v>
      </c>
      <c r="K427">
        <f>raw_data!H427</f>
        <v>12.32</v>
      </c>
      <c r="L427" s="13">
        <f>raw_data!I427</f>
        <v>6.92</v>
      </c>
      <c r="M427" s="13">
        <f>raw_data!J427</f>
        <v>4.26</v>
      </c>
    </row>
    <row r="428" spans="1:13" x14ac:dyDescent="0.2">
      <c r="A428" t="str">
        <f>raw_data!A428</f>
        <v>2015Q3</v>
      </c>
      <c r="B428" t="str">
        <f>raw_data!B428</f>
        <v>Victoria</v>
      </c>
      <c r="C428" t="str">
        <f>raw_data!C428</f>
        <v>Accommodation and Food Services</v>
      </c>
      <c r="D428">
        <f>raw_data!D428</f>
        <v>25.26</v>
      </c>
      <c r="E428">
        <f>raw_data!E428</f>
        <v>36.54</v>
      </c>
      <c r="F428">
        <f>raw_data!F428</f>
        <v>4.34</v>
      </c>
      <c r="G428">
        <f>raw_data!G428</f>
        <v>22.37</v>
      </c>
      <c r="H428">
        <f>(raw_data!D428*weights!$B$2)+(raw_data!E428*weights!$B$3)+(raw_data!F428*weights!$B$4)</f>
        <v>22.368000000000002</v>
      </c>
      <c r="I428" t="str">
        <f t="shared" si="12"/>
        <v>Low</v>
      </c>
      <c r="J428" t="str">
        <f t="shared" si="13"/>
        <v>2015 Q3</v>
      </c>
      <c r="K428">
        <f>raw_data!H428</f>
        <v>10.11</v>
      </c>
      <c r="L428" s="13">
        <f>raw_data!I428</f>
        <v>10.96</v>
      </c>
      <c r="M428" s="13">
        <f>raw_data!J428</f>
        <v>1.3</v>
      </c>
    </row>
    <row r="429" spans="1:13" x14ac:dyDescent="0.2">
      <c r="A429" t="str">
        <f>raw_data!A429</f>
        <v>2015Q3</v>
      </c>
      <c r="B429" t="str">
        <f>raw_data!B429</f>
        <v>Victoria</v>
      </c>
      <c r="C429" t="str">
        <f>raw_data!C429</f>
        <v>Construction</v>
      </c>
      <c r="D429">
        <f>raw_data!D429</f>
        <v>8.99</v>
      </c>
      <c r="E429">
        <f>raw_data!E429</f>
        <v>26.92</v>
      </c>
      <c r="F429">
        <f>raw_data!F429</f>
        <v>4.1500000000000004</v>
      </c>
      <c r="G429">
        <f>raw_data!G429</f>
        <v>12.92</v>
      </c>
      <c r="H429">
        <f>(raw_data!D429*weights!$B$2)+(raw_data!E429*weights!$B$3)+(raw_data!F429*weights!$B$4)</f>
        <v>12.917000000000002</v>
      </c>
      <c r="I429" t="str">
        <f t="shared" si="12"/>
        <v>Low</v>
      </c>
      <c r="J429" t="str">
        <f t="shared" si="13"/>
        <v>2015 Q3</v>
      </c>
      <c r="K429">
        <f>raw_data!H429</f>
        <v>3.6</v>
      </c>
      <c r="L429" s="13">
        <f>raw_data!I429</f>
        <v>8.08</v>
      </c>
      <c r="M429" s="13">
        <f>raw_data!J429</f>
        <v>1.25</v>
      </c>
    </row>
    <row r="430" spans="1:13" x14ac:dyDescent="0.2">
      <c r="A430" t="str">
        <f>raw_data!A430</f>
        <v>2015Q3</v>
      </c>
      <c r="B430" t="str">
        <f>raw_data!B430</f>
        <v>Victoria</v>
      </c>
      <c r="C430" t="str">
        <f>raw_data!C430</f>
        <v>Education and Training</v>
      </c>
      <c r="D430">
        <f>raw_data!D430</f>
        <v>2.41</v>
      </c>
      <c r="E430">
        <f>raw_data!E430</f>
        <v>51.92</v>
      </c>
      <c r="F430">
        <f>raw_data!F430</f>
        <v>2.06</v>
      </c>
      <c r="G430">
        <f>raw_data!G430</f>
        <v>17.16</v>
      </c>
      <c r="H430">
        <f>(raw_data!D430*weights!$B$2)+(raw_data!E430*weights!$B$3)+(raw_data!F430*weights!$B$4)</f>
        <v>17.157999999999998</v>
      </c>
      <c r="I430" t="str">
        <f t="shared" si="12"/>
        <v>Low</v>
      </c>
      <c r="J430" t="str">
        <f t="shared" si="13"/>
        <v>2015 Q3</v>
      </c>
      <c r="K430">
        <f>raw_data!H430</f>
        <v>0.96</v>
      </c>
      <c r="L430" s="13">
        <f>raw_data!I430</f>
        <v>15.58</v>
      </c>
      <c r="M430" s="13">
        <f>raw_data!J430</f>
        <v>0.62</v>
      </c>
    </row>
    <row r="431" spans="1:13" x14ac:dyDescent="0.2">
      <c r="A431" t="str">
        <f>raw_data!A431</f>
        <v>2015Q3</v>
      </c>
      <c r="B431" t="str">
        <f>raw_data!B431</f>
        <v>Victoria</v>
      </c>
      <c r="C431" t="str">
        <f>raw_data!C431</f>
        <v>Health Care and Social Assistance</v>
      </c>
      <c r="D431">
        <f>raw_data!D431</f>
        <v>10.220000000000001</v>
      </c>
      <c r="E431">
        <f>raw_data!E431</f>
        <v>44.23</v>
      </c>
      <c r="F431">
        <f>raw_data!F431</f>
        <v>9.66</v>
      </c>
      <c r="G431">
        <f>raw_data!G431</f>
        <v>20.260000000000002</v>
      </c>
      <c r="H431">
        <f>(raw_data!D431*weights!$B$2)+(raw_data!E431*weights!$B$3)+(raw_data!F431*weights!$B$4)</f>
        <v>20.254999999999999</v>
      </c>
      <c r="I431" t="str">
        <f t="shared" si="12"/>
        <v>Low</v>
      </c>
      <c r="J431" t="str">
        <f t="shared" si="13"/>
        <v>2015 Q3</v>
      </c>
      <c r="K431">
        <f>raw_data!H431</f>
        <v>4.09</v>
      </c>
      <c r="L431" s="13">
        <f>raw_data!I431</f>
        <v>13.27</v>
      </c>
      <c r="M431" s="13">
        <f>raw_data!J431</f>
        <v>2.9</v>
      </c>
    </row>
    <row r="432" spans="1:13" x14ac:dyDescent="0.2">
      <c r="A432" t="str">
        <f>raw_data!A432</f>
        <v>2015Q3</v>
      </c>
      <c r="B432" t="str">
        <f>raw_data!B432</f>
        <v>Victoria</v>
      </c>
      <c r="C432" t="str">
        <f>raw_data!C432</f>
        <v>Manufacturing</v>
      </c>
      <c r="D432">
        <f>raw_data!D432</f>
        <v>5.74</v>
      </c>
      <c r="E432">
        <f>raw_data!E432</f>
        <v>44.23</v>
      </c>
      <c r="F432">
        <f>raw_data!F432</f>
        <v>2.66</v>
      </c>
      <c r="G432">
        <f>raw_data!G432</f>
        <v>16.36</v>
      </c>
      <c r="H432">
        <f>(raw_data!D432*weights!$B$2)+(raw_data!E432*weights!$B$3)+(raw_data!F432*weights!$B$4)</f>
        <v>16.363</v>
      </c>
      <c r="I432" t="str">
        <f t="shared" si="12"/>
        <v>Low</v>
      </c>
      <c r="J432" t="str">
        <f t="shared" si="13"/>
        <v>2015 Q3</v>
      </c>
      <c r="K432">
        <f>raw_data!H432</f>
        <v>2.2999999999999998</v>
      </c>
      <c r="L432" s="13">
        <f>raw_data!I432</f>
        <v>13.27</v>
      </c>
      <c r="M432" s="13">
        <f>raw_data!J432</f>
        <v>0.8</v>
      </c>
    </row>
    <row r="433" spans="1:13" x14ac:dyDescent="0.2">
      <c r="A433" t="str">
        <f>raw_data!A433</f>
        <v>2015Q3</v>
      </c>
      <c r="B433" t="str">
        <f>raw_data!B433</f>
        <v>Victoria</v>
      </c>
      <c r="C433" t="str">
        <f>raw_data!C433</f>
        <v>Professional, Scientific and Technical Services</v>
      </c>
      <c r="D433">
        <f>raw_data!D433</f>
        <v>20.94</v>
      </c>
      <c r="E433">
        <f>raw_data!E433</f>
        <v>23.08</v>
      </c>
      <c r="F433">
        <f>raw_data!F433</f>
        <v>16.739999999999998</v>
      </c>
      <c r="G433">
        <f>raw_data!G433</f>
        <v>20.32</v>
      </c>
      <c r="H433">
        <f>(raw_data!D433*weights!$B$2)+(raw_data!E433*weights!$B$3)+(raw_data!F433*weights!$B$4)</f>
        <v>20.321999999999999</v>
      </c>
      <c r="I433" t="str">
        <f t="shared" si="12"/>
        <v>Low</v>
      </c>
      <c r="J433" t="str">
        <f t="shared" si="13"/>
        <v>2015 Q3</v>
      </c>
      <c r="K433">
        <f>raw_data!H433</f>
        <v>8.3800000000000008</v>
      </c>
      <c r="L433" s="13">
        <f>raw_data!I433</f>
        <v>6.92</v>
      </c>
      <c r="M433" s="13">
        <f>raw_data!J433</f>
        <v>5.0199999999999996</v>
      </c>
    </row>
    <row r="434" spans="1:13" x14ac:dyDescent="0.2">
      <c r="A434" t="str">
        <f>raw_data!A434</f>
        <v>2015Q4</v>
      </c>
      <c r="B434" t="str">
        <f>raw_data!B434</f>
        <v>New South Wales</v>
      </c>
      <c r="C434" t="str">
        <f>raw_data!C434</f>
        <v>Accommodation and Food Services</v>
      </c>
      <c r="D434">
        <f>raw_data!D434</f>
        <v>22.13</v>
      </c>
      <c r="E434">
        <f>raw_data!E434</f>
        <v>40.380000000000003</v>
      </c>
      <c r="F434">
        <f>raw_data!F434</f>
        <v>9.01</v>
      </c>
      <c r="G434">
        <f>raw_data!G434</f>
        <v>23.67</v>
      </c>
      <c r="H434">
        <f>(raw_data!D434*weights!$B$2)+(raw_data!E434*weights!$B$3)+(raw_data!F434*weights!$B$4)</f>
        <v>23.669</v>
      </c>
      <c r="I434" t="str">
        <f t="shared" si="12"/>
        <v>Low</v>
      </c>
      <c r="J434" t="str">
        <f t="shared" si="13"/>
        <v>2015 Q4</v>
      </c>
      <c r="K434">
        <f>raw_data!H434</f>
        <v>8.85</v>
      </c>
      <c r="L434" s="13">
        <f>raw_data!I434</f>
        <v>12.12</v>
      </c>
      <c r="M434" s="13">
        <f>raw_data!J434</f>
        <v>2.7</v>
      </c>
    </row>
    <row r="435" spans="1:13" x14ac:dyDescent="0.2">
      <c r="A435" t="str">
        <f>raw_data!A435</f>
        <v>2015Q4</v>
      </c>
      <c r="B435" t="str">
        <f>raw_data!B435</f>
        <v>New South Wales</v>
      </c>
      <c r="C435" t="str">
        <f>raw_data!C435</f>
        <v>Construction</v>
      </c>
      <c r="D435">
        <f>raw_data!D435</f>
        <v>6.47</v>
      </c>
      <c r="E435">
        <f>raw_data!E435</f>
        <v>25</v>
      </c>
      <c r="F435">
        <f>raw_data!F435</f>
        <v>4.3</v>
      </c>
      <c r="G435">
        <f>raw_data!G435</f>
        <v>11.38</v>
      </c>
      <c r="H435">
        <f>(raw_data!D435*weights!$B$2)+(raw_data!E435*weights!$B$3)+(raw_data!F435*weights!$B$4)</f>
        <v>11.378</v>
      </c>
      <c r="I435" t="str">
        <f t="shared" si="12"/>
        <v>Low</v>
      </c>
      <c r="J435" t="str">
        <f t="shared" si="13"/>
        <v>2015 Q4</v>
      </c>
      <c r="K435">
        <f>raw_data!H435</f>
        <v>2.59</v>
      </c>
      <c r="L435" s="13">
        <f>raw_data!I435</f>
        <v>7.5</v>
      </c>
      <c r="M435" s="13">
        <f>raw_data!J435</f>
        <v>1.29</v>
      </c>
    </row>
    <row r="436" spans="1:13" x14ac:dyDescent="0.2">
      <c r="A436" t="str">
        <f>raw_data!A436</f>
        <v>2015Q4</v>
      </c>
      <c r="B436" t="str">
        <f>raw_data!B436</f>
        <v>New South Wales</v>
      </c>
      <c r="C436" t="str">
        <f>raw_data!C436</f>
        <v>Education and Training</v>
      </c>
      <c r="D436">
        <f>raw_data!D436</f>
        <v>2.5299999999999998</v>
      </c>
      <c r="E436">
        <f>raw_data!E436</f>
        <v>44.23</v>
      </c>
      <c r="F436">
        <f>raw_data!F436</f>
        <v>2.84</v>
      </c>
      <c r="G436">
        <f>raw_data!G436</f>
        <v>15.13</v>
      </c>
      <c r="H436">
        <f>(raw_data!D436*weights!$B$2)+(raw_data!E436*weights!$B$3)+(raw_data!F436*weights!$B$4)</f>
        <v>15.132999999999999</v>
      </c>
      <c r="I436" t="str">
        <f t="shared" si="12"/>
        <v>Low</v>
      </c>
      <c r="J436" t="str">
        <f t="shared" si="13"/>
        <v>2015 Q4</v>
      </c>
      <c r="K436">
        <f>raw_data!H436</f>
        <v>1.01</v>
      </c>
      <c r="L436" s="13">
        <f>raw_data!I436</f>
        <v>13.27</v>
      </c>
      <c r="M436" s="13">
        <f>raw_data!J436</f>
        <v>0.85</v>
      </c>
    </row>
    <row r="437" spans="1:13" x14ac:dyDescent="0.2">
      <c r="A437" t="str">
        <f>raw_data!A437</f>
        <v>2015Q4</v>
      </c>
      <c r="B437" t="str">
        <f>raw_data!B437</f>
        <v>New South Wales</v>
      </c>
      <c r="C437" t="str">
        <f>raw_data!C437</f>
        <v>Health Care and Social Assistance</v>
      </c>
      <c r="D437">
        <f>raw_data!D437</f>
        <v>6.83</v>
      </c>
      <c r="E437">
        <f>raw_data!E437</f>
        <v>40.380000000000003</v>
      </c>
      <c r="F437">
        <f>raw_data!F437</f>
        <v>6.04</v>
      </c>
      <c r="G437">
        <f>raw_data!G437</f>
        <v>16.66</v>
      </c>
      <c r="H437">
        <f>(raw_data!D437*weights!$B$2)+(raw_data!E437*weights!$B$3)+(raw_data!F437*weights!$B$4)</f>
        <v>16.658000000000001</v>
      </c>
      <c r="I437" t="str">
        <f t="shared" si="12"/>
        <v>Low</v>
      </c>
      <c r="J437" t="str">
        <f t="shared" si="13"/>
        <v>2015 Q4</v>
      </c>
      <c r="K437">
        <f>raw_data!H437</f>
        <v>2.73</v>
      </c>
      <c r="L437" s="13">
        <f>raw_data!I437</f>
        <v>12.12</v>
      </c>
      <c r="M437" s="13">
        <f>raw_data!J437</f>
        <v>1.81</v>
      </c>
    </row>
    <row r="438" spans="1:13" x14ac:dyDescent="0.2">
      <c r="A438" t="str">
        <f>raw_data!A438</f>
        <v>2015Q4</v>
      </c>
      <c r="B438" t="str">
        <f>raw_data!B438</f>
        <v>New South Wales</v>
      </c>
      <c r="C438" t="str">
        <f>raw_data!C438</f>
        <v>Manufacturing</v>
      </c>
      <c r="D438">
        <f>raw_data!D438</f>
        <v>7.92</v>
      </c>
      <c r="E438">
        <f>raw_data!E438</f>
        <v>42.31</v>
      </c>
      <c r="F438">
        <f>raw_data!F438</f>
        <v>4.74</v>
      </c>
      <c r="G438">
        <f>raw_data!G438</f>
        <v>17.28</v>
      </c>
      <c r="H438">
        <f>(raw_data!D438*weights!$B$2)+(raw_data!E438*weights!$B$3)+(raw_data!F438*weights!$B$4)</f>
        <v>17.283000000000001</v>
      </c>
      <c r="I438" t="str">
        <f t="shared" si="12"/>
        <v>Low</v>
      </c>
      <c r="J438" t="str">
        <f t="shared" si="13"/>
        <v>2015 Q4</v>
      </c>
      <c r="K438">
        <f>raw_data!H438</f>
        <v>3.17</v>
      </c>
      <c r="L438" s="13">
        <f>raw_data!I438</f>
        <v>12.69</v>
      </c>
      <c r="M438" s="13">
        <f>raw_data!J438</f>
        <v>1.42</v>
      </c>
    </row>
    <row r="439" spans="1:13" x14ac:dyDescent="0.2">
      <c r="A439" t="str">
        <f>raw_data!A439</f>
        <v>2015Q4</v>
      </c>
      <c r="B439" t="str">
        <f>raw_data!B439</f>
        <v>New South Wales</v>
      </c>
      <c r="C439" t="str">
        <f>raw_data!C439</f>
        <v>Professional, Scientific and Technical Services</v>
      </c>
      <c r="D439">
        <f>raw_data!D439</f>
        <v>12.9</v>
      </c>
      <c r="E439">
        <f>raw_data!E439</f>
        <v>25</v>
      </c>
      <c r="F439">
        <f>raw_data!F439</f>
        <v>17.2</v>
      </c>
      <c r="G439">
        <f>raw_data!G439</f>
        <v>17.82</v>
      </c>
      <c r="H439">
        <f>(raw_data!D439*weights!$B$2)+(raw_data!E439*weights!$B$3)+(raw_data!F439*weights!$B$4)</f>
        <v>17.82</v>
      </c>
      <c r="I439" t="str">
        <f t="shared" si="12"/>
        <v>Low</v>
      </c>
      <c r="J439" t="str">
        <f t="shared" si="13"/>
        <v>2015 Q4</v>
      </c>
      <c r="K439">
        <f>raw_data!H439</f>
        <v>5.16</v>
      </c>
      <c r="L439" s="13">
        <f>raw_data!I439</f>
        <v>7.5</v>
      </c>
      <c r="M439" s="13">
        <f>raw_data!J439</f>
        <v>5.16</v>
      </c>
    </row>
    <row r="440" spans="1:13" x14ac:dyDescent="0.2">
      <c r="A440" t="str">
        <f>raw_data!A440</f>
        <v>2015Q4</v>
      </c>
      <c r="B440" t="str">
        <f>raw_data!B440</f>
        <v>Queensland</v>
      </c>
      <c r="C440" t="str">
        <f>raw_data!C440</f>
        <v>Accommodation and Food Services</v>
      </c>
      <c r="D440">
        <f>raw_data!D440</f>
        <v>34.76</v>
      </c>
      <c r="E440">
        <f>raw_data!E440</f>
        <v>40.380000000000003</v>
      </c>
      <c r="F440">
        <f>raw_data!F440</f>
        <v>6.9</v>
      </c>
      <c r="G440">
        <f>raw_data!G440</f>
        <v>28.09</v>
      </c>
      <c r="H440">
        <f>(raw_data!D440*weights!$B$2)+(raw_data!E440*weights!$B$3)+(raw_data!F440*weights!$B$4)</f>
        <v>28.088000000000001</v>
      </c>
      <c r="I440" t="str">
        <f t="shared" si="12"/>
        <v>Moderate</v>
      </c>
      <c r="J440" t="str">
        <f t="shared" si="13"/>
        <v>2015 Q4</v>
      </c>
      <c r="K440">
        <f>raw_data!H440</f>
        <v>13.9</v>
      </c>
      <c r="L440" s="13">
        <f>raw_data!I440</f>
        <v>12.12</v>
      </c>
      <c r="M440" s="13">
        <f>raw_data!J440</f>
        <v>2.0699999999999998</v>
      </c>
    </row>
    <row r="441" spans="1:13" x14ac:dyDescent="0.2">
      <c r="A441" t="str">
        <f>raw_data!A441</f>
        <v>2015Q4</v>
      </c>
      <c r="B441" t="str">
        <f>raw_data!B441</f>
        <v>Queensland</v>
      </c>
      <c r="C441" t="str">
        <f>raw_data!C441</f>
        <v>Construction</v>
      </c>
      <c r="D441">
        <f>raw_data!D441</f>
        <v>11.16</v>
      </c>
      <c r="E441">
        <f>raw_data!E441</f>
        <v>25</v>
      </c>
      <c r="F441">
        <f>raw_data!F441</f>
        <v>4.78</v>
      </c>
      <c r="G441">
        <f>raw_data!G441</f>
        <v>13.4</v>
      </c>
      <c r="H441">
        <f>(raw_data!D441*weights!$B$2)+(raw_data!E441*weights!$B$3)+(raw_data!F441*weights!$B$4)</f>
        <v>13.398</v>
      </c>
      <c r="I441" t="str">
        <f t="shared" si="12"/>
        <v>Low</v>
      </c>
      <c r="J441" t="str">
        <f t="shared" si="13"/>
        <v>2015 Q4</v>
      </c>
      <c r="K441">
        <f>raw_data!H441</f>
        <v>4.47</v>
      </c>
      <c r="L441" s="13">
        <f>raw_data!I441</f>
        <v>7.5</v>
      </c>
      <c r="M441" s="13">
        <f>raw_data!J441</f>
        <v>1.43</v>
      </c>
    </row>
    <row r="442" spans="1:13" x14ac:dyDescent="0.2">
      <c r="A442" t="str">
        <f>raw_data!A442</f>
        <v>2015Q4</v>
      </c>
      <c r="B442" t="str">
        <f>raw_data!B442</f>
        <v>Queensland</v>
      </c>
      <c r="C442" t="str">
        <f>raw_data!C442</f>
        <v>Education and Training</v>
      </c>
      <c r="D442">
        <f>raw_data!D442</f>
        <v>4.72</v>
      </c>
      <c r="E442">
        <f>raw_data!E442</f>
        <v>44.23</v>
      </c>
      <c r="F442">
        <f>raw_data!F442</f>
        <v>24.85</v>
      </c>
      <c r="G442">
        <f>raw_data!G442</f>
        <v>22.61</v>
      </c>
      <c r="H442">
        <f>(raw_data!D442*weights!$B$2)+(raw_data!E442*weights!$B$3)+(raw_data!F442*weights!$B$4)</f>
        <v>22.611999999999998</v>
      </c>
      <c r="I442" t="str">
        <f t="shared" si="12"/>
        <v>Low</v>
      </c>
      <c r="J442" t="str">
        <f t="shared" si="13"/>
        <v>2015 Q4</v>
      </c>
      <c r="K442">
        <f>raw_data!H442</f>
        <v>1.89</v>
      </c>
      <c r="L442" s="13">
        <f>raw_data!I442</f>
        <v>13.27</v>
      </c>
      <c r="M442" s="13">
        <f>raw_data!J442</f>
        <v>7.45</v>
      </c>
    </row>
    <row r="443" spans="1:13" x14ac:dyDescent="0.2">
      <c r="A443" t="str">
        <f>raw_data!A443</f>
        <v>2015Q4</v>
      </c>
      <c r="B443" t="str">
        <f>raw_data!B443</f>
        <v>Queensland</v>
      </c>
      <c r="C443" t="str">
        <f>raw_data!C443</f>
        <v>Health Care and Social Assistance</v>
      </c>
      <c r="D443">
        <f>raw_data!D443</f>
        <v>11.6</v>
      </c>
      <c r="E443">
        <f>raw_data!E443</f>
        <v>40.380000000000003</v>
      </c>
      <c r="F443">
        <f>raw_data!F443</f>
        <v>11.95</v>
      </c>
      <c r="G443">
        <f>raw_data!G443</f>
        <v>20.34</v>
      </c>
      <c r="H443">
        <f>(raw_data!D443*weights!$B$2)+(raw_data!E443*weights!$B$3)+(raw_data!F443*weights!$B$4)</f>
        <v>20.339000000000002</v>
      </c>
      <c r="I443" t="str">
        <f t="shared" si="12"/>
        <v>Low</v>
      </c>
      <c r="J443" t="str">
        <f t="shared" si="13"/>
        <v>2015 Q4</v>
      </c>
      <c r="K443">
        <f>raw_data!H443</f>
        <v>4.6399999999999997</v>
      </c>
      <c r="L443" s="13">
        <f>raw_data!I443</f>
        <v>12.12</v>
      </c>
      <c r="M443" s="13">
        <f>raw_data!J443</f>
        <v>3.58</v>
      </c>
    </row>
    <row r="444" spans="1:13" x14ac:dyDescent="0.2">
      <c r="A444" t="str">
        <f>raw_data!A444</f>
        <v>2015Q4</v>
      </c>
      <c r="B444" t="str">
        <f>raw_data!B444</f>
        <v>Queensland</v>
      </c>
      <c r="C444" t="str">
        <f>raw_data!C444</f>
        <v>Manufacturing</v>
      </c>
      <c r="D444">
        <f>raw_data!D444</f>
        <v>12.25</v>
      </c>
      <c r="E444">
        <f>raw_data!E444</f>
        <v>42.31</v>
      </c>
      <c r="F444">
        <f>raw_data!F444</f>
        <v>5.17</v>
      </c>
      <c r="G444">
        <f>raw_data!G444</f>
        <v>19.149999999999999</v>
      </c>
      <c r="H444">
        <f>(raw_data!D444*weights!$B$2)+(raw_data!E444*weights!$B$3)+(raw_data!F444*weights!$B$4)</f>
        <v>19.143999999999998</v>
      </c>
      <c r="I444" t="str">
        <f t="shared" si="12"/>
        <v>Low</v>
      </c>
      <c r="J444" t="str">
        <f t="shared" si="13"/>
        <v>2015 Q4</v>
      </c>
      <c r="K444">
        <f>raw_data!H444</f>
        <v>4.9000000000000004</v>
      </c>
      <c r="L444" s="13">
        <f>raw_data!I444</f>
        <v>12.69</v>
      </c>
      <c r="M444" s="13">
        <f>raw_data!J444</f>
        <v>1.55</v>
      </c>
    </row>
    <row r="445" spans="1:13" x14ac:dyDescent="0.2">
      <c r="A445" t="str">
        <f>raw_data!A445</f>
        <v>2015Q4</v>
      </c>
      <c r="B445" t="str">
        <f>raw_data!B445</f>
        <v>Queensland</v>
      </c>
      <c r="C445" t="str">
        <f>raw_data!C445</f>
        <v>Professional, Scientific and Technical Services</v>
      </c>
      <c r="D445">
        <f>raw_data!D445</f>
        <v>29.85</v>
      </c>
      <c r="E445">
        <f>raw_data!E445</f>
        <v>25</v>
      </c>
      <c r="F445">
        <f>raw_data!F445</f>
        <v>16.010000000000002</v>
      </c>
      <c r="G445">
        <f>raw_data!G445</f>
        <v>24.25</v>
      </c>
      <c r="H445">
        <f>(raw_data!D445*weights!$B$2)+(raw_data!E445*weights!$B$3)+(raw_data!F445*weights!$B$4)</f>
        <v>24.243000000000002</v>
      </c>
      <c r="I445" t="str">
        <f t="shared" si="12"/>
        <v>Low</v>
      </c>
      <c r="J445" t="str">
        <f t="shared" si="13"/>
        <v>2015 Q4</v>
      </c>
      <c r="K445">
        <f>raw_data!H445</f>
        <v>11.94</v>
      </c>
      <c r="L445" s="13">
        <f>raw_data!I445</f>
        <v>7.5</v>
      </c>
      <c r="M445" s="13">
        <f>raw_data!J445</f>
        <v>4.8</v>
      </c>
    </row>
    <row r="446" spans="1:13" x14ac:dyDescent="0.2">
      <c r="A446" t="str">
        <f>raw_data!A446</f>
        <v>2015Q4</v>
      </c>
      <c r="B446" t="str">
        <f>raw_data!B446</f>
        <v>Victoria</v>
      </c>
      <c r="C446" t="str">
        <f>raw_data!C446</f>
        <v>Accommodation and Food Services</v>
      </c>
      <c r="D446">
        <f>raw_data!D446</f>
        <v>28.42</v>
      </c>
      <c r="E446">
        <f>raw_data!E446</f>
        <v>40.380000000000003</v>
      </c>
      <c r="F446">
        <f>raw_data!F446</f>
        <v>4.1100000000000003</v>
      </c>
      <c r="G446">
        <f>raw_data!G446</f>
        <v>24.72</v>
      </c>
      <c r="H446">
        <f>(raw_data!D446*weights!$B$2)+(raw_data!E446*weights!$B$3)+(raw_data!F446*weights!$B$4)</f>
        <v>24.715000000000003</v>
      </c>
      <c r="I446" t="str">
        <f t="shared" si="12"/>
        <v>Low</v>
      </c>
      <c r="J446" t="str">
        <f t="shared" si="13"/>
        <v>2015 Q4</v>
      </c>
      <c r="K446">
        <f>raw_data!H446</f>
        <v>11.37</v>
      </c>
      <c r="L446" s="13">
        <f>raw_data!I446</f>
        <v>12.12</v>
      </c>
      <c r="M446" s="13">
        <f>raw_data!J446</f>
        <v>1.23</v>
      </c>
    </row>
    <row r="447" spans="1:13" x14ac:dyDescent="0.2">
      <c r="A447" t="str">
        <f>raw_data!A447</f>
        <v>2015Q4</v>
      </c>
      <c r="B447" t="str">
        <f>raw_data!B447</f>
        <v>Victoria</v>
      </c>
      <c r="C447" t="str">
        <f>raw_data!C447</f>
        <v>Construction</v>
      </c>
      <c r="D447">
        <f>raw_data!D447</f>
        <v>7.84</v>
      </c>
      <c r="E447">
        <f>raw_data!E447</f>
        <v>25</v>
      </c>
      <c r="F447">
        <f>raw_data!F447</f>
        <v>3.72</v>
      </c>
      <c r="G447">
        <f>raw_data!G447</f>
        <v>11.75</v>
      </c>
      <c r="H447">
        <f>(raw_data!D447*weights!$B$2)+(raw_data!E447*weights!$B$3)+(raw_data!F447*weights!$B$4)</f>
        <v>11.751999999999999</v>
      </c>
      <c r="I447" t="str">
        <f t="shared" si="12"/>
        <v>Low</v>
      </c>
      <c r="J447" t="str">
        <f t="shared" si="13"/>
        <v>2015 Q4</v>
      </c>
      <c r="K447">
        <f>raw_data!H447</f>
        <v>3.14</v>
      </c>
      <c r="L447" s="13">
        <f>raw_data!I447</f>
        <v>7.5</v>
      </c>
      <c r="M447" s="13">
        <f>raw_data!J447</f>
        <v>1.1200000000000001</v>
      </c>
    </row>
    <row r="448" spans="1:13" x14ac:dyDescent="0.2">
      <c r="A448" t="str">
        <f>raw_data!A448</f>
        <v>2015Q4</v>
      </c>
      <c r="B448" t="str">
        <f>raw_data!B448</f>
        <v>Victoria</v>
      </c>
      <c r="C448" t="str">
        <f>raw_data!C448</f>
        <v>Education and Training</v>
      </c>
      <c r="D448">
        <f>raw_data!D448</f>
        <v>3.94</v>
      </c>
      <c r="E448">
        <f>raw_data!E448</f>
        <v>44.23</v>
      </c>
      <c r="F448">
        <f>raw_data!F448</f>
        <v>6.04</v>
      </c>
      <c r="G448">
        <f>raw_data!G448</f>
        <v>16.66</v>
      </c>
      <c r="H448">
        <f>(raw_data!D448*weights!$B$2)+(raw_data!E448*weights!$B$3)+(raw_data!F448*weights!$B$4)</f>
        <v>16.657</v>
      </c>
      <c r="I448" t="str">
        <f t="shared" si="12"/>
        <v>Low</v>
      </c>
      <c r="J448" t="str">
        <f t="shared" si="13"/>
        <v>2015 Q4</v>
      </c>
      <c r="K448">
        <f>raw_data!H448</f>
        <v>1.57</v>
      </c>
      <c r="L448" s="13">
        <f>raw_data!I448</f>
        <v>13.27</v>
      </c>
      <c r="M448" s="13">
        <f>raw_data!J448</f>
        <v>1.81</v>
      </c>
    </row>
    <row r="449" spans="1:13" x14ac:dyDescent="0.2">
      <c r="A449" t="str">
        <f>raw_data!A449</f>
        <v>2015Q4</v>
      </c>
      <c r="B449" t="str">
        <f>raw_data!B449</f>
        <v>Victoria</v>
      </c>
      <c r="C449" t="str">
        <f>raw_data!C449</f>
        <v>Health Care and Social Assistance</v>
      </c>
      <c r="D449">
        <f>raw_data!D449</f>
        <v>9.7200000000000006</v>
      </c>
      <c r="E449">
        <f>raw_data!E449</f>
        <v>40.380000000000003</v>
      </c>
      <c r="F449">
        <f>raw_data!F449</f>
        <v>8.94</v>
      </c>
      <c r="G449">
        <f>raw_data!G449</f>
        <v>18.690000000000001</v>
      </c>
      <c r="H449">
        <f>(raw_data!D449*weights!$B$2)+(raw_data!E449*weights!$B$3)+(raw_data!F449*weights!$B$4)</f>
        <v>18.684000000000001</v>
      </c>
      <c r="I449" t="str">
        <f t="shared" si="12"/>
        <v>Low</v>
      </c>
      <c r="J449" t="str">
        <f t="shared" si="13"/>
        <v>2015 Q4</v>
      </c>
      <c r="K449">
        <f>raw_data!H449</f>
        <v>3.89</v>
      </c>
      <c r="L449" s="13">
        <f>raw_data!I449</f>
        <v>12.12</v>
      </c>
      <c r="M449" s="13">
        <f>raw_data!J449</f>
        <v>2.68</v>
      </c>
    </row>
    <row r="450" spans="1:13" x14ac:dyDescent="0.2">
      <c r="A450" t="str">
        <f>raw_data!A450</f>
        <v>2015Q4</v>
      </c>
      <c r="B450" t="str">
        <f>raw_data!B450</f>
        <v>Victoria</v>
      </c>
      <c r="C450" t="str">
        <f>raw_data!C450</f>
        <v>Manufacturing</v>
      </c>
      <c r="D450">
        <f>raw_data!D450</f>
        <v>7.18</v>
      </c>
      <c r="E450">
        <f>raw_data!E450</f>
        <v>42.31</v>
      </c>
      <c r="F450">
        <f>raw_data!F450</f>
        <v>3.52</v>
      </c>
      <c r="G450">
        <f>raw_data!G450</f>
        <v>16.62</v>
      </c>
      <c r="H450">
        <f>(raw_data!D450*weights!$B$2)+(raw_data!E450*weights!$B$3)+(raw_data!F450*weights!$B$4)</f>
        <v>16.620999999999999</v>
      </c>
      <c r="I450" t="str">
        <f t="shared" si="12"/>
        <v>Low</v>
      </c>
      <c r="J450" t="str">
        <f t="shared" si="13"/>
        <v>2015 Q4</v>
      </c>
      <c r="K450">
        <f>raw_data!H450</f>
        <v>2.87</v>
      </c>
      <c r="L450" s="13">
        <f>raw_data!I450</f>
        <v>12.69</v>
      </c>
      <c r="M450" s="13">
        <f>raw_data!J450</f>
        <v>1.06</v>
      </c>
    </row>
    <row r="451" spans="1:13" x14ac:dyDescent="0.2">
      <c r="A451" t="str">
        <f>raw_data!A451</f>
        <v>2015Q4</v>
      </c>
      <c r="B451" t="str">
        <f>raw_data!B451</f>
        <v>Victoria</v>
      </c>
      <c r="C451" t="str">
        <f>raw_data!C451</f>
        <v>Professional, Scientific and Technical Services</v>
      </c>
      <c r="D451">
        <f>raw_data!D451</f>
        <v>19.48</v>
      </c>
      <c r="E451">
        <f>raw_data!E451</f>
        <v>25</v>
      </c>
      <c r="F451">
        <f>raw_data!F451</f>
        <v>12.12</v>
      </c>
      <c r="G451">
        <f>raw_data!G451</f>
        <v>18.93</v>
      </c>
      <c r="H451">
        <f>(raw_data!D451*weights!$B$2)+(raw_data!E451*weights!$B$3)+(raw_data!F451*weights!$B$4)</f>
        <v>18.928000000000001</v>
      </c>
      <c r="I451" t="str">
        <f t="shared" ref="I451:I514" si="14">IF(H451&gt;=60,"Critical",IF(H451&gt;=45,"High",IF(H451&gt;=25,"Moderate","Low")))</f>
        <v>Low</v>
      </c>
      <c r="J451" t="str">
        <f t="shared" ref="J451:J514" si="15">LEFT(A451,4)&amp;" "&amp;RIGHT(A451,2)</f>
        <v>2015 Q4</v>
      </c>
      <c r="K451">
        <f>raw_data!H451</f>
        <v>7.79</v>
      </c>
      <c r="L451" s="13">
        <f>raw_data!I451</f>
        <v>7.5</v>
      </c>
      <c r="M451" s="13">
        <f>raw_data!J451</f>
        <v>3.64</v>
      </c>
    </row>
    <row r="452" spans="1:13" x14ac:dyDescent="0.2">
      <c r="A452" t="str">
        <f>raw_data!A452</f>
        <v>2016Q1</v>
      </c>
      <c r="B452" t="str">
        <f>raw_data!B452</f>
        <v>New South Wales</v>
      </c>
      <c r="C452" t="str">
        <f>raw_data!C452</f>
        <v>Accommodation and Food Services</v>
      </c>
      <c r="D452">
        <f>raw_data!D452</f>
        <v>24.21</v>
      </c>
      <c r="E452">
        <f>raw_data!E452</f>
        <v>38.46</v>
      </c>
      <c r="F452">
        <f>raw_data!F452</f>
        <v>3.77</v>
      </c>
      <c r="G452">
        <f>raw_data!G452</f>
        <v>22.35</v>
      </c>
      <c r="H452">
        <f>(raw_data!D452*weights!$B$2)+(raw_data!E452*weights!$B$3)+(raw_data!F452*weights!$B$4)</f>
        <v>22.353000000000002</v>
      </c>
      <c r="I452" t="str">
        <f t="shared" si="14"/>
        <v>Low</v>
      </c>
      <c r="J452" t="str">
        <f t="shared" si="15"/>
        <v>2016 Q1</v>
      </c>
      <c r="K452">
        <f>raw_data!H452</f>
        <v>9.68</v>
      </c>
      <c r="L452" s="13">
        <f>raw_data!I452</f>
        <v>11.54</v>
      </c>
      <c r="M452" s="13">
        <f>raw_data!J452</f>
        <v>1.1299999999999999</v>
      </c>
    </row>
    <row r="453" spans="1:13" x14ac:dyDescent="0.2">
      <c r="A453" t="str">
        <f>raw_data!A453</f>
        <v>2016Q1</v>
      </c>
      <c r="B453" t="str">
        <f>raw_data!B453</f>
        <v>New South Wales</v>
      </c>
      <c r="C453" t="str">
        <f>raw_data!C453</f>
        <v>Construction</v>
      </c>
      <c r="D453">
        <f>raw_data!D453</f>
        <v>8.6</v>
      </c>
      <c r="E453">
        <f>raw_data!E453</f>
        <v>25</v>
      </c>
      <c r="F453">
        <f>raw_data!F453</f>
        <v>5.31</v>
      </c>
      <c r="G453">
        <f>raw_data!G453</f>
        <v>12.53</v>
      </c>
      <c r="H453">
        <f>(raw_data!D453*weights!$B$2)+(raw_data!E453*weights!$B$3)+(raw_data!F453*weights!$B$4)</f>
        <v>12.532999999999999</v>
      </c>
      <c r="I453" t="str">
        <f t="shared" si="14"/>
        <v>Low</v>
      </c>
      <c r="J453" t="str">
        <f t="shared" si="15"/>
        <v>2016 Q1</v>
      </c>
      <c r="K453">
        <f>raw_data!H453</f>
        <v>3.44</v>
      </c>
      <c r="L453" s="13">
        <f>raw_data!I453</f>
        <v>7.5</v>
      </c>
      <c r="M453" s="13">
        <f>raw_data!J453</f>
        <v>1.59</v>
      </c>
    </row>
    <row r="454" spans="1:13" x14ac:dyDescent="0.2">
      <c r="A454" t="str">
        <f>raw_data!A454</f>
        <v>2016Q1</v>
      </c>
      <c r="B454" t="str">
        <f>raw_data!B454</f>
        <v>New South Wales</v>
      </c>
      <c r="C454" t="str">
        <f>raw_data!C454</f>
        <v>Education and Training</v>
      </c>
      <c r="D454">
        <f>raw_data!D454</f>
        <v>3.77</v>
      </c>
      <c r="E454">
        <f>raw_data!E454</f>
        <v>44.23</v>
      </c>
      <c r="F454">
        <f>raw_data!F454</f>
        <v>2.77</v>
      </c>
      <c r="G454">
        <f>raw_data!G454</f>
        <v>15.61</v>
      </c>
      <c r="H454">
        <f>(raw_data!D454*weights!$B$2)+(raw_data!E454*weights!$B$3)+(raw_data!F454*weights!$B$4)</f>
        <v>15.607999999999997</v>
      </c>
      <c r="I454" t="str">
        <f t="shared" si="14"/>
        <v>Low</v>
      </c>
      <c r="J454" t="str">
        <f t="shared" si="15"/>
        <v>2016 Q1</v>
      </c>
      <c r="K454">
        <f>raw_data!H454</f>
        <v>1.51</v>
      </c>
      <c r="L454" s="13">
        <f>raw_data!I454</f>
        <v>13.27</v>
      </c>
      <c r="M454" s="13">
        <f>raw_data!J454</f>
        <v>0.83</v>
      </c>
    </row>
    <row r="455" spans="1:13" x14ac:dyDescent="0.2">
      <c r="A455" t="str">
        <f>raw_data!A455</f>
        <v>2016Q1</v>
      </c>
      <c r="B455" t="str">
        <f>raw_data!B455</f>
        <v>New South Wales</v>
      </c>
      <c r="C455" t="str">
        <f>raw_data!C455</f>
        <v>Health Care and Social Assistance</v>
      </c>
      <c r="D455">
        <f>raw_data!D455</f>
        <v>6.89</v>
      </c>
      <c r="E455">
        <f>raw_data!E455</f>
        <v>44.23</v>
      </c>
      <c r="F455">
        <f>raw_data!F455</f>
        <v>8.69</v>
      </c>
      <c r="G455">
        <f>raw_data!G455</f>
        <v>18.63</v>
      </c>
      <c r="H455">
        <f>(raw_data!D455*weights!$B$2)+(raw_data!E455*weights!$B$3)+(raw_data!F455*weights!$B$4)</f>
        <v>18.631999999999998</v>
      </c>
      <c r="I455" t="str">
        <f t="shared" si="14"/>
        <v>Low</v>
      </c>
      <c r="J455" t="str">
        <f t="shared" si="15"/>
        <v>2016 Q1</v>
      </c>
      <c r="K455">
        <f>raw_data!H455</f>
        <v>2.76</v>
      </c>
      <c r="L455" s="13">
        <f>raw_data!I455</f>
        <v>13.27</v>
      </c>
      <c r="M455" s="13">
        <f>raw_data!J455</f>
        <v>2.61</v>
      </c>
    </row>
    <row r="456" spans="1:13" x14ac:dyDescent="0.2">
      <c r="A456" t="str">
        <f>raw_data!A456</f>
        <v>2016Q1</v>
      </c>
      <c r="B456" t="str">
        <f>raw_data!B456</f>
        <v>New South Wales</v>
      </c>
      <c r="C456" t="str">
        <f>raw_data!C456</f>
        <v>Manufacturing</v>
      </c>
      <c r="D456">
        <f>raw_data!D456</f>
        <v>7.07</v>
      </c>
      <c r="E456">
        <f>raw_data!E456</f>
        <v>36.54</v>
      </c>
      <c r="F456">
        <f>raw_data!F456</f>
        <v>5.49</v>
      </c>
      <c r="G456">
        <f>raw_data!G456</f>
        <v>15.44</v>
      </c>
      <c r="H456">
        <f>(raw_data!D456*weights!$B$2)+(raw_data!E456*weights!$B$3)+(raw_data!F456*weights!$B$4)</f>
        <v>15.436999999999999</v>
      </c>
      <c r="I456" t="str">
        <f t="shared" si="14"/>
        <v>Low</v>
      </c>
      <c r="J456" t="str">
        <f t="shared" si="15"/>
        <v>2016 Q1</v>
      </c>
      <c r="K456">
        <f>raw_data!H456</f>
        <v>2.83</v>
      </c>
      <c r="L456" s="13">
        <f>raw_data!I456</f>
        <v>10.96</v>
      </c>
      <c r="M456" s="13">
        <f>raw_data!J456</f>
        <v>1.65</v>
      </c>
    </row>
    <row r="457" spans="1:13" x14ac:dyDescent="0.2">
      <c r="A457" t="str">
        <f>raw_data!A457</f>
        <v>2016Q1</v>
      </c>
      <c r="B457" t="str">
        <f>raw_data!B457</f>
        <v>New South Wales</v>
      </c>
      <c r="C457" t="str">
        <f>raw_data!C457</f>
        <v>Professional, Scientific and Technical Services</v>
      </c>
      <c r="D457">
        <f>raw_data!D457</f>
        <v>12.7</v>
      </c>
      <c r="E457">
        <f>raw_data!E457</f>
        <v>25</v>
      </c>
      <c r="F457">
        <f>raw_data!F457</f>
        <v>6.94</v>
      </c>
      <c r="G457">
        <f>raw_data!G457</f>
        <v>14.66</v>
      </c>
      <c r="H457">
        <f>(raw_data!D457*weights!$B$2)+(raw_data!E457*weights!$B$3)+(raw_data!F457*weights!$B$4)</f>
        <v>14.661999999999999</v>
      </c>
      <c r="I457" t="str">
        <f t="shared" si="14"/>
        <v>Low</v>
      </c>
      <c r="J457" t="str">
        <f t="shared" si="15"/>
        <v>2016 Q1</v>
      </c>
      <c r="K457">
        <f>raw_data!H457</f>
        <v>5.08</v>
      </c>
      <c r="L457" s="13">
        <f>raw_data!I457</f>
        <v>7.5</v>
      </c>
      <c r="M457" s="13">
        <f>raw_data!J457</f>
        <v>2.08</v>
      </c>
    </row>
    <row r="458" spans="1:13" x14ac:dyDescent="0.2">
      <c r="A458" t="str">
        <f>raw_data!A458</f>
        <v>2016Q1</v>
      </c>
      <c r="B458" t="str">
        <f>raw_data!B458</f>
        <v>Queensland</v>
      </c>
      <c r="C458" t="str">
        <f>raw_data!C458</f>
        <v>Accommodation and Food Services</v>
      </c>
      <c r="D458">
        <f>raw_data!D458</f>
        <v>37.44</v>
      </c>
      <c r="E458">
        <f>raw_data!E458</f>
        <v>38.46</v>
      </c>
      <c r="F458">
        <f>raw_data!F458</f>
        <v>6.12</v>
      </c>
      <c r="G458">
        <f>raw_data!G458</f>
        <v>28.35</v>
      </c>
      <c r="H458">
        <f>(raw_data!D458*weights!$B$2)+(raw_data!E458*weights!$B$3)+(raw_data!F458*weights!$B$4)</f>
        <v>28.349999999999998</v>
      </c>
      <c r="I458" t="str">
        <f t="shared" si="14"/>
        <v>Moderate</v>
      </c>
      <c r="J458" t="str">
        <f t="shared" si="15"/>
        <v>2016 Q1</v>
      </c>
      <c r="K458">
        <f>raw_data!H458</f>
        <v>14.98</v>
      </c>
      <c r="L458" s="13">
        <f>raw_data!I458</f>
        <v>11.54</v>
      </c>
      <c r="M458" s="13">
        <f>raw_data!J458</f>
        <v>1.83</v>
      </c>
    </row>
    <row r="459" spans="1:13" x14ac:dyDescent="0.2">
      <c r="A459" t="str">
        <f>raw_data!A459</f>
        <v>2016Q1</v>
      </c>
      <c r="B459" t="str">
        <f>raw_data!B459</f>
        <v>Queensland</v>
      </c>
      <c r="C459" t="str">
        <f>raw_data!C459</f>
        <v>Construction</v>
      </c>
      <c r="D459">
        <f>raw_data!D459</f>
        <v>12.84</v>
      </c>
      <c r="E459">
        <f>raw_data!E459</f>
        <v>25</v>
      </c>
      <c r="F459">
        <f>raw_data!F459</f>
        <v>5.3</v>
      </c>
      <c r="G459">
        <f>raw_data!G459</f>
        <v>14.23</v>
      </c>
      <c r="H459">
        <f>(raw_data!D459*weights!$B$2)+(raw_data!E459*weights!$B$3)+(raw_data!F459*weights!$B$4)</f>
        <v>14.225999999999999</v>
      </c>
      <c r="I459" t="str">
        <f t="shared" si="14"/>
        <v>Low</v>
      </c>
      <c r="J459" t="str">
        <f t="shared" si="15"/>
        <v>2016 Q1</v>
      </c>
      <c r="K459">
        <f>raw_data!H459</f>
        <v>5.14</v>
      </c>
      <c r="L459" s="13">
        <f>raw_data!I459</f>
        <v>7.5</v>
      </c>
      <c r="M459" s="13">
        <f>raw_data!J459</f>
        <v>1.59</v>
      </c>
    </row>
    <row r="460" spans="1:13" x14ac:dyDescent="0.2">
      <c r="A460" t="str">
        <f>raw_data!A460</f>
        <v>2016Q1</v>
      </c>
      <c r="B460" t="str">
        <f>raw_data!B460</f>
        <v>Queensland</v>
      </c>
      <c r="C460" t="str">
        <f>raw_data!C460</f>
        <v>Education and Training</v>
      </c>
      <c r="D460">
        <f>raw_data!D460</f>
        <v>6.62</v>
      </c>
      <c r="E460">
        <f>raw_data!E460</f>
        <v>44.23</v>
      </c>
      <c r="F460">
        <f>raw_data!F460</f>
        <v>3.43</v>
      </c>
      <c r="G460">
        <f>raw_data!G460</f>
        <v>16.95</v>
      </c>
      <c r="H460">
        <f>(raw_data!D460*weights!$B$2)+(raw_data!E460*weights!$B$3)+(raw_data!F460*weights!$B$4)</f>
        <v>16.945999999999998</v>
      </c>
      <c r="I460" t="str">
        <f t="shared" si="14"/>
        <v>Low</v>
      </c>
      <c r="J460" t="str">
        <f t="shared" si="15"/>
        <v>2016 Q1</v>
      </c>
      <c r="K460">
        <f>raw_data!H460</f>
        <v>2.65</v>
      </c>
      <c r="L460" s="13">
        <f>raw_data!I460</f>
        <v>13.27</v>
      </c>
      <c r="M460" s="13">
        <f>raw_data!J460</f>
        <v>1.03</v>
      </c>
    </row>
    <row r="461" spans="1:13" x14ac:dyDescent="0.2">
      <c r="A461" t="str">
        <f>raw_data!A461</f>
        <v>2016Q1</v>
      </c>
      <c r="B461" t="str">
        <f>raw_data!B461</f>
        <v>Queensland</v>
      </c>
      <c r="C461" t="str">
        <f>raw_data!C461</f>
        <v>Health Care and Social Assistance</v>
      </c>
      <c r="D461">
        <f>raw_data!D461</f>
        <v>12.61</v>
      </c>
      <c r="E461">
        <f>raw_data!E461</f>
        <v>44.23</v>
      </c>
      <c r="F461">
        <f>raw_data!F461</f>
        <v>14.04</v>
      </c>
      <c r="G461">
        <f>raw_data!G461</f>
        <v>22.53</v>
      </c>
      <c r="H461">
        <f>(raw_data!D461*weights!$B$2)+(raw_data!E461*weights!$B$3)+(raw_data!F461*weights!$B$4)</f>
        <v>22.524999999999999</v>
      </c>
      <c r="I461" t="str">
        <f t="shared" si="14"/>
        <v>Low</v>
      </c>
      <c r="J461" t="str">
        <f t="shared" si="15"/>
        <v>2016 Q1</v>
      </c>
      <c r="K461">
        <f>raw_data!H461</f>
        <v>5.04</v>
      </c>
      <c r="L461" s="13">
        <f>raw_data!I461</f>
        <v>13.27</v>
      </c>
      <c r="M461" s="13">
        <f>raw_data!J461</f>
        <v>4.21</v>
      </c>
    </row>
    <row r="462" spans="1:13" x14ac:dyDescent="0.2">
      <c r="A462" t="str">
        <f>raw_data!A462</f>
        <v>2016Q1</v>
      </c>
      <c r="B462" t="str">
        <f>raw_data!B462</f>
        <v>Queensland</v>
      </c>
      <c r="C462" t="str">
        <f>raw_data!C462</f>
        <v>Manufacturing</v>
      </c>
      <c r="D462">
        <f>raw_data!D462</f>
        <v>12.62</v>
      </c>
      <c r="E462">
        <f>raw_data!E462</f>
        <v>36.54</v>
      </c>
      <c r="F462">
        <f>raw_data!F462</f>
        <v>5.39</v>
      </c>
      <c r="G462">
        <f>raw_data!G462</f>
        <v>17.63</v>
      </c>
      <c r="H462">
        <f>(raw_data!D462*weights!$B$2)+(raw_data!E462*weights!$B$3)+(raw_data!F462*weights!$B$4)</f>
        <v>17.626999999999999</v>
      </c>
      <c r="I462" t="str">
        <f t="shared" si="14"/>
        <v>Low</v>
      </c>
      <c r="J462" t="str">
        <f t="shared" si="15"/>
        <v>2016 Q1</v>
      </c>
      <c r="K462">
        <f>raw_data!H462</f>
        <v>5.05</v>
      </c>
      <c r="L462" s="13">
        <f>raw_data!I462</f>
        <v>10.96</v>
      </c>
      <c r="M462" s="13">
        <f>raw_data!J462</f>
        <v>1.62</v>
      </c>
    </row>
    <row r="463" spans="1:13" x14ac:dyDescent="0.2">
      <c r="A463" t="str">
        <f>raw_data!A463</f>
        <v>2016Q1</v>
      </c>
      <c r="B463" t="str">
        <f>raw_data!B463</f>
        <v>Queensland</v>
      </c>
      <c r="C463" t="str">
        <f>raw_data!C463</f>
        <v>Professional, Scientific and Technical Services</v>
      </c>
      <c r="D463">
        <f>raw_data!D463</f>
        <v>26.68</v>
      </c>
      <c r="E463">
        <f>raw_data!E463</f>
        <v>25</v>
      </c>
      <c r="F463">
        <f>raw_data!F463</f>
        <v>14.16</v>
      </c>
      <c r="G463">
        <f>raw_data!G463</f>
        <v>22.42</v>
      </c>
      <c r="H463">
        <f>(raw_data!D463*weights!$B$2)+(raw_data!E463*weights!$B$3)+(raw_data!F463*weights!$B$4)</f>
        <v>22.42</v>
      </c>
      <c r="I463" t="str">
        <f t="shared" si="14"/>
        <v>Low</v>
      </c>
      <c r="J463" t="str">
        <f t="shared" si="15"/>
        <v>2016 Q1</v>
      </c>
      <c r="K463">
        <f>raw_data!H463</f>
        <v>10.67</v>
      </c>
      <c r="L463" s="13">
        <f>raw_data!I463</f>
        <v>7.5</v>
      </c>
      <c r="M463" s="13">
        <f>raw_data!J463</f>
        <v>4.25</v>
      </c>
    </row>
    <row r="464" spans="1:13" x14ac:dyDescent="0.2">
      <c r="A464" t="str">
        <f>raw_data!A464</f>
        <v>2016Q1</v>
      </c>
      <c r="B464" t="str">
        <f>raw_data!B464</f>
        <v>Victoria</v>
      </c>
      <c r="C464" t="str">
        <f>raw_data!C464</f>
        <v>Accommodation and Food Services</v>
      </c>
      <c r="D464">
        <f>raw_data!D464</f>
        <v>29.66</v>
      </c>
      <c r="E464">
        <f>raw_data!E464</f>
        <v>38.46</v>
      </c>
      <c r="F464">
        <f>raw_data!F464</f>
        <v>6.05</v>
      </c>
      <c r="G464">
        <f>raw_data!G464</f>
        <v>25.22</v>
      </c>
      <c r="H464">
        <f>(raw_data!D464*weights!$B$2)+(raw_data!E464*weights!$B$3)+(raw_data!F464*weights!$B$4)</f>
        <v>25.217000000000002</v>
      </c>
      <c r="I464" t="str">
        <f t="shared" si="14"/>
        <v>Moderate</v>
      </c>
      <c r="J464" t="str">
        <f t="shared" si="15"/>
        <v>2016 Q1</v>
      </c>
      <c r="K464">
        <f>raw_data!H464</f>
        <v>11.87</v>
      </c>
      <c r="L464" s="13">
        <f>raw_data!I464</f>
        <v>11.54</v>
      </c>
      <c r="M464" s="13">
        <f>raw_data!J464</f>
        <v>1.81</v>
      </c>
    </row>
    <row r="465" spans="1:13" x14ac:dyDescent="0.2">
      <c r="A465" t="str">
        <f>raw_data!A465</f>
        <v>2016Q1</v>
      </c>
      <c r="B465" t="str">
        <f>raw_data!B465</f>
        <v>Victoria</v>
      </c>
      <c r="C465" t="str">
        <f>raw_data!C465</f>
        <v>Construction</v>
      </c>
      <c r="D465">
        <f>raw_data!D465</f>
        <v>9.09</v>
      </c>
      <c r="E465">
        <f>raw_data!E465</f>
        <v>25</v>
      </c>
      <c r="F465">
        <f>raw_data!F465</f>
        <v>5.92</v>
      </c>
      <c r="G465">
        <f>raw_data!G465</f>
        <v>12.91</v>
      </c>
      <c r="H465">
        <f>(raw_data!D465*weights!$B$2)+(raw_data!E465*weights!$B$3)+(raw_data!F465*weights!$B$4)</f>
        <v>12.911999999999999</v>
      </c>
      <c r="I465" t="str">
        <f t="shared" si="14"/>
        <v>Low</v>
      </c>
      <c r="J465" t="str">
        <f t="shared" si="15"/>
        <v>2016 Q1</v>
      </c>
      <c r="K465">
        <f>raw_data!H465</f>
        <v>3.64</v>
      </c>
      <c r="L465" s="13">
        <f>raw_data!I465</f>
        <v>7.5</v>
      </c>
      <c r="M465" s="13">
        <f>raw_data!J465</f>
        <v>1.78</v>
      </c>
    </row>
    <row r="466" spans="1:13" x14ac:dyDescent="0.2">
      <c r="A466" t="str">
        <f>raw_data!A466</f>
        <v>2016Q1</v>
      </c>
      <c r="B466" t="str">
        <f>raw_data!B466</f>
        <v>Victoria</v>
      </c>
      <c r="C466" t="str">
        <f>raw_data!C466</f>
        <v>Education and Training</v>
      </c>
      <c r="D466">
        <f>raw_data!D466</f>
        <v>5.0999999999999996</v>
      </c>
      <c r="E466">
        <f>raw_data!E466</f>
        <v>44.23</v>
      </c>
      <c r="F466">
        <f>raw_data!F466</f>
        <v>3.69</v>
      </c>
      <c r="G466">
        <f>raw_data!G466</f>
        <v>16.420000000000002</v>
      </c>
      <c r="H466">
        <f>(raw_data!D466*weights!$B$2)+(raw_data!E466*weights!$B$3)+(raw_data!F466*weights!$B$4)</f>
        <v>16.415999999999997</v>
      </c>
      <c r="I466" t="str">
        <f t="shared" si="14"/>
        <v>Low</v>
      </c>
      <c r="J466" t="str">
        <f t="shared" si="15"/>
        <v>2016 Q1</v>
      </c>
      <c r="K466">
        <f>raw_data!H466</f>
        <v>2.04</v>
      </c>
      <c r="L466" s="13">
        <f>raw_data!I466</f>
        <v>13.27</v>
      </c>
      <c r="M466" s="13">
        <f>raw_data!J466</f>
        <v>1.1100000000000001</v>
      </c>
    </row>
    <row r="467" spans="1:13" x14ac:dyDescent="0.2">
      <c r="A467" t="str">
        <f>raw_data!A467</f>
        <v>2016Q1</v>
      </c>
      <c r="B467" t="str">
        <f>raw_data!B467</f>
        <v>Victoria</v>
      </c>
      <c r="C467" t="str">
        <f>raw_data!C467</f>
        <v>Health Care and Social Assistance</v>
      </c>
      <c r="D467">
        <f>raw_data!D467</f>
        <v>9.27</v>
      </c>
      <c r="E467">
        <f>raw_data!E467</f>
        <v>44.23</v>
      </c>
      <c r="F467">
        <f>raw_data!F467</f>
        <v>6.92</v>
      </c>
      <c r="G467">
        <f>raw_data!G467</f>
        <v>19.05</v>
      </c>
      <c r="H467">
        <f>(raw_data!D467*weights!$B$2)+(raw_data!E467*weights!$B$3)+(raw_data!F467*weights!$B$4)</f>
        <v>19.052999999999997</v>
      </c>
      <c r="I467" t="str">
        <f t="shared" si="14"/>
        <v>Low</v>
      </c>
      <c r="J467" t="str">
        <f t="shared" si="15"/>
        <v>2016 Q1</v>
      </c>
      <c r="K467">
        <f>raw_data!H467</f>
        <v>3.71</v>
      </c>
      <c r="L467" s="13">
        <f>raw_data!I467</f>
        <v>13.27</v>
      </c>
      <c r="M467" s="13">
        <f>raw_data!J467</f>
        <v>2.08</v>
      </c>
    </row>
    <row r="468" spans="1:13" x14ac:dyDescent="0.2">
      <c r="A468" t="str">
        <f>raw_data!A468</f>
        <v>2016Q1</v>
      </c>
      <c r="B468" t="str">
        <f>raw_data!B468</f>
        <v>Victoria</v>
      </c>
      <c r="C468" t="str">
        <f>raw_data!C468</f>
        <v>Manufacturing</v>
      </c>
      <c r="D468">
        <f>raw_data!D468</f>
        <v>7.31</v>
      </c>
      <c r="E468">
        <f>raw_data!E468</f>
        <v>36.54</v>
      </c>
      <c r="F468">
        <f>raw_data!F468</f>
        <v>2.98</v>
      </c>
      <c r="G468">
        <f>raw_data!G468</f>
        <v>14.78</v>
      </c>
      <c r="H468">
        <f>(raw_data!D468*weights!$B$2)+(raw_data!E468*weights!$B$3)+(raw_data!F468*weights!$B$4)</f>
        <v>14.78</v>
      </c>
      <c r="I468" t="str">
        <f t="shared" si="14"/>
        <v>Low</v>
      </c>
      <c r="J468" t="str">
        <f t="shared" si="15"/>
        <v>2016 Q1</v>
      </c>
      <c r="K468">
        <f>raw_data!H468</f>
        <v>2.92</v>
      </c>
      <c r="L468" s="13">
        <f>raw_data!I468</f>
        <v>10.96</v>
      </c>
      <c r="M468" s="13">
        <f>raw_data!J468</f>
        <v>0.89</v>
      </c>
    </row>
    <row r="469" spans="1:13" x14ac:dyDescent="0.2">
      <c r="A469" t="str">
        <f>raw_data!A469</f>
        <v>2016Q1</v>
      </c>
      <c r="B469" t="str">
        <f>raw_data!B469</f>
        <v>Victoria</v>
      </c>
      <c r="C469" t="str">
        <f>raw_data!C469</f>
        <v>Professional, Scientific and Technical Services</v>
      </c>
      <c r="D469">
        <f>raw_data!D469</f>
        <v>18.850000000000001</v>
      </c>
      <c r="E469">
        <f>raw_data!E469</f>
        <v>25</v>
      </c>
      <c r="F469">
        <f>raw_data!F469</f>
        <v>14.35</v>
      </c>
      <c r="G469">
        <f>raw_data!G469</f>
        <v>19.34</v>
      </c>
      <c r="H469">
        <f>(raw_data!D469*weights!$B$2)+(raw_data!E469*weights!$B$3)+(raw_data!F469*weights!$B$4)</f>
        <v>19.344999999999999</v>
      </c>
      <c r="I469" t="str">
        <f t="shared" si="14"/>
        <v>Low</v>
      </c>
      <c r="J469" t="str">
        <f t="shared" si="15"/>
        <v>2016 Q1</v>
      </c>
      <c r="K469">
        <f>raw_data!H469</f>
        <v>7.54</v>
      </c>
      <c r="L469" s="13">
        <f>raw_data!I469</f>
        <v>7.5</v>
      </c>
      <c r="M469" s="13">
        <f>raw_data!J469</f>
        <v>4.3</v>
      </c>
    </row>
    <row r="470" spans="1:13" x14ac:dyDescent="0.2">
      <c r="A470" t="str">
        <f>raw_data!A470</f>
        <v>2016Q2</v>
      </c>
      <c r="B470" t="str">
        <f>raw_data!B470</f>
        <v>New South Wales</v>
      </c>
      <c r="C470" t="str">
        <f>raw_data!C470</f>
        <v>Accommodation and Food Services</v>
      </c>
      <c r="D470">
        <f>raw_data!D470</f>
        <v>14.77</v>
      </c>
      <c r="E470">
        <f>raw_data!E470</f>
        <v>38.46</v>
      </c>
      <c r="F470">
        <f>raw_data!F470</f>
        <v>3.29</v>
      </c>
      <c r="G470">
        <f>raw_data!G470</f>
        <v>18.43</v>
      </c>
      <c r="H470">
        <f>(raw_data!D470*weights!$B$2)+(raw_data!E470*weights!$B$3)+(raw_data!F470*weights!$B$4)</f>
        <v>18.433</v>
      </c>
      <c r="I470" t="str">
        <f t="shared" si="14"/>
        <v>Low</v>
      </c>
      <c r="J470" t="str">
        <f t="shared" si="15"/>
        <v>2016 Q2</v>
      </c>
      <c r="K470">
        <f>raw_data!H470</f>
        <v>5.91</v>
      </c>
      <c r="L470" s="13">
        <f>raw_data!I470</f>
        <v>11.54</v>
      </c>
      <c r="M470" s="13">
        <f>raw_data!J470</f>
        <v>0.99</v>
      </c>
    </row>
    <row r="471" spans="1:13" x14ac:dyDescent="0.2">
      <c r="A471" t="str">
        <f>raw_data!A471</f>
        <v>2016Q2</v>
      </c>
      <c r="B471" t="str">
        <f>raw_data!B471</f>
        <v>New South Wales</v>
      </c>
      <c r="C471" t="str">
        <f>raw_data!C471</f>
        <v>Construction</v>
      </c>
      <c r="D471">
        <f>raw_data!D471</f>
        <v>6.12</v>
      </c>
      <c r="E471">
        <f>raw_data!E471</f>
        <v>23.08</v>
      </c>
      <c r="F471">
        <f>raw_data!F471</f>
        <v>3.26</v>
      </c>
      <c r="G471">
        <f>raw_data!G471</f>
        <v>10.35</v>
      </c>
      <c r="H471">
        <f>(raw_data!D471*weights!$B$2)+(raw_data!E471*weights!$B$3)+(raw_data!F471*weights!$B$4)</f>
        <v>10.35</v>
      </c>
      <c r="I471" t="str">
        <f t="shared" si="14"/>
        <v>Low</v>
      </c>
      <c r="J471" t="str">
        <f t="shared" si="15"/>
        <v>2016 Q2</v>
      </c>
      <c r="K471">
        <f>raw_data!H471</f>
        <v>2.4500000000000002</v>
      </c>
      <c r="L471" s="13">
        <f>raw_data!I471</f>
        <v>6.92</v>
      </c>
      <c r="M471" s="13">
        <f>raw_data!J471</f>
        <v>0.98</v>
      </c>
    </row>
    <row r="472" spans="1:13" x14ac:dyDescent="0.2">
      <c r="A472" t="str">
        <f>raw_data!A472</f>
        <v>2016Q2</v>
      </c>
      <c r="B472" t="str">
        <f>raw_data!B472</f>
        <v>New South Wales</v>
      </c>
      <c r="C472" t="str">
        <f>raw_data!C472</f>
        <v>Education and Training</v>
      </c>
      <c r="D472">
        <f>raw_data!D472</f>
        <v>3.69</v>
      </c>
      <c r="E472">
        <f>raw_data!E472</f>
        <v>42.31</v>
      </c>
      <c r="F472">
        <f>raw_data!F472</f>
        <v>7.12</v>
      </c>
      <c r="G472">
        <f>raw_data!G472</f>
        <v>16.309999999999999</v>
      </c>
      <c r="H472">
        <f>(raw_data!D472*weights!$B$2)+(raw_data!E472*weights!$B$3)+(raw_data!F472*weights!$B$4)</f>
        <v>16.305</v>
      </c>
      <c r="I472" t="str">
        <f t="shared" si="14"/>
        <v>Low</v>
      </c>
      <c r="J472" t="str">
        <f t="shared" si="15"/>
        <v>2016 Q2</v>
      </c>
      <c r="K472">
        <f>raw_data!H472</f>
        <v>1.48</v>
      </c>
      <c r="L472" s="13">
        <f>raw_data!I472</f>
        <v>12.69</v>
      </c>
      <c r="M472" s="13">
        <f>raw_data!J472</f>
        <v>2.14</v>
      </c>
    </row>
    <row r="473" spans="1:13" x14ac:dyDescent="0.2">
      <c r="A473" t="str">
        <f>raw_data!A473</f>
        <v>2016Q2</v>
      </c>
      <c r="B473" t="str">
        <f>raw_data!B473</f>
        <v>New South Wales</v>
      </c>
      <c r="C473" t="str">
        <f>raw_data!C473</f>
        <v>Health Care and Social Assistance</v>
      </c>
      <c r="D473">
        <f>raw_data!D473</f>
        <v>7.97</v>
      </c>
      <c r="E473">
        <f>raw_data!E473</f>
        <v>38.46</v>
      </c>
      <c r="F473">
        <f>raw_data!F473</f>
        <v>8.41</v>
      </c>
      <c r="G473">
        <f>raw_data!G473</f>
        <v>17.25</v>
      </c>
      <c r="H473">
        <f>(raw_data!D473*weights!$B$2)+(raw_data!E473*weights!$B$3)+(raw_data!F473*weights!$B$4)</f>
        <v>17.249000000000002</v>
      </c>
      <c r="I473" t="str">
        <f t="shared" si="14"/>
        <v>Low</v>
      </c>
      <c r="J473" t="str">
        <f t="shared" si="15"/>
        <v>2016 Q2</v>
      </c>
      <c r="K473">
        <f>raw_data!H473</f>
        <v>3.19</v>
      </c>
      <c r="L473" s="13">
        <f>raw_data!I473</f>
        <v>11.54</v>
      </c>
      <c r="M473" s="13">
        <f>raw_data!J473</f>
        <v>2.52</v>
      </c>
    </row>
    <row r="474" spans="1:13" x14ac:dyDescent="0.2">
      <c r="A474" t="str">
        <f>raw_data!A474</f>
        <v>2016Q2</v>
      </c>
      <c r="B474" t="str">
        <f>raw_data!B474</f>
        <v>New South Wales</v>
      </c>
      <c r="C474" t="str">
        <f>raw_data!C474</f>
        <v>Manufacturing</v>
      </c>
      <c r="D474">
        <f>raw_data!D474</f>
        <v>9.43</v>
      </c>
      <c r="E474">
        <f>raw_data!E474</f>
        <v>36.54</v>
      </c>
      <c r="F474">
        <f>raw_data!F474</f>
        <v>4.7699999999999996</v>
      </c>
      <c r="G474">
        <f>raw_data!G474</f>
        <v>16.16</v>
      </c>
      <c r="H474">
        <f>(raw_data!D474*weights!$B$2)+(raw_data!E474*weights!$B$3)+(raw_data!F474*weights!$B$4)</f>
        <v>16.164999999999999</v>
      </c>
      <c r="I474" t="str">
        <f t="shared" si="14"/>
        <v>Low</v>
      </c>
      <c r="J474" t="str">
        <f t="shared" si="15"/>
        <v>2016 Q2</v>
      </c>
      <c r="K474">
        <f>raw_data!H474</f>
        <v>3.77</v>
      </c>
      <c r="L474" s="13">
        <f>raw_data!I474</f>
        <v>10.96</v>
      </c>
      <c r="M474" s="13">
        <f>raw_data!J474</f>
        <v>1.43</v>
      </c>
    </row>
    <row r="475" spans="1:13" x14ac:dyDescent="0.2">
      <c r="A475" t="str">
        <f>raw_data!A475</f>
        <v>2016Q2</v>
      </c>
      <c r="B475" t="str">
        <f>raw_data!B475</f>
        <v>New South Wales</v>
      </c>
      <c r="C475" t="str">
        <f>raw_data!C475</f>
        <v>Professional, Scientific and Technical Services</v>
      </c>
      <c r="D475">
        <f>raw_data!D475</f>
        <v>11.33</v>
      </c>
      <c r="E475">
        <f>raw_data!E475</f>
        <v>26.92</v>
      </c>
      <c r="F475">
        <f>raw_data!F475</f>
        <v>12.87</v>
      </c>
      <c r="G475">
        <f>raw_data!G475</f>
        <v>16.47</v>
      </c>
      <c r="H475">
        <f>(raw_data!D475*weights!$B$2)+(raw_data!E475*weights!$B$3)+(raw_data!F475*weights!$B$4)</f>
        <v>16.469000000000001</v>
      </c>
      <c r="I475" t="str">
        <f t="shared" si="14"/>
        <v>Low</v>
      </c>
      <c r="J475" t="str">
        <f t="shared" si="15"/>
        <v>2016 Q2</v>
      </c>
      <c r="K475">
        <f>raw_data!H475</f>
        <v>4.53</v>
      </c>
      <c r="L475" s="13">
        <f>raw_data!I475</f>
        <v>8.08</v>
      </c>
      <c r="M475" s="13">
        <f>raw_data!J475</f>
        <v>3.86</v>
      </c>
    </row>
    <row r="476" spans="1:13" x14ac:dyDescent="0.2">
      <c r="A476" t="str">
        <f>raw_data!A476</f>
        <v>2016Q2</v>
      </c>
      <c r="B476" t="str">
        <f>raw_data!B476</f>
        <v>Queensland</v>
      </c>
      <c r="C476" t="str">
        <f>raw_data!C476</f>
        <v>Accommodation and Food Services</v>
      </c>
      <c r="D476">
        <f>raw_data!D476</f>
        <v>24.85</v>
      </c>
      <c r="E476">
        <f>raw_data!E476</f>
        <v>38.46</v>
      </c>
      <c r="F476">
        <f>raw_data!F476</f>
        <v>4.04</v>
      </c>
      <c r="G476">
        <f>raw_data!G476</f>
        <v>22.69</v>
      </c>
      <c r="H476">
        <f>(raw_data!D476*weights!$B$2)+(raw_data!E476*weights!$B$3)+(raw_data!F476*weights!$B$4)</f>
        <v>22.69</v>
      </c>
      <c r="I476" t="str">
        <f t="shared" si="14"/>
        <v>Low</v>
      </c>
      <c r="J476" t="str">
        <f t="shared" si="15"/>
        <v>2016 Q2</v>
      </c>
      <c r="K476">
        <f>raw_data!H476</f>
        <v>9.94</v>
      </c>
      <c r="L476" s="13">
        <f>raw_data!I476</f>
        <v>11.54</v>
      </c>
      <c r="M476" s="13">
        <f>raw_data!J476</f>
        <v>1.21</v>
      </c>
    </row>
    <row r="477" spans="1:13" x14ac:dyDescent="0.2">
      <c r="A477" t="str">
        <f>raw_data!A477</f>
        <v>2016Q2</v>
      </c>
      <c r="B477" t="str">
        <f>raw_data!B477</f>
        <v>Queensland</v>
      </c>
      <c r="C477" t="str">
        <f>raw_data!C477</f>
        <v>Construction</v>
      </c>
      <c r="D477">
        <f>raw_data!D477</f>
        <v>10.65</v>
      </c>
      <c r="E477">
        <f>raw_data!E477</f>
        <v>23.08</v>
      </c>
      <c r="F477">
        <f>raw_data!F477</f>
        <v>5.74</v>
      </c>
      <c r="G477">
        <f>raw_data!G477</f>
        <v>12.9</v>
      </c>
      <c r="H477">
        <f>(raw_data!D477*weights!$B$2)+(raw_data!E477*weights!$B$3)+(raw_data!F477*weights!$B$4)</f>
        <v>12.906000000000001</v>
      </c>
      <c r="I477" t="str">
        <f t="shared" si="14"/>
        <v>Low</v>
      </c>
      <c r="J477" t="str">
        <f t="shared" si="15"/>
        <v>2016 Q2</v>
      </c>
      <c r="K477">
        <f>raw_data!H477</f>
        <v>4.26</v>
      </c>
      <c r="L477" s="13">
        <f>raw_data!I477</f>
        <v>6.92</v>
      </c>
      <c r="M477" s="13">
        <f>raw_data!J477</f>
        <v>1.72</v>
      </c>
    </row>
    <row r="478" spans="1:13" x14ac:dyDescent="0.2">
      <c r="A478" t="str">
        <f>raw_data!A478</f>
        <v>2016Q2</v>
      </c>
      <c r="B478" t="str">
        <f>raw_data!B478</f>
        <v>Queensland</v>
      </c>
      <c r="C478" t="str">
        <f>raw_data!C478</f>
        <v>Education and Training</v>
      </c>
      <c r="D478">
        <f>raw_data!D478</f>
        <v>7.33</v>
      </c>
      <c r="E478">
        <f>raw_data!E478</f>
        <v>42.31</v>
      </c>
      <c r="F478">
        <f>raw_data!F478</f>
        <v>8.34</v>
      </c>
      <c r="G478">
        <f>raw_data!G478</f>
        <v>18.13</v>
      </c>
      <c r="H478">
        <f>(raw_data!D478*weights!$B$2)+(raw_data!E478*weights!$B$3)+(raw_data!F478*weights!$B$4)</f>
        <v>18.126999999999999</v>
      </c>
      <c r="I478" t="str">
        <f t="shared" si="14"/>
        <v>Low</v>
      </c>
      <c r="J478" t="str">
        <f t="shared" si="15"/>
        <v>2016 Q2</v>
      </c>
      <c r="K478">
        <f>raw_data!H478</f>
        <v>2.93</v>
      </c>
      <c r="L478" s="13">
        <f>raw_data!I478</f>
        <v>12.69</v>
      </c>
      <c r="M478" s="13">
        <f>raw_data!J478</f>
        <v>2.5</v>
      </c>
    </row>
    <row r="479" spans="1:13" x14ac:dyDescent="0.2">
      <c r="A479" t="str">
        <f>raw_data!A479</f>
        <v>2016Q2</v>
      </c>
      <c r="B479" t="str">
        <f>raw_data!B479</f>
        <v>Queensland</v>
      </c>
      <c r="C479" t="str">
        <f>raw_data!C479</f>
        <v>Health Care and Social Assistance</v>
      </c>
      <c r="D479">
        <f>raw_data!D479</f>
        <v>13.67</v>
      </c>
      <c r="E479">
        <f>raw_data!E479</f>
        <v>38.46</v>
      </c>
      <c r="F479">
        <f>raw_data!F479</f>
        <v>14.41</v>
      </c>
      <c r="G479">
        <f>raw_data!G479</f>
        <v>21.33</v>
      </c>
      <c r="H479">
        <f>(raw_data!D479*weights!$B$2)+(raw_data!E479*weights!$B$3)+(raw_data!F479*weights!$B$4)</f>
        <v>21.329000000000001</v>
      </c>
      <c r="I479" t="str">
        <f t="shared" si="14"/>
        <v>Low</v>
      </c>
      <c r="J479" t="str">
        <f t="shared" si="15"/>
        <v>2016 Q2</v>
      </c>
      <c r="K479">
        <f>raw_data!H479</f>
        <v>5.47</v>
      </c>
      <c r="L479" s="13">
        <f>raw_data!I479</f>
        <v>11.54</v>
      </c>
      <c r="M479" s="13">
        <f>raw_data!J479</f>
        <v>4.32</v>
      </c>
    </row>
    <row r="480" spans="1:13" x14ac:dyDescent="0.2">
      <c r="A480" t="str">
        <f>raw_data!A480</f>
        <v>2016Q2</v>
      </c>
      <c r="B480" t="str">
        <f>raw_data!B480</f>
        <v>Queensland</v>
      </c>
      <c r="C480" t="str">
        <f>raw_data!C480</f>
        <v>Manufacturing</v>
      </c>
      <c r="D480">
        <f>raw_data!D480</f>
        <v>16.62</v>
      </c>
      <c r="E480">
        <f>raw_data!E480</f>
        <v>36.54</v>
      </c>
      <c r="F480">
        <f>raw_data!F480</f>
        <v>5.33</v>
      </c>
      <c r="G480">
        <f>raw_data!G480</f>
        <v>19.21</v>
      </c>
      <c r="H480">
        <f>(raw_data!D480*weights!$B$2)+(raw_data!E480*weights!$B$3)+(raw_data!F480*weights!$B$4)</f>
        <v>19.209</v>
      </c>
      <c r="I480" t="str">
        <f t="shared" si="14"/>
        <v>Low</v>
      </c>
      <c r="J480" t="str">
        <f t="shared" si="15"/>
        <v>2016 Q2</v>
      </c>
      <c r="K480">
        <f>raw_data!H480</f>
        <v>6.65</v>
      </c>
      <c r="L480" s="13">
        <f>raw_data!I480</f>
        <v>10.96</v>
      </c>
      <c r="M480" s="13">
        <f>raw_data!J480</f>
        <v>1.6</v>
      </c>
    </row>
    <row r="481" spans="1:13" x14ac:dyDescent="0.2">
      <c r="A481" t="str">
        <f>raw_data!A481</f>
        <v>2016Q2</v>
      </c>
      <c r="B481" t="str">
        <f>raw_data!B481</f>
        <v>Queensland</v>
      </c>
      <c r="C481" t="str">
        <f>raw_data!C481</f>
        <v>Professional, Scientific and Technical Services</v>
      </c>
      <c r="D481">
        <f>raw_data!D481</f>
        <v>27.93</v>
      </c>
      <c r="E481">
        <f>raw_data!E481</f>
        <v>26.92</v>
      </c>
      <c r="F481">
        <f>raw_data!F481</f>
        <v>12.47</v>
      </c>
      <c r="G481">
        <f>raw_data!G481</f>
        <v>22.99</v>
      </c>
      <c r="H481">
        <f>(raw_data!D481*weights!$B$2)+(raw_data!E481*weights!$B$3)+(raw_data!F481*weights!$B$4)</f>
        <v>22.989000000000001</v>
      </c>
      <c r="I481" t="str">
        <f t="shared" si="14"/>
        <v>Low</v>
      </c>
      <c r="J481" t="str">
        <f t="shared" si="15"/>
        <v>2016 Q2</v>
      </c>
      <c r="K481">
        <f>raw_data!H481</f>
        <v>11.17</v>
      </c>
      <c r="L481" s="13">
        <f>raw_data!I481</f>
        <v>8.08</v>
      </c>
      <c r="M481" s="13">
        <f>raw_data!J481</f>
        <v>3.74</v>
      </c>
    </row>
    <row r="482" spans="1:13" x14ac:dyDescent="0.2">
      <c r="A482" t="str">
        <f>raw_data!A482</f>
        <v>2016Q2</v>
      </c>
      <c r="B482" t="str">
        <f>raw_data!B482</f>
        <v>Victoria</v>
      </c>
      <c r="C482" t="str">
        <f>raw_data!C482</f>
        <v>Accommodation and Food Services</v>
      </c>
      <c r="D482">
        <f>raw_data!D482</f>
        <v>17.88</v>
      </c>
      <c r="E482">
        <f>raw_data!E482</f>
        <v>38.46</v>
      </c>
      <c r="F482">
        <f>raw_data!F482</f>
        <v>4.67</v>
      </c>
      <c r="G482">
        <f>raw_data!G482</f>
        <v>20.09</v>
      </c>
      <c r="H482">
        <f>(raw_data!D482*weights!$B$2)+(raw_data!E482*weights!$B$3)+(raw_data!F482*weights!$B$4)</f>
        <v>20.091000000000001</v>
      </c>
      <c r="I482" t="str">
        <f t="shared" si="14"/>
        <v>Low</v>
      </c>
      <c r="J482" t="str">
        <f t="shared" si="15"/>
        <v>2016 Q2</v>
      </c>
      <c r="K482">
        <f>raw_data!H482</f>
        <v>7.15</v>
      </c>
      <c r="L482" s="13">
        <f>raw_data!I482</f>
        <v>11.54</v>
      </c>
      <c r="M482" s="13">
        <f>raw_data!J482</f>
        <v>1.4</v>
      </c>
    </row>
    <row r="483" spans="1:13" x14ac:dyDescent="0.2">
      <c r="A483" t="str">
        <f>raw_data!A483</f>
        <v>2016Q2</v>
      </c>
      <c r="B483" t="str">
        <f>raw_data!B483</f>
        <v>Victoria</v>
      </c>
      <c r="C483" t="str">
        <f>raw_data!C483</f>
        <v>Construction</v>
      </c>
      <c r="D483">
        <f>raw_data!D483</f>
        <v>8.06</v>
      </c>
      <c r="E483">
        <f>raw_data!E483</f>
        <v>23.08</v>
      </c>
      <c r="F483">
        <f>raw_data!F483</f>
        <v>5.44</v>
      </c>
      <c r="G483">
        <f>raw_data!G483</f>
        <v>11.78</v>
      </c>
      <c r="H483">
        <f>(raw_data!D483*weights!$B$2)+(raw_data!E483*weights!$B$3)+(raw_data!F483*weights!$B$4)</f>
        <v>11.78</v>
      </c>
      <c r="I483" t="str">
        <f t="shared" si="14"/>
        <v>Low</v>
      </c>
      <c r="J483" t="str">
        <f t="shared" si="15"/>
        <v>2016 Q2</v>
      </c>
      <c r="K483">
        <f>raw_data!H483</f>
        <v>3.22</v>
      </c>
      <c r="L483" s="13">
        <f>raw_data!I483</f>
        <v>6.92</v>
      </c>
      <c r="M483" s="13">
        <f>raw_data!J483</f>
        <v>1.63</v>
      </c>
    </row>
    <row r="484" spans="1:13" x14ac:dyDescent="0.2">
      <c r="A484" t="str">
        <f>raw_data!A484</f>
        <v>2016Q2</v>
      </c>
      <c r="B484" t="str">
        <f>raw_data!B484</f>
        <v>Victoria</v>
      </c>
      <c r="C484" t="str">
        <f>raw_data!C484</f>
        <v>Education and Training</v>
      </c>
      <c r="D484">
        <f>raw_data!D484</f>
        <v>5.48</v>
      </c>
      <c r="E484">
        <f>raw_data!E484</f>
        <v>42.31</v>
      </c>
      <c r="F484">
        <f>raw_data!F484</f>
        <v>5.33</v>
      </c>
      <c r="G484">
        <f>raw_data!G484</f>
        <v>16.48</v>
      </c>
      <c r="H484">
        <f>(raw_data!D484*weights!$B$2)+(raw_data!E484*weights!$B$3)+(raw_data!F484*weights!$B$4)</f>
        <v>16.483999999999998</v>
      </c>
      <c r="I484" t="str">
        <f t="shared" si="14"/>
        <v>Low</v>
      </c>
      <c r="J484" t="str">
        <f t="shared" si="15"/>
        <v>2016 Q2</v>
      </c>
      <c r="K484">
        <f>raw_data!H484</f>
        <v>2.19</v>
      </c>
      <c r="L484" s="13">
        <f>raw_data!I484</f>
        <v>12.69</v>
      </c>
      <c r="M484" s="13">
        <f>raw_data!J484</f>
        <v>1.6</v>
      </c>
    </row>
    <row r="485" spans="1:13" x14ac:dyDescent="0.2">
      <c r="A485" t="str">
        <f>raw_data!A485</f>
        <v>2016Q2</v>
      </c>
      <c r="B485" t="str">
        <f>raw_data!B485</f>
        <v>Victoria</v>
      </c>
      <c r="C485" t="str">
        <f>raw_data!C485</f>
        <v>Health Care and Social Assistance</v>
      </c>
      <c r="D485">
        <f>raw_data!D485</f>
        <v>10.28</v>
      </c>
      <c r="E485">
        <f>raw_data!E485</f>
        <v>38.46</v>
      </c>
      <c r="F485">
        <f>raw_data!F485</f>
        <v>11.25</v>
      </c>
      <c r="G485">
        <f>raw_data!G485</f>
        <v>19.03</v>
      </c>
      <c r="H485">
        <f>(raw_data!D485*weights!$B$2)+(raw_data!E485*weights!$B$3)+(raw_data!F485*weights!$B$4)</f>
        <v>19.024999999999999</v>
      </c>
      <c r="I485" t="str">
        <f t="shared" si="14"/>
        <v>Low</v>
      </c>
      <c r="J485" t="str">
        <f t="shared" si="15"/>
        <v>2016 Q2</v>
      </c>
      <c r="K485">
        <f>raw_data!H485</f>
        <v>4.1100000000000003</v>
      </c>
      <c r="L485" s="13">
        <f>raw_data!I485</f>
        <v>11.54</v>
      </c>
      <c r="M485" s="13">
        <f>raw_data!J485</f>
        <v>3.37</v>
      </c>
    </row>
    <row r="486" spans="1:13" x14ac:dyDescent="0.2">
      <c r="A486" t="str">
        <f>raw_data!A486</f>
        <v>2016Q2</v>
      </c>
      <c r="B486" t="str">
        <f>raw_data!B486</f>
        <v>Victoria</v>
      </c>
      <c r="C486" t="str">
        <f>raw_data!C486</f>
        <v>Manufacturing</v>
      </c>
      <c r="D486">
        <f>raw_data!D486</f>
        <v>8.8000000000000007</v>
      </c>
      <c r="E486">
        <f>raw_data!E486</f>
        <v>36.54</v>
      </c>
      <c r="F486">
        <f>raw_data!F486</f>
        <v>3.86</v>
      </c>
      <c r="G486">
        <f>raw_data!G486</f>
        <v>15.64</v>
      </c>
      <c r="H486">
        <f>(raw_data!D486*weights!$B$2)+(raw_data!E486*weights!$B$3)+(raw_data!F486*weights!$B$4)</f>
        <v>15.639999999999999</v>
      </c>
      <c r="I486" t="str">
        <f t="shared" si="14"/>
        <v>Low</v>
      </c>
      <c r="J486" t="str">
        <f t="shared" si="15"/>
        <v>2016 Q2</v>
      </c>
      <c r="K486">
        <f>raw_data!H486</f>
        <v>3.52</v>
      </c>
      <c r="L486" s="13">
        <f>raw_data!I486</f>
        <v>10.96</v>
      </c>
      <c r="M486" s="13">
        <f>raw_data!J486</f>
        <v>1.1599999999999999</v>
      </c>
    </row>
    <row r="487" spans="1:13" x14ac:dyDescent="0.2">
      <c r="A487" t="str">
        <f>raw_data!A487</f>
        <v>2016Q2</v>
      </c>
      <c r="B487" t="str">
        <f>raw_data!B487</f>
        <v>Victoria</v>
      </c>
      <c r="C487" t="str">
        <f>raw_data!C487</f>
        <v>Professional, Scientific and Technical Services</v>
      </c>
      <c r="D487">
        <f>raw_data!D487</f>
        <v>15.53</v>
      </c>
      <c r="E487">
        <f>raw_data!E487</f>
        <v>26.92</v>
      </c>
      <c r="F487">
        <f>raw_data!F487</f>
        <v>13.03</v>
      </c>
      <c r="G487">
        <f>raw_data!G487</f>
        <v>18.2</v>
      </c>
      <c r="H487">
        <f>(raw_data!D487*weights!$B$2)+(raw_data!E487*weights!$B$3)+(raw_data!F487*weights!$B$4)</f>
        <v>18.196999999999999</v>
      </c>
      <c r="I487" t="str">
        <f t="shared" si="14"/>
        <v>Low</v>
      </c>
      <c r="J487" t="str">
        <f t="shared" si="15"/>
        <v>2016 Q2</v>
      </c>
      <c r="K487">
        <f>raw_data!H487</f>
        <v>6.21</v>
      </c>
      <c r="L487" s="13">
        <f>raw_data!I487</f>
        <v>8.08</v>
      </c>
      <c r="M487" s="13">
        <f>raw_data!J487</f>
        <v>3.91</v>
      </c>
    </row>
    <row r="488" spans="1:13" x14ac:dyDescent="0.2">
      <c r="A488" t="str">
        <f>raw_data!A488</f>
        <v>2016Q3</v>
      </c>
      <c r="B488" t="str">
        <f>raw_data!B488</f>
        <v>New South Wales</v>
      </c>
      <c r="C488" t="str">
        <f>raw_data!C488</f>
        <v>Accommodation and Food Services</v>
      </c>
      <c r="D488">
        <f>raw_data!D488</f>
        <v>21.3</v>
      </c>
      <c r="E488">
        <f>raw_data!E488</f>
        <v>38.46</v>
      </c>
      <c r="F488">
        <f>raw_data!F488</f>
        <v>2.97</v>
      </c>
      <c r="G488">
        <f>raw_data!G488</f>
        <v>20.95</v>
      </c>
      <c r="H488">
        <f>(raw_data!D488*weights!$B$2)+(raw_data!E488*weights!$B$3)+(raw_data!F488*weights!$B$4)</f>
        <v>20.948999999999998</v>
      </c>
      <c r="I488" t="str">
        <f t="shared" si="14"/>
        <v>Low</v>
      </c>
      <c r="J488" t="str">
        <f t="shared" si="15"/>
        <v>2016 Q3</v>
      </c>
      <c r="K488">
        <f>raw_data!H488</f>
        <v>8.52</v>
      </c>
      <c r="L488" s="13">
        <f>raw_data!I488</f>
        <v>11.54</v>
      </c>
      <c r="M488" s="13">
        <f>raw_data!J488</f>
        <v>0.89</v>
      </c>
    </row>
    <row r="489" spans="1:13" x14ac:dyDescent="0.2">
      <c r="A489" t="str">
        <f>raw_data!A489</f>
        <v>2016Q3</v>
      </c>
      <c r="B489" t="str">
        <f>raw_data!B489</f>
        <v>New South Wales</v>
      </c>
      <c r="C489" t="str">
        <f>raw_data!C489</f>
        <v>Construction</v>
      </c>
      <c r="D489">
        <f>raw_data!D489</f>
        <v>6.76</v>
      </c>
      <c r="E489">
        <f>raw_data!E489</f>
        <v>26.92</v>
      </c>
      <c r="F489">
        <f>raw_data!F489</f>
        <v>3.62</v>
      </c>
      <c r="G489">
        <f>raw_data!G489</f>
        <v>11.87</v>
      </c>
      <c r="H489">
        <f>(raw_data!D489*weights!$B$2)+(raw_data!E489*weights!$B$3)+(raw_data!F489*weights!$B$4)</f>
        <v>11.866000000000001</v>
      </c>
      <c r="I489" t="str">
        <f t="shared" si="14"/>
        <v>Low</v>
      </c>
      <c r="J489" t="str">
        <f t="shared" si="15"/>
        <v>2016 Q3</v>
      </c>
      <c r="K489">
        <f>raw_data!H489</f>
        <v>2.71</v>
      </c>
      <c r="L489" s="13">
        <f>raw_data!I489</f>
        <v>8.08</v>
      </c>
      <c r="M489" s="13">
        <f>raw_data!J489</f>
        <v>1.0900000000000001</v>
      </c>
    </row>
    <row r="490" spans="1:13" x14ac:dyDescent="0.2">
      <c r="A490" t="str">
        <f>raw_data!A490</f>
        <v>2016Q3</v>
      </c>
      <c r="B490" t="str">
        <f>raw_data!B490</f>
        <v>New South Wales</v>
      </c>
      <c r="C490" t="str">
        <f>raw_data!C490</f>
        <v>Education and Training</v>
      </c>
      <c r="D490">
        <f>raw_data!D490</f>
        <v>3.92</v>
      </c>
      <c r="E490">
        <f>raw_data!E490</f>
        <v>38.46</v>
      </c>
      <c r="F490">
        <f>raw_data!F490</f>
        <v>8.58</v>
      </c>
      <c r="G490">
        <f>raw_data!G490</f>
        <v>15.68</v>
      </c>
      <c r="H490">
        <f>(raw_data!D490*weights!$B$2)+(raw_data!E490*weights!$B$3)+(raw_data!F490*weights!$B$4)</f>
        <v>15.68</v>
      </c>
      <c r="I490" t="str">
        <f t="shared" si="14"/>
        <v>Low</v>
      </c>
      <c r="J490" t="str">
        <f t="shared" si="15"/>
        <v>2016 Q3</v>
      </c>
      <c r="K490">
        <f>raw_data!H490</f>
        <v>1.57</v>
      </c>
      <c r="L490" s="13">
        <f>raw_data!I490</f>
        <v>11.54</v>
      </c>
      <c r="M490" s="13">
        <f>raw_data!J490</f>
        <v>2.58</v>
      </c>
    </row>
    <row r="491" spans="1:13" x14ac:dyDescent="0.2">
      <c r="A491" t="str">
        <f>raw_data!A491</f>
        <v>2016Q3</v>
      </c>
      <c r="B491" t="str">
        <f>raw_data!B491</f>
        <v>New South Wales</v>
      </c>
      <c r="C491" t="str">
        <f>raw_data!C491</f>
        <v>Health Care and Social Assistance</v>
      </c>
      <c r="D491">
        <f>raw_data!D491</f>
        <v>9.7100000000000009</v>
      </c>
      <c r="E491">
        <f>raw_data!E491</f>
        <v>40.380000000000003</v>
      </c>
      <c r="F491">
        <f>raw_data!F491</f>
        <v>11.5</v>
      </c>
      <c r="G491">
        <f>raw_data!G491</f>
        <v>19.45</v>
      </c>
      <c r="H491">
        <f>(raw_data!D491*weights!$B$2)+(raw_data!E491*weights!$B$3)+(raw_data!F491*weights!$B$4)</f>
        <v>19.448</v>
      </c>
      <c r="I491" t="str">
        <f t="shared" si="14"/>
        <v>Low</v>
      </c>
      <c r="J491" t="str">
        <f t="shared" si="15"/>
        <v>2016 Q3</v>
      </c>
      <c r="K491">
        <f>raw_data!H491</f>
        <v>3.89</v>
      </c>
      <c r="L491" s="13">
        <f>raw_data!I491</f>
        <v>12.12</v>
      </c>
      <c r="M491" s="13">
        <f>raw_data!J491</f>
        <v>3.45</v>
      </c>
    </row>
    <row r="492" spans="1:13" x14ac:dyDescent="0.2">
      <c r="A492" t="str">
        <f>raw_data!A492</f>
        <v>2016Q3</v>
      </c>
      <c r="B492" t="str">
        <f>raw_data!B492</f>
        <v>New South Wales</v>
      </c>
      <c r="C492" t="str">
        <f>raw_data!C492</f>
        <v>Manufacturing</v>
      </c>
      <c r="D492">
        <f>raw_data!D492</f>
        <v>6.64</v>
      </c>
      <c r="E492">
        <f>raw_data!E492</f>
        <v>32.69</v>
      </c>
      <c r="F492">
        <f>raw_data!F492</f>
        <v>3.12</v>
      </c>
      <c r="G492">
        <f>raw_data!G492</f>
        <v>13.4</v>
      </c>
      <c r="H492">
        <f>(raw_data!D492*weights!$B$2)+(raw_data!E492*weights!$B$3)+(raw_data!F492*weights!$B$4)</f>
        <v>13.398999999999999</v>
      </c>
      <c r="I492" t="str">
        <f t="shared" si="14"/>
        <v>Low</v>
      </c>
      <c r="J492" t="str">
        <f t="shared" si="15"/>
        <v>2016 Q3</v>
      </c>
      <c r="K492">
        <f>raw_data!H492</f>
        <v>2.66</v>
      </c>
      <c r="L492" s="13">
        <f>raw_data!I492</f>
        <v>9.81</v>
      </c>
      <c r="M492" s="13">
        <f>raw_data!J492</f>
        <v>0.94</v>
      </c>
    </row>
    <row r="493" spans="1:13" x14ac:dyDescent="0.2">
      <c r="A493" t="str">
        <f>raw_data!A493</f>
        <v>2016Q3</v>
      </c>
      <c r="B493" t="str">
        <f>raw_data!B493</f>
        <v>New South Wales</v>
      </c>
      <c r="C493" t="str">
        <f>raw_data!C493</f>
        <v>Professional, Scientific and Technical Services</v>
      </c>
      <c r="D493">
        <f>raw_data!D493</f>
        <v>14.11</v>
      </c>
      <c r="E493">
        <f>raw_data!E493</f>
        <v>25</v>
      </c>
      <c r="F493">
        <f>raw_data!F493</f>
        <v>9.61</v>
      </c>
      <c r="G493">
        <f>raw_data!G493</f>
        <v>16.03</v>
      </c>
      <c r="H493">
        <f>(raw_data!D493*weights!$B$2)+(raw_data!E493*weights!$B$3)+(raw_data!F493*weights!$B$4)</f>
        <v>16.027000000000001</v>
      </c>
      <c r="I493" t="str">
        <f t="shared" si="14"/>
        <v>Low</v>
      </c>
      <c r="J493" t="str">
        <f t="shared" si="15"/>
        <v>2016 Q3</v>
      </c>
      <c r="K493">
        <f>raw_data!H493</f>
        <v>5.64</v>
      </c>
      <c r="L493" s="13">
        <f>raw_data!I493</f>
        <v>7.5</v>
      </c>
      <c r="M493" s="13">
        <f>raw_data!J493</f>
        <v>2.88</v>
      </c>
    </row>
    <row r="494" spans="1:13" x14ac:dyDescent="0.2">
      <c r="A494" t="str">
        <f>raw_data!A494</f>
        <v>2016Q3</v>
      </c>
      <c r="B494" t="str">
        <f>raw_data!B494</f>
        <v>Queensland</v>
      </c>
      <c r="C494" t="str">
        <f>raw_data!C494</f>
        <v>Accommodation and Food Services</v>
      </c>
      <c r="D494">
        <f>raw_data!D494</f>
        <v>31.26</v>
      </c>
      <c r="E494">
        <f>raw_data!E494</f>
        <v>38.46</v>
      </c>
      <c r="F494">
        <f>raw_data!F494</f>
        <v>6.17</v>
      </c>
      <c r="G494">
        <f>raw_data!G494</f>
        <v>25.89</v>
      </c>
      <c r="H494">
        <f>(raw_data!D494*weights!$B$2)+(raw_data!E494*weights!$B$3)+(raw_data!F494*weights!$B$4)</f>
        <v>25.893000000000001</v>
      </c>
      <c r="I494" t="str">
        <f t="shared" si="14"/>
        <v>Moderate</v>
      </c>
      <c r="J494" t="str">
        <f t="shared" si="15"/>
        <v>2016 Q3</v>
      </c>
      <c r="K494">
        <f>raw_data!H494</f>
        <v>12.5</v>
      </c>
      <c r="L494" s="13">
        <f>raw_data!I494</f>
        <v>11.54</v>
      </c>
      <c r="M494" s="13">
        <f>raw_data!J494</f>
        <v>1.85</v>
      </c>
    </row>
    <row r="495" spans="1:13" x14ac:dyDescent="0.2">
      <c r="A495" t="str">
        <f>raw_data!A495</f>
        <v>2016Q3</v>
      </c>
      <c r="B495" t="str">
        <f>raw_data!B495</f>
        <v>Queensland</v>
      </c>
      <c r="C495" t="str">
        <f>raw_data!C495</f>
        <v>Construction</v>
      </c>
      <c r="D495">
        <f>raw_data!D495</f>
        <v>12</v>
      </c>
      <c r="E495">
        <f>raw_data!E495</f>
        <v>26.92</v>
      </c>
      <c r="F495">
        <f>raw_data!F495</f>
        <v>3.47</v>
      </c>
      <c r="G495">
        <f>raw_data!G495</f>
        <v>13.92</v>
      </c>
      <c r="H495">
        <f>(raw_data!D495*weights!$B$2)+(raw_data!E495*weights!$B$3)+(raw_data!F495*weights!$B$4)</f>
        <v>13.917000000000002</v>
      </c>
      <c r="I495" t="str">
        <f t="shared" si="14"/>
        <v>Low</v>
      </c>
      <c r="J495" t="str">
        <f t="shared" si="15"/>
        <v>2016 Q3</v>
      </c>
      <c r="K495">
        <f>raw_data!H495</f>
        <v>4.8</v>
      </c>
      <c r="L495" s="13">
        <f>raw_data!I495</f>
        <v>8.08</v>
      </c>
      <c r="M495" s="13">
        <f>raw_data!J495</f>
        <v>1.04</v>
      </c>
    </row>
    <row r="496" spans="1:13" x14ac:dyDescent="0.2">
      <c r="A496" t="str">
        <f>raw_data!A496</f>
        <v>2016Q3</v>
      </c>
      <c r="B496" t="str">
        <f>raw_data!B496</f>
        <v>Queensland</v>
      </c>
      <c r="C496" t="str">
        <f>raw_data!C496</f>
        <v>Education and Training</v>
      </c>
      <c r="D496">
        <f>raw_data!D496</f>
        <v>7.36</v>
      </c>
      <c r="E496">
        <f>raw_data!E496</f>
        <v>38.46</v>
      </c>
      <c r="F496">
        <f>raw_data!F496</f>
        <v>12.32</v>
      </c>
      <c r="G496">
        <f>raw_data!G496</f>
        <v>18.18</v>
      </c>
      <c r="H496">
        <f>(raw_data!D496*weights!$B$2)+(raw_data!E496*weights!$B$3)+(raw_data!F496*weights!$B$4)</f>
        <v>18.178000000000001</v>
      </c>
      <c r="I496" t="str">
        <f t="shared" si="14"/>
        <v>Low</v>
      </c>
      <c r="J496" t="str">
        <f t="shared" si="15"/>
        <v>2016 Q3</v>
      </c>
      <c r="K496">
        <f>raw_data!H496</f>
        <v>2.94</v>
      </c>
      <c r="L496" s="13">
        <f>raw_data!I496</f>
        <v>11.54</v>
      </c>
      <c r="M496" s="13">
        <f>raw_data!J496</f>
        <v>3.7</v>
      </c>
    </row>
    <row r="497" spans="1:13" x14ac:dyDescent="0.2">
      <c r="A497" t="str">
        <f>raw_data!A497</f>
        <v>2016Q3</v>
      </c>
      <c r="B497" t="str">
        <f>raw_data!B497</f>
        <v>Queensland</v>
      </c>
      <c r="C497" t="str">
        <f>raw_data!C497</f>
        <v>Health Care and Social Assistance</v>
      </c>
      <c r="D497">
        <f>raw_data!D497</f>
        <v>16.91</v>
      </c>
      <c r="E497">
        <f>raw_data!E497</f>
        <v>40.380000000000003</v>
      </c>
      <c r="F497">
        <f>raw_data!F497</f>
        <v>14.93</v>
      </c>
      <c r="G497">
        <f>raw_data!G497</f>
        <v>23.36</v>
      </c>
      <c r="H497">
        <f>(raw_data!D497*weights!$B$2)+(raw_data!E497*weights!$B$3)+(raw_data!F497*weights!$B$4)</f>
        <v>23.356999999999999</v>
      </c>
      <c r="I497" t="str">
        <f t="shared" si="14"/>
        <v>Low</v>
      </c>
      <c r="J497" t="str">
        <f t="shared" si="15"/>
        <v>2016 Q3</v>
      </c>
      <c r="K497">
        <f>raw_data!H497</f>
        <v>6.76</v>
      </c>
      <c r="L497" s="13">
        <f>raw_data!I497</f>
        <v>12.12</v>
      </c>
      <c r="M497" s="13">
        <f>raw_data!J497</f>
        <v>4.4800000000000004</v>
      </c>
    </row>
    <row r="498" spans="1:13" x14ac:dyDescent="0.2">
      <c r="A498" t="str">
        <f>raw_data!A498</f>
        <v>2016Q3</v>
      </c>
      <c r="B498" t="str">
        <f>raw_data!B498</f>
        <v>Queensland</v>
      </c>
      <c r="C498" t="str">
        <f>raw_data!C498</f>
        <v>Manufacturing</v>
      </c>
      <c r="D498">
        <f>raw_data!D498</f>
        <v>11.72</v>
      </c>
      <c r="E498">
        <f>raw_data!E498</f>
        <v>32.69</v>
      </c>
      <c r="F498">
        <f>raw_data!F498</f>
        <v>4.42</v>
      </c>
      <c r="G498">
        <f>raw_data!G498</f>
        <v>15.82</v>
      </c>
      <c r="H498">
        <f>(raw_data!D498*weights!$B$2)+(raw_data!E498*weights!$B$3)+(raw_data!F498*weights!$B$4)</f>
        <v>15.821</v>
      </c>
      <c r="I498" t="str">
        <f t="shared" si="14"/>
        <v>Low</v>
      </c>
      <c r="J498" t="str">
        <f t="shared" si="15"/>
        <v>2016 Q3</v>
      </c>
      <c r="K498">
        <f>raw_data!H498</f>
        <v>4.6900000000000004</v>
      </c>
      <c r="L498" s="13">
        <f>raw_data!I498</f>
        <v>9.81</v>
      </c>
      <c r="M498" s="13">
        <f>raw_data!J498</f>
        <v>1.33</v>
      </c>
    </row>
    <row r="499" spans="1:13" x14ac:dyDescent="0.2">
      <c r="A499" t="str">
        <f>raw_data!A499</f>
        <v>2016Q3</v>
      </c>
      <c r="B499" t="str">
        <f>raw_data!B499</f>
        <v>Queensland</v>
      </c>
      <c r="C499" t="str">
        <f>raw_data!C499</f>
        <v>Professional, Scientific and Technical Services</v>
      </c>
      <c r="D499">
        <f>raw_data!D499</f>
        <v>31.2</v>
      </c>
      <c r="E499">
        <f>raw_data!E499</f>
        <v>25</v>
      </c>
      <c r="F499">
        <f>raw_data!F499</f>
        <v>12.99</v>
      </c>
      <c r="G499">
        <f>raw_data!G499</f>
        <v>23.88</v>
      </c>
      <c r="H499">
        <f>(raw_data!D499*weights!$B$2)+(raw_data!E499*weights!$B$3)+(raw_data!F499*weights!$B$4)</f>
        <v>23.876999999999999</v>
      </c>
      <c r="I499" t="str">
        <f t="shared" si="14"/>
        <v>Low</v>
      </c>
      <c r="J499" t="str">
        <f t="shared" si="15"/>
        <v>2016 Q3</v>
      </c>
      <c r="K499">
        <f>raw_data!H499</f>
        <v>12.48</v>
      </c>
      <c r="L499" s="13">
        <f>raw_data!I499</f>
        <v>7.5</v>
      </c>
      <c r="M499" s="13">
        <f>raw_data!J499</f>
        <v>3.9</v>
      </c>
    </row>
    <row r="500" spans="1:13" x14ac:dyDescent="0.2">
      <c r="A500" t="str">
        <f>raw_data!A500</f>
        <v>2016Q3</v>
      </c>
      <c r="B500" t="str">
        <f>raw_data!B500</f>
        <v>Victoria</v>
      </c>
      <c r="C500" t="str">
        <f>raw_data!C500</f>
        <v>Accommodation and Food Services</v>
      </c>
      <c r="D500">
        <f>raw_data!D500</f>
        <v>23.45</v>
      </c>
      <c r="E500">
        <f>raw_data!E500</f>
        <v>38.46</v>
      </c>
      <c r="F500">
        <f>raw_data!F500</f>
        <v>5.89</v>
      </c>
      <c r="G500">
        <f>raw_data!G500</f>
        <v>22.69</v>
      </c>
      <c r="H500">
        <f>(raw_data!D500*weights!$B$2)+(raw_data!E500*weights!$B$3)+(raw_data!F500*weights!$B$4)</f>
        <v>22.684999999999999</v>
      </c>
      <c r="I500" t="str">
        <f t="shared" si="14"/>
        <v>Low</v>
      </c>
      <c r="J500" t="str">
        <f t="shared" si="15"/>
        <v>2016 Q3</v>
      </c>
      <c r="K500">
        <f>raw_data!H500</f>
        <v>9.3800000000000008</v>
      </c>
      <c r="L500" s="13">
        <f>raw_data!I500</f>
        <v>11.54</v>
      </c>
      <c r="M500" s="13">
        <f>raw_data!J500</f>
        <v>1.77</v>
      </c>
    </row>
    <row r="501" spans="1:13" x14ac:dyDescent="0.2">
      <c r="A501" t="str">
        <f>raw_data!A501</f>
        <v>2016Q3</v>
      </c>
      <c r="B501" t="str">
        <f>raw_data!B501</f>
        <v>Victoria</v>
      </c>
      <c r="C501" t="str">
        <f>raw_data!C501</f>
        <v>Construction</v>
      </c>
      <c r="D501">
        <f>raw_data!D501</f>
        <v>9.52</v>
      </c>
      <c r="E501">
        <f>raw_data!E501</f>
        <v>26.92</v>
      </c>
      <c r="F501">
        <f>raw_data!F501</f>
        <v>6.21</v>
      </c>
      <c r="G501">
        <f>raw_data!G501</f>
        <v>13.75</v>
      </c>
      <c r="H501">
        <f>(raw_data!D501*weights!$B$2)+(raw_data!E501*weights!$B$3)+(raw_data!F501*weights!$B$4)</f>
        <v>13.747</v>
      </c>
      <c r="I501" t="str">
        <f t="shared" si="14"/>
        <v>Low</v>
      </c>
      <c r="J501" t="str">
        <f t="shared" si="15"/>
        <v>2016 Q3</v>
      </c>
      <c r="K501">
        <f>raw_data!H501</f>
        <v>3.81</v>
      </c>
      <c r="L501" s="13">
        <f>raw_data!I501</f>
        <v>8.08</v>
      </c>
      <c r="M501" s="13">
        <f>raw_data!J501</f>
        <v>1.86</v>
      </c>
    </row>
    <row r="502" spans="1:13" x14ac:dyDescent="0.2">
      <c r="A502" t="str">
        <f>raw_data!A502</f>
        <v>2016Q3</v>
      </c>
      <c r="B502" t="str">
        <f>raw_data!B502</f>
        <v>Victoria</v>
      </c>
      <c r="C502" t="str">
        <f>raw_data!C502</f>
        <v>Education and Training</v>
      </c>
      <c r="D502">
        <f>raw_data!D502</f>
        <v>4.96</v>
      </c>
      <c r="E502">
        <f>raw_data!E502</f>
        <v>38.46</v>
      </c>
      <c r="F502">
        <f>raw_data!F502</f>
        <v>6.14</v>
      </c>
      <c r="G502">
        <f>raw_data!G502</f>
        <v>15.37</v>
      </c>
      <c r="H502">
        <f>(raw_data!D502*weights!$B$2)+(raw_data!E502*weights!$B$3)+(raw_data!F502*weights!$B$4)</f>
        <v>15.364000000000001</v>
      </c>
      <c r="I502" t="str">
        <f t="shared" si="14"/>
        <v>Low</v>
      </c>
      <c r="J502" t="str">
        <f t="shared" si="15"/>
        <v>2016 Q3</v>
      </c>
      <c r="K502">
        <f>raw_data!H502</f>
        <v>1.99</v>
      </c>
      <c r="L502" s="13">
        <f>raw_data!I502</f>
        <v>11.54</v>
      </c>
      <c r="M502" s="13">
        <f>raw_data!J502</f>
        <v>1.84</v>
      </c>
    </row>
    <row r="503" spans="1:13" x14ac:dyDescent="0.2">
      <c r="A503" t="str">
        <f>raw_data!A503</f>
        <v>2016Q3</v>
      </c>
      <c r="B503" t="str">
        <f>raw_data!B503</f>
        <v>Victoria</v>
      </c>
      <c r="C503" t="str">
        <f>raw_data!C503</f>
        <v>Health Care and Social Assistance</v>
      </c>
      <c r="D503">
        <f>raw_data!D503</f>
        <v>12.62</v>
      </c>
      <c r="E503">
        <f>raw_data!E503</f>
        <v>40.380000000000003</v>
      </c>
      <c r="F503">
        <f>raw_data!F503</f>
        <v>17.68</v>
      </c>
      <c r="G503">
        <f>raw_data!G503</f>
        <v>22.47</v>
      </c>
      <c r="H503">
        <f>(raw_data!D503*weights!$B$2)+(raw_data!E503*weights!$B$3)+(raw_data!F503*weights!$B$4)</f>
        <v>22.465999999999998</v>
      </c>
      <c r="I503" t="str">
        <f t="shared" si="14"/>
        <v>Low</v>
      </c>
      <c r="J503" t="str">
        <f t="shared" si="15"/>
        <v>2016 Q3</v>
      </c>
      <c r="K503">
        <f>raw_data!H503</f>
        <v>5.05</v>
      </c>
      <c r="L503" s="13">
        <f>raw_data!I503</f>
        <v>12.12</v>
      </c>
      <c r="M503" s="13">
        <f>raw_data!J503</f>
        <v>5.3</v>
      </c>
    </row>
    <row r="504" spans="1:13" x14ac:dyDescent="0.2">
      <c r="A504" t="str">
        <f>raw_data!A504</f>
        <v>2016Q3</v>
      </c>
      <c r="B504" t="str">
        <f>raw_data!B504</f>
        <v>Victoria</v>
      </c>
      <c r="C504" t="str">
        <f>raw_data!C504</f>
        <v>Manufacturing</v>
      </c>
      <c r="D504">
        <f>raw_data!D504</f>
        <v>5.73</v>
      </c>
      <c r="E504">
        <f>raw_data!E504</f>
        <v>32.69</v>
      </c>
      <c r="F504">
        <f>raw_data!F504</f>
        <v>2.59</v>
      </c>
      <c r="G504">
        <f>raw_data!G504</f>
        <v>12.88</v>
      </c>
      <c r="H504">
        <f>(raw_data!D504*weights!$B$2)+(raw_data!E504*weights!$B$3)+(raw_data!F504*weights!$B$4)</f>
        <v>12.875999999999998</v>
      </c>
      <c r="I504" t="str">
        <f t="shared" si="14"/>
        <v>Low</v>
      </c>
      <c r="J504" t="str">
        <f t="shared" si="15"/>
        <v>2016 Q3</v>
      </c>
      <c r="K504">
        <f>raw_data!H504</f>
        <v>2.29</v>
      </c>
      <c r="L504" s="13">
        <f>raw_data!I504</f>
        <v>9.81</v>
      </c>
      <c r="M504" s="13">
        <f>raw_data!J504</f>
        <v>0.78</v>
      </c>
    </row>
    <row r="505" spans="1:13" x14ac:dyDescent="0.2">
      <c r="A505" t="str">
        <f>raw_data!A505</f>
        <v>2016Q3</v>
      </c>
      <c r="B505" t="str">
        <f>raw_data!B505</f>
        <v>Victoria</v>
      </c>
      <c r="C505" t="str">
        <f>raw_data!C505</f>
        <v>Professional, Scientific and Technical Services</v>
      </c>
      <c r="D505">
        <f>raw_data!D505</f>
        <v>19.55</v>
      </c>
      <c r="E505">
        <f>raw_data!E505</f>
        <v>25</v>
      </c>
      <c r="F505">
        <f>raw_data!F505</f>
        <v>16.62</v>
      </c>
      <c r="G505">
        <f>raw_data!G505</f>
        <v>20.309999999999999</v>
      </c>
      <c r="H505">
        <f>(raw_data!D505*weights!$B$2)+(raw_data!E505*weights!$B$3)+(raw_data!F505*weights!$B$4)</f>
        <v>20.306000000000001</v>
      </c>
      <c r="I505" t="str">
        <f t="shared" si="14"/>
        <v>Low</v>
      </c>
      <c r="J505" t="str">
        <f t="shared" si="15"/>
        <v>2016 Q3</v>
      </c>
      <c r="K505">
        <f>raw_data!H505</f>
        <v>7.82</v>
      </c>
      <c r="L505" s="13">
        <f>raw_data!I505</f>
        <v>7.5</v>
      </c>
      <c r="M505" s="13">
        <f>raw_data!J505</f>
        <v>4.99</v>
      </c>
    </row>
    <row r="506" spans="1:13" x14ac:dyDescent="0.2">
      <c r="A506" t="str">
        <f>raw_data!A506</f>
        <v>2016Q4</v>
      </c>
      <c r="B506" t="str">
        <f>raw_data!B506</f>
        <v>New South Wales</v>
      </c>
      <c r="C506" t="str">
        <f>raw_data!C506</f>
        <v>Accommodation and Food Services</v>
      </c>
      <c r="D506">
        <f>raw_data!D506</f>
        <v>19.79</v>
      </c>
      <c r="E506">
        <f>raw_data!E506</f>
        <v>36.54</v>
      </c>
      <c r="F506">
        <f>raw_data!F506</f>
        <v>4.8899999999999997</v>
      </c>
      <c r="G506">
        <f>raw_data!G506</f>
        <v>20.34</v>
      </c>
      <c r="H506">
        <f>(raw_data!D506*weights!$B$2)+(raw_data!E506*weights!$B$3)+(raw_data!F506*weights!$B$4)</f>
        <v>20.344999999999999</v>
      </c>
      <c r="I506" t="str">
        <f t="shared" si="14"/>
        <v>Low</v>
      </c>
      <c r="J506" t="str">
        <f t="shared" si="15"/>
        <v>2016 Q4</v>
      </c>
      <c r="K506">
        <f>raw_data!H506</f>
        <v>7.92</v>
      </c>
      <c r="L506" s="13">
        <f>raw_data!I506</f>
        <v>10.96</v>
      </c>
      <c r="M506" s="13">
        <f>raw_data!J506</f>
        <v>1.47</v>
      </c>
    </row>
    <row r="507" spans="1:13" x14ac:dyDescent="0.2">
      <c r="A507" t="str">
        <f>raw_data!A507</f>
        <v>2016Q4</v>
      </c>
      <c r="B507" t="str">
        <f>raw_data!B507</f>
        <v>New South Wales</v>
      </c>
      <c r="C507" t="str">
        <f>raw_data!C507</f>
        <v>Construction</v>
      </c>
      <c r="D507">
        <f>raw_data!D507</f>
        <v>7.27</v>
      </c>
      <c r="E507">
        <f>raw_data!E507</f>
        <v>26.92</v>
      </c>
      <c r="F507">
        <f>raw_data!F507</f>
        <v>6.12</v>
      </c>
      <c r="G507">
        <f>raw_data!G507</f>
        <v>12.82</v>
      </c>
      <c r="H507">
        <f>(raw_data!D507*weights!$B$2)+(raw_data!E507*weights!$B$3)+(raw_data!F507*weights!$B$4)</f>
        <v>12.82</v>
      </c>
      <c r="I507" t="str">
        <f t="shared" si="14"/>
        <v>Low</v>
      </c>
      <c r="J507" t="str">
        <f t="shared" si="15"/>
        <v>2016 Q4</v>
      </c>
      <c r="K507">
        <f>raw_data!H507</f>
        <v>2.91</v>
      </c>
      <c r="L507" s="13">
        <f>raw_data!I507</f>
        <v>8.08</v>
      </c>
      <c r="M507" s="13">
        <f>raw_data!J507</f>
        <v>1.84</v>
      </c>
    </row>
    <row r="508" spans="1:13" x14ac:dyDescent="0.2">
      <c r="A508" t="str">
        <f>raw_data!A508</f>
        <v>2016Q4</v>
      </c>
      <c r="B508" t="str">
        <f>raw_data!B508</f>
        <v>New South Wales</v>
      </c>
      <c r="C508" t="str">
        <f>raw_data!C508</f>
        <v>Education and Training</v>
      </c>
      <c r="D508">
        <f>raw_data!D508</f>
        <v>3.22</v>
      </c>
      <c r="E508">
        <f>raw_data!E508</f>
        <v>40.380000000000003</v>
      </c>
      <c r="F508">
        <f>raw_data!F508</f>
        <v>4.99</v>
      </c>
      <c r="G508">
        <f>raw_data!G508</f>
        <v>14.9</v>
      </c>
      <c r="H508">
        <f>(raw_data!D508*weights!$B$2)+(raw_data!E508*weights!$B$3)+(raw_data!F508*weights!$B$4)</f>
        <v>14.899000000000001</v>
      </c>
      <c r="I508" t="str">
        <f t="shared" si="14"/>
        <v>Low</v>
      </c>
      <c r="J508" t="str">
        <f t="shared" si="15"/>
        <v>2016 Q4</v>
      </c>
      <c r="K508">
        <f>raw_data!H508</f>
        <v>1.29</v>
      </c>
      <c r="L508" s="13">
        <f>raw_data!I508</f>
        <v>12.12</v>
      </c>
      <c r="M508" s="13">
        <f>raw_data!J508</f>
        <v>1.5</v>
      </c>
    </row>
    <row r="509" spans="1:13" x14ac:dyDescent="0.2">
      <c r="A509" t="str">
        <f>raw_data!A509</f>
        <v>2016Q4</v>
      </c>
      <c r="B509" t="str">
        <f>raw_data!B509</f>
        <v>New South Wales</v>
      </c>
      <c r="C509" t="str">
        <f>raw_data!C509</f>
        <v>Health Care and Social Assistance</v>
      </c>
      <c r="D509">
        <f>raw_data!D509</f>
        <v>9.16</v>
      </c>
      <c r="E509">
        <f>raw_data!E509</f>
        <v>40.380000000000003</v>
      </c>
      <c r="F509">
        <f>raw_data!F509</f>
        <v>16.670000000000002</v>
      </c>
      <c r="G509">
        <f>raw_data!G509</f>
        <v>20.78</v>
      </c>
      <c r="H509">
        <f>(raw_data!D509*weights!$B$2)+(raw_data!E509*weights!$B$3)+(raw_data!F509*weights!$B$4)</f>
        <v>20.779</v>
      </c>
      <c r="I509" t="str">
        <f t="shared" si="14"/>
        <v>Low</v>
      </c>
      <c r="J509" t="str">
        <f t="shared" si="15"/>
        <v>2016 Q4</v>
      </c>
      <c r="K509">
        <f>raw_data!H509</f>
        <v>3.66</v>
      </c>
      <c r="L509" s="13">
        <f>raw_data!I509</f>
        <v>12.12</v>
      </c>
      <c r="M509" s="13">
        <f>raw_data!J509</f>
        <v>5</v>
      </c>
    </row>
    <row r="510" spans="1:13" x14ac:dyDescent="0.2">
      <c r="A510" t="str">
        <f>raw_data!A510</f>
        <v>2016Q4</v>
      </c>
      <c r="B510" t="str">
        <f>raw_data!B510</f>
        <v>New South Wales</v>
      </c>
      <c r="C510" t="str">
        <f>raw_data!C510</f>
        <v>Manufacturing</v>
      </c>
      <c r="D510">
        <f>raw_data!D510</f>
        <v>6.46</v>
      </c>
      <c r="E510">
        <f>raw_data!E510</f>
        <v>28.85</v>
      </c>
      <c r="F510">
        <f>raw_data!F510</f>
        <v>4.62</v>
      </c>
      <c r="G510">
        <f>raw_data!G510</f>
        <v>12.62</v>
      </c>
      <c r="H510">
        <f>(raw_data!D510*weights!$B$2)+(raw_data!E510*weights!$B$3)+(raw_data!F510*weights!$B$4)</f>
        <v>12.624999999999998</v>
      </c>
      <c r="I510" t="str">
        <f t="shared" si="14"/>
        <v>Low</v>
      </c>
      <c r="J510" t="str">
        <f t="shared" si="15"/>
        <v>2016 Q4</v>
      </c>
      <c r="K510">
        <f>raw_data!H510</f>
        <v>2.59</v>
      </c>
      <c r="L510" s="13">
        <f>raw_data!I510</f>
        <v>8.65</v>
      </c>
      <c r="M510" s="13">
        <f>raw_data!J510</f>
        <v>1.39</v>
      </c>
    </row>
    <row r="511" spans="1:13" x14ac:dyDescent="0.2">
      <c r="A511" t="str">
        <f>raw_data!A511</f>
        <v>2016Q4</v>
      </c>
      <c r="B511" t="str">
        <f>raw_data!B511</f>
        <v>New South Wales</v>
      </c>
      <c r="C511" t="str">
        <f>raw_data!C511</f>
        <v>Professional, Scientific and Technical Services</v>
      </c>
      <c r="D511">
        <f>raw_data!D511</f>
        <v>13.45</v>
      </c>
      <c r="E511">
        <f>raw_data!E511</f>
        <v>19.23</v>
      </c>
      <c r="F511">
        <f>raw_data!F511</f>
        <v>8.31</v>
      </c>
      <c r="G511">
        <f>raw_data!G511</f>
        <v>13.64</v>
      </c>
      <c r="H511">
        <f>(raw_data!D511*weights!$B$2)+(raw_data!E511*weights!$B$3)+(raw_data!F511*weights!$B$4)</f>
        <v>13.642000000000001</v>
      </c>
      <c r="I511" t="str">
        <f t="shared" si="14"/>
        <v>Low</v>
      </c>
      <c r="J511" t="str">
        <f t="shared" si="15"/>
        <v>2016 Q4</v>
      </c>
      <c r="K511">
        <f>raw_data!H511</f>
        <v>5.38</v>
      </c>
      <c r="L511" s="13">
        <f>raw_data!I511</f>
        <v>5.77</v>
      </c>
      <c r="M511" s="13">
        <f>raw_data!J511</f>
        <v>2.4900000000000002</v>
      </c>
    </row>
    <row r="512" spans="1:13" x14ac:dyDescent="0.2">
      <c r="A512" t="str">
        <f>raw_data!A512</f>
        <v>2016Q4</v>
      </c>
      <c r="B512" t="str">
        <f>raw_data!B512</f>
        <v>Queensland</v>
      </c>
      <c r="C512" t="str">
        <f>raw_data!C512</f>
        <v>Accommodation and Food Services</v>
      </c>
      <c r="D512">
        <f>raw_data!D512</f>
        <v>29.05</v>
      </c>
      <c r="E512">
        <f>raw_data!E512</f>
        <v>36.54</v>
      </c>
      <c r="F512">
        <f>raw_data!F512</f>
        <v>6.15</v>
      </c>
      <c r="G512">
        <f>raw_data!G512</f>
        <v>24.43</v>
      </c>
      <c r="H512">
        <f>(raw_data!D512*weights!$B$2)+(raw_data!E512*weights!$B$3)+(raw_data!F512*weights!$B$4)</f>
        <v>24.427</v>
      </c>
      <c r="I512" t="str">
        <f t="shared" si="14"/>
        <v>Low</v>
      </c>
      <c r="J512" t="str">
        <f t="shared" si="15"/>
        <v>2016 Q4</v>
      </c>
      <c r="K512">
        <f>raw_data!H512</f>
        <v>11.62</v>
      </c>
      <c r="L512" s="13">
        <f>raw_data!I512</f>
        <v>10.96</v>
      </c>
      <c r="M512" s="13">
        <f>raw_data!J512</f>
        <v>1.85</v>
      </c>
    </row>
    <row r="513" spans="1:13" x14ac:dyDescent="0.2">
      <c r="A513" t="str">
        <f>raw_data!A513</f>
        <v>2016Q4</v>
      </c>
      <c r="B513" t="str">
        <f>raw_data!B513</f>
        <v>Queensland</v>
      </c>
      <c r="C513" t="str">
        <f>raw_data!C513</f>
        <v>Construction</v>
      </c>
      <c r="D513">
        <f>raw_data!D513</f>
        <v>11.95</v>
      </c>
      <c r="E513">
        <f>raw_data!E513</f>
        <v>26.92</v>
      </c>
      <c r="F513">
        <f>raw_data!F513</f>
        <v>5.09</v>
      </c>
      <c r="G513">
        <f>raw_data!G513</f>
        <v>14.39</v>
      </c>
      <c r="H513">
        <f>(raw_data!D513*weights!$B$2)+(raw_data!E513*weights!$B$3)+(raw_data!F513*weights!$B$4)</f>
        <v>14.383000000000001</v>
      </c>
      <c r="I513" t="str">
        <f t="shared" si="14"/>
        <v>Low</v>
      </c>
      <c r="J513" t="str">
        <f t="shared" si="15"/>
        <v>2016 Q4</v>
      </c>
      <c r="K513">
        <f>raw_data!H513</f>
        <v>4.78</v>
      </c>
      <c r="L513" s="13">
        <f>raw_data!I513</f>
        <v>8.08</v>
      </c>
      <c r="M513" s="13">
        <f>raw_data!J513</f>
        <v>1.53</v>
      </c>
    </row>
    <row r="514" spans="1:13" x14ac:dyDescent="0.2">
      <c r="A514" t="str">
        <f>raw_data!A514</f>
        <v>2016Q4</v>
      </c>
      <c r="B514" t="str">
        <f>raw_data!B514</f>
        <v>Queensland</v>
      </c>
      <c r="C514" t="str">
        <f>raw_data!C514</f>
        <v>Education and Training</v>
      </c>
      <c r="D514">
        <f>raw_data!D514</f>
        <v>6.82</v>
      </c>
      <c r="E514">
        <f>raw_data!E514</f>
        <v>40.380000000000003</v>
      </c>
      <c r="F514">
        <f>raw_data!F514</f>
        <v>8.16</v>
      </c>
      <c r="G514">
        <f>raw_data!G514</f>
        <v>17.29</v>
      </c>
      <c r="H514">
        <f>(raw_data!D514*weights!$B$2)+(raw_data!E514*weights!$B$3)+(raw_data!F514*weights!$B$4)</f>
        <v>17.29</v>
      </c>
      <c r="I514" t="str">
        <f t="shared" si="14"/>
        <v>Low</v>
      </c>
      <c r="J514" t="str">
        <f t="shared" si="15"/>
        <v>2016 Q4</v>
      </c>
      <c r="K514">
        <f>raw_data!H514</f>
        <v>2.73</v>
      </c>
      <c r="L514" s="13">
        <f>raw_data!I514</f>
        <v>12.12</v>
      </c>
      <c r="M514" s="13">
        <f>raw_data!J514</f>
        <v>2.4500000000000002</v>
      </c>
    </row>
    <row r="515" spans="1:13" x14ac:dyDescent="0.2">
      <c r="A515" t="str">
        <f>raw_data!A515</f>
        <v>2016Q4</v>
      </c>
      <c r="B515" t="str">
        <f>raw_data!B515</f>
        <v>Queensland</v>
      </c>
      <c r="C515" t="str">
        <f>raw_data!C515</f>
        <v>Health Care and Social Assistance</v>
      </c>
      <c r="D515">
        <f>raw_data!D515</f>
        <v>15.6</v>
      </c>
      <c r="E515">
        <f>raw_data!E515</f>
        <v>40.380000000000003</v>
      </c>
      <c r="F515">
        <f>raw_data!F515</f>
        <v>10.8</v>
      </c>
      <c r="G515">
        <f>raw_data!G515</f>
        <v>21.59</v>
      </c>
      <c r="H515">
        <f>(raw_data!D515*weights!$B$2)+(raw_data!E515*weights!$B$3)+(raw_data!F515*weights!$B$4)</f>
        <v>21.594000000000001</v>
      </c>
      <c r="I515" t="str">
        <f t="shared" ref="I515:I578" si="16">IF(H515&gt;=60,"Critical",IF(H515&gt;=45,"High",IF(H515&gt;=25,"Moderate","Low")))</f>
        <v>Low</v>
      </c>
      <c r="J515" t="str">
        <f t="shared" ref="J515:J578" si="17">LEFT(A515,4)&amp;" "&amp;RIGHT(A515,2)</f>
        <v>2016 Q4</v>
      </c>
      <c r="K515">
        <f>raw_data!H515</f>
        <v>6.24</v>
      </c>
      <c r="L515" s="13">
        <f>raw_data!I515</f>
        <v>12.12</v>
      </c>
      <c r="M515" s="13">
        <f>raw_data!J515</f>
        <v>3.24</v>
      </c>
    </row>
    <row r="516" spans="1:13" x14ac:dyDescent="0.2">
      <c r="A516" t="str">
        <f>raw_data!A516</f>
        <v>2016Q4</v>
      </c>
      <c r="B516" t="str">
        <f>raw_data!B516</f>
        <v>Queensland</v>
      </c>
      <c r="C516" t="str">
        <f>raw_data!C516</f>
        <v>Manufacturing</v>
      </c>
      <c r="D516">
        <f>raw_data!D516</f>
        <v>12.12</v>
      </c>
      <c r="E516">
        <f>raw_data!E516</f>
        <v>28.85</v>
      </c>
      <c r="F516">
        <f>raw_data!F516</f>
        <v>10.33</v>
      </c>
      <c r="G516">
        <f>raw_data!G516</f>
        <v>16.600000000000001</v>
      </c>
      <c r="H516">
        <f>(raw_data!D516*weights!$B$2)+(raw_data!E516*weights!$B$3)+(raw_data!F516*weights!$B$4)</f>
        <v>16.602</v>
      </c>
      <c r="I516" t="str">
        <f t="shared" si="16"/>
        <v>Low</v>
      </c>
      <c r="J516" t="str">
        <f t="shared" si="17"/>
        <v>2016 Q4</v>
      </c>
      <c r="K516">
        <f>raw_data!H516</f>
        <v>4.8499999999999996</v>
      </c>
      <c r="L516" s="13">
        <f>raw_data!I516</f>
        <v>8.65</v>
      </c>
      <c r="M516" s="13">
        <f>raw_data!J516</f>
        <v>3.1</v>
      </c>
    </row>
    <row r="517" spans="1:13" x14ac:dyDescent="0.2">
      <c r="A517" t="str">
        <f>raw_data!A517</f>
        <v>2016Q4</v>
      </c>
      <c r="B517" t="str">
        <f>raw_data!B517</f>
        <v>Queensland</v>
      </c>
      <c r="C517" t="str">
        <f>raw_data!C517</f>
        <v>Professional, Scientific and Technical Services</v>
      </c>
      <c r="D517">
        <f>raw_data!D517</f>
        <v>31.08</v>
      </c>
      <c r="E517">
        <f>raw_data!E517</f>
        <v>19.23</v>
      </c>
      <c r="F517">
        <f>raw_data!F517</f>
        <v>23.76</v>
      </c>
      <c r="G517">
        <f>raw_data!G517</f>
        <v>25.33</v>
      </c>
      <c r="H517">
        <f>(raw_data!D517*weights!$B$2)+(raw_data!E517*weights!$B$3)+(raw_data!F517*weights!$B$4)</f>
        <v>25.329000000000001</v>
      </c>
      <c r="I517" t="str">
        <f t="shared" si="16"/>
        <v>Moderate</v>
      </c>
      <c r="J517" t="str">
        <f t="shared" si="17"/>
        <v>2016 Q4</v>
      </c>
      <c r="K517">
        <f>raw_data!H517</f>
        <v>12.43</v>
      </c>
      <c r="L517" s="13">
        <f>raw_data!I517</f>
        <v>5.77</v>
      </c>
      <c r="M517" s="13">
        <f>raw_data!J517</f>
        <v>7.13</v>
      </c>
    </row>
    <row r="518" spans="1:13" x14ac:dyDescent="0.2">
      <c r="A518" t="str">
        <f>raw_data!A518</f>
        <v>2016Q4</v>
      </c>
      <c r="B518" t="str">
        <f>raw_data!B518</f>
        <v>Victoria</v>
      </c>
      <c r="C518" t="str">
        <f>raw_data!C518</f>
        <v>Accommodation and Food Services</v>
      </c>
      <c r="D518">
        <f>raw_data!D518</f>
        <v>21.21</v>
      </c>
      <c r="E518">
        <f>raw_data!E518</f>
        <v>36.54</v>
      </c>
      <c r="F518">
        <f>raw_data!F518</f>
        <v>4.17</v>
      </c>
      <c r="G518">
        <f>raw_data!G518</f>
        <v>20.69</v>
      </c>
      <c r="H518">
        <f>(raw_data!D518*weights!$B$2)+(raw_data!E518*weights!$B$3)+(raw_data!F518*weights!$B$4)</f>
        <v>20.696999999999999</v>
      </c>
      <c r="I518" t="str">
        <f t="shared" si="16"/>
        <v>Low</v>
      </c>
      <c r="J518" t="str">
        <f t="shared" si="17"/>
        <v>2016 Q4</v>
      </c>
      <c r="K518">
        <f>raw_data!H518</f>
        <v>8.48</v>
      </c>
      <c r="L518" s="13">
        <f>raw_data!I518</f>
        <v>10.96</v>
      </c>
      <c r="M518" s="13">
        <f>raw_data!J518</f>
        <v>1.25</v>
      </c>
    </row>
    <row r="519" spans="1:13" x14ac:dyDescent="0.2">
      <c r="A519" t="str">
        <f>raw_data!A519</f>
        <v>2016Q4</v>
      </c>
      <c r="B519" t="str">
        <f>raw_data!B519</f>
        <v>Victoria</v>
      </c>
      <c r="C519" t="str">
        <f>raw_data!C519</f>
        <v>Construction</v>
      </c>
      <c r="D519">
        <f>raw_data!D519</f>
        <v>10.31</v>
      </c>
      <c r="E519">
        <f>raw_data!E519</f>
        <v>26.92</v>
      </c>
      <c r="F519">
        <f>raw_data!F519</f>
        <v>5.0599999999999996</v>
      </c>
      <c r="G519">
        <f>raw_data!G519</f>
        <v>13.72</v>
      </c>
      <c r="H519">
        <f>(raw_data!D519*weights!$B$2)+(raw_data!E519*weights!$B$3)+(raw_data!F519*weights!$B$4)</f>
        <v>13.718</v>
      </c>
      <c r="I519" t="str">
        <f t="shared" si="16"/>
        <v>Low</v>
      </c>
      <c r="J519" t="str">
        <f t="shared" si="17"/>
        <v>2016 Q4</v>
      </c>
      <c r="K519">
        <f>raw_data!H519</f>
        <v>4.12</v>
      </c>
      <c r="L519" s="13">
        <f>raw_data!I519</f>
        <v>8.08</v>
      </c>
      <c r="M519" s="13">
        <f>raw_data!J519</f>
        <v>1.52</v>
      </c>
    </row>
    <row r="520" spans="1:13" x14ac:dyDescent="0.2">
      <c r="A520" t="str">
        <f>raw_data!A520</f>
        <v>2016Q4</v>
      </c>
      <c r="B520" t="str">
        <f>raw_data!B520</f>
        <v>Victoria</v>
      </c>
      <c r="C520" t="str">
        <f>raw_data!C520</f>
        <v>Education and Training</v>
      </c>
      <c r="D520">
        <f>raw_data!D520</f>
        <v>4.2</v>
      </c>
      <c r="E520">
        <f>raw_data!E520</f>
        <v>40.380000000000003</v>
      </c>
      <c r="F520">
        <f>raw_data!F520</f>
        <v>3.65</v>
      </c>
      <c r="G520">
        <f>raw_data!G520</f>
        <v>14.89</v>
      </c>
      <c r="H520">
        <f>(raw_data!D520*weights!$B$2)+(raw_data!E520*weights!$B$3)+(raw_data!F520*weights!$B$4)</f>
        <v>14.889000000000001</v>
      </c>
      <c r="I520" t="str">
        <f t="shared" si="16"/>
        <v>Low</v>
      </c>
      <c r="J520" t="str">
        <f t="shared" si="17"/>
        <v>2016 Q4</v>
      </c>
      <c r="K520">
        <f>raw_data!H520</f>
        <v>1.68</v>
      </c>
      <c r="L520" s="13">
        <f>raw_data!I520</f>
        <v>12.12</v>
      </c>
      <c r="M520" s="13">
        <f>raw_data!J520</f>
        <v>1.1000000000000001</v>
      </c>
    </row>
    <row r="521" spans="1:13" x14ac:dyDescent="0.2">
      <c r="A521" t="str">
        <f>raw_data!A521</f>
        <v>2016Q4</v>
      </c>
      <c r="B521" t="str">
        <f>raw_data!B521</f>
        <v>Victoria</v>
      </c>
      <c r="C521" t="str">
        <f>raw_data!C521</f>
        <v>Health Care and Social Assistance</v>
      </c>
      <c r="D521">
        <f>raw_data!D521</f>
        <v>11.54</v>
      </c>
      <c r="E521">
        <f>raw_data!E521</f>
        <v>40.380000000000003</v>
      </c>
      <c r="F521">
        <f>raw_data!F521</f>
        <v>11.63</v>
      </c>
      <c r="G521">
        <f>raw_data!G521</f>
        <v>20.22</v>
      </c>
      <c r="H521">
        <f>(raw_data!D521*weights!$B$2)+(raw_data!E521*weights!$B$3)+(raw_data!F521*weights!$B$4)</f>
        <v>20.219000000000001</v>
      </c>
      <c r="I521" t="str">
        <f t="shared" si="16"/>
        <v>Low</v>
      </c>
      <c r="J521" t="str">
        <f t="shared" si="17"/>
        <v>2016 Q4</v>
      </c>
      <c r="K521">
        <f>raw_data!H521</f>
        <v>4.62</v>
      </c>
      <c r="L521" s="13">
        <f>raw_data!I521</f>
        <v>12.12</v>
      </c>
      <c r="M521" s="13">
        <f>raw_data!J521</f>
        <v>3.49</v>
      </c>
    </row>
    <row r="522" spans="1:13" x14ac:dyDescent="0.2">
      <c r="A522" t="str">
        <f>raw_data!A522</f>
        <v>2016Q4</v>
      </c>
      <c r="B522" t="str">
        <f>raw_data!B522</f>
        <v>Victoria</v>
      </c>
      <c r="C522" t="str">
        <f>raw_data!C522</f>
        <v>Manufacturing</v>
      </c>
      <c r="D522">
        <f>raw_data!D522</f>
        <v>5.84</v>
      </c>
      <c r="E522">
        <f>raw_data!E522</f>
        <v>28.85</v>
      </c>
      <c r="F522">
        <f>raw_data!F522</f>
        <v>2.42</v>
      </c>
      <c r="G522">
        <f>raw_data!G522</f>
        <v>11.72</v>
      </c>
      <c r="H522">
        <f>(raw_data!D522*weights!$B$2)+(raw_data!E522*weights!$B$3)+(raw_data!F522*weights!$B$4)</f>
        <v>11.716999999999999</v>
      </c>
      <c r="I522" t="str">
        <f t="shared" si="16"/>
        <v>Low</v>
      </c>
      <c r="J522" t="str">
        <f t="shared" si="17"/>
        <v>2016 Q4</v>
      </c>
      <c r="K522">
        <f>raw_data!H522</f>
        <v>2.34</v>
      </c>
      <c r="L522" s="13">
        <f>raw_data!I522</f>
        <v>8.65</v>
      </c>
      <c r="M522" s="13">
        <f>raw_data!J522</f>
        <v>0.73</v>
      </c>
    </row>
    <row r="523" spans="1:13" x14ac:dyDescent="0.2">
      <c r="A523" t="str">
        <f>raw_data!A523</f>
        <v>2016Q4</v>
      </c>
      <c r="B523" t="str">
        <f>raw_data!B523</f>
        <v>Victoria</v>
      </c>
      <c r="C523" t="str">
        <f>raw_data!C523</f>
        <v>Professional, Scientific and Technical Services</v>
      </c>
      <c r="D523">
        <f>raw_data!D523</f>
        <v>19.97</v>
      </c>
      <c r="E523">
        <f>raw_data!E523</f>
        <v>19.23</v>
      </c>
      <c r="F523">
        <f>raw_data!F523</f>
        <v>13.3</v>
      </c>
      <c r="G523">
        <f>raw_data!G523</f>
        <v>17.75</v>
      </c>
      <c r="H523">
        <f>(raw_data!D523*weights!$B$2)+(raw_data!E523*weights!$B$3)+(raw_data!F523*weights!$B$4)</f>
        <v>17.747</v>
      </c>
      <c r="I523" t="str">
        <f t="shared" si="16"/>
        <v>Low</v>
      </c>
      <c r="J523" t="str">
        <f t="shared" si="17"/>
        <v>2016 Q4</v>
      </c>
      <c r="K523">
        <f>raw_data!H523</f>
        <v>7.99</v>
      </c>
      <c r="L523" s="13">
        <f>raw_data!I523</f>
        <v>5.77</v>
      </c>
      <c r="M523" s="13">
        <f>raw_data!J523</f>
        <v>3.99</v>
      </c>
    </row>
    <row r="524" spans="1:13" x14ac:dyDescent="0.2">
      <c r="A524" t="str">
        <f>raw_data!A524</f>
        <v>2017Q1</v>
      </c>
      <c r="B524" t="str">
        <f>raw_data!B524</f>
        <v>New South Wales</v>
      </c>
      <c r="C524" t="str">
        <f>raw_data!C524</f>
        <v>Accommodation and Food Services</v>
      </c>
      <c r="D524">
        <f>raw_data!D524</f>
        <v>21.53</v>
      </c>
      <c r="E524">
        <f>raw_data!E524</f>
        <v>36.54</v>
      </c>
      <c r="F524">
        <f>raw_data!F524</f>
        <v>3.88</v>
      </c>
      <c r="G524">
        <f>raw_data!G524</f>
        <v>20.74</v>
      </c>
      <c r="H524">
        <f>(raw_data!D524*weights!$B$2)+(raw_data!E524*weights!$B$3)+(raw_data!F524*weights!$B$4)</f>
        <v>20.738</v>
      </c>
      <c r="I524" t="str">
        <f t="shared" si="16"/>
        <v>Low</v>
      </c>
      <c r="J524" t="str">
        <f t="shared" si="17"/>
        <v>2017 Q1</v>
      </c>
      <c r="K524">
        <f>raw_data!H524</f>
        <v>8.61</v>
      </c>
      <c r="L524" s="13">
        <f>raw_data!I524</f>
        <v>10.96</v>
      </c>
      <c r="M524" s="13">
        <f>raw_data!J524</f>
        <v>1.1599999999999999</v>
      </c>
    </row>
    <row r="525" spans="1:13" x14ac:dyDescent="0.2">
      <c r="A525" t="str">
        <f>raw_data!A525</f>
        <v>2017Q1</v>
      </c>
      <c r="B525" t="str">
        <f>raw_data!B525</f>
        <v>New South Wales</v>
      </c>
      <c r="C525" t="str">
        <f>raw_data!C525</f>
        <v>Construction</v>
      </c>
      <c r="D525">
        <f>raw_data!D525</f>
        <v>7.65</v>
      </c>
      <c r="E525">
        <f>raw_data!E525</f>
        <v>28.85</v>
      </c>
      <c r="F525">
        <f>raw_data!F525</f>
        <v>5.0199999999999996</v>
      </c>
      <c r="G525">
        <f>raw_data!G525</f>
        <v>13.22</v>
      </c>
      <c r="H525">
        <f>(raw_data!D525*weights!$B$2)+(raw_data!E525*weights!$B$3)+(raw_data!F525*weights!$B$4)</f>
        <v>13.221</v>
      </c>
      <c r="I525" t="str">
        <f t="shared" si="16"/>
        <v>Low</v>
      </c>
      <c r="J525" t="str">
        <f t="shared" si="17"/>
        <v>2017 Q1</v>
      </c>
      <c r="K525">
        <f>raw_data!H525</f>
        <v>3.06</v>
      </c>
      <c r="L525" s="13">
        <f>raw_data!I525</f>
        <v>8.65</v>
      </c>
      <c r="M525" s="13">
        <f>raw_data!J525</f>
        <v>1.51</v>
      </c>
    </row>
    <row r="526" spans="1:13" x14ac:dyDescent="0.2">
      <c r="A526" t="str">
        <f>raw_data!A526</f>
        <v>2017Q1</v>
      </c>
      <c r="B526" t="str">
        <f>raw_data!B526</f>
        <v>New South Wales</v>
      </c>
      <c r="C526" t="str">
        <f>raw_data!C526</f>
        <v>Education and Training</v>
      </c>
      <c r="D526">
        <f>raw_data!D526</f>
        <v>3.6</v>
      </c>
      <c r="E526">
        <f>raw_data!E526</f>
        <v>38.46</v>
      </c>
      <c r="F526">
        <f>raw_data!F526</f>
        <v>2.02</v>
      </c>
      <c r="G526">
        <f>raw_data!G526</f>
        <v>13.58</v>
      </c>
      <c r="H526">
        <f>(raw_data!D526*weights!$B$2)+(raw_data!E526*weights!$B$3)+(raw_data!F526*weights!$B$4)</f>
        <v>13.584</v>
      </c>
      <c r="I526" t="str">
        <f t="shared" si="16"/>
        <v>Low</v>
      </c>
      <c r="J526" t="str">
        <f t="shared" si="17"/>
        <v>2017 Q1</v>
      </c>
      <c r="K526">
        <f>raw_data!H526</f>
        <v>1.44</v>
      </c>
      <c r="L526" s="13">
        <f>raw_data!I526</f>
        <v>11.54</v>
      </c>
      <c r="M526" s="13">
        <f>raw_data!J526</f>
        <v>0.61</v>
      </c>
    </row>
    <row r="527" spans="1:13" x14ac:dyDescent="0.2">
      <c r="A527" t="str">
        <f>raw_data!A527</f>
        <v>2017Q1</v>
      </c>
      <c r="B527" t="str">
        <f>raw_data!B527</f>
        <v>New South Wales</v>
      </c>
      <c r="C527" t="str">
        <f>raw_data!C527</f>
        <v>Health Care and Social Assistance</v>
      </c>
      <c r="D527">
        <f>raw_data!D527</f>
        <v>9.98</v>
      </c>
      <c r="E527">
        <f>raw_data!E527</f>
        <v>38.46</v>
      </c>
      <c r="F527">
        <f>raw_data!F527</f>
        <v>11.77</v>
      </c>
      <c r="G527">
        <f>raw_data!G527</f>
        <v>19.059999999999999</v>
      </c>
      <c r="H527">
        <f>(raw_data!D527*weights!$B$2)+(raw_data!E527*weights!$B$3)+(raw_data!F527*weights!$B$4)</f>
        <v>19.061</v>
      </c>
      <c r="I527" t="str">
        <f t="shared" si="16"/>
        <v>Low</v>
      </c>
      <c r="J527" t="str">
        <f t="shared" si="17"/>
        <v>2017 Q1</v>
      </c>
      <c r="K527">
        <f>raw_data!H527</f>
        <v>3.99</v>
      </c>
      <c r="L527" s="13">
        <f>raw_data!I527</f>
        <v>11.54</v>
      </c>
      <c r="M527" s="13">
        <f>raw_data!J527</f>
        <v>3.53</v>
      </c>
    </row>
    <row r="528" spans="1:13" x14ac:dyDescent="0.2">
      <c r="A528" t="str">
        <f>raw_data!A528</f>
        <v>2017Q1</v>
      </c>
      <c r="B528" t="str">
        <f>raw_data!B528</f>
        <v>New South Wales</v>
      </c>
      <c r="C528" t="str">
        <f>raw_data!C528</f>
        <v>Manufacturing</v>
      </c>
      <c r="D528">
        <f>raw_data!D528</f>
        <v>8.8699999999999992</v>
      </c>
      <c r="E528">
        <f>raw_data!E528</f>
        <v>32.69</v>
      </c>
      <c r="F528">
        <f>raw_data!F528</f>
        <v>5</v>
      </c>
      <c r="G528">
        <f>raw_data!G528</f>
        <v>14.86</v>
      </c>
      <c r="H528">
        <f>(raw_data!D528*weights!$B$2)+(raw_data!E528*weights!$B$3)+(raw_data!F528*weights!$B$4)</f>
        <v>14.854999999999999</v>
      </c>
      <c r="I528" t="str">
        <f t="shared" si="16"/>
        <v>Low</v>
      </c>
      <c r="J528" t="str">
        <f t="shared" si="17"/>
        <v>2017 Q1</v>
      </c>
      <c r="K528">
        <f>raw_data!H528</f>
        <v>3.55</v>
      </c>
      <c r="L528" s="13">
        <f>raw_data!I528</f>
        <v>9.81</v>
      </c>
      <c r="M528" s="13">
        <f>raw_data!J528</f>
        <v>1.5</v>
      </c>
    </row>
    <row r="529" spans="1:13" x14ac:dyDescent="0.2">
      <c r="A529" t="str">
        <f>raw_data!A529</f>
        <v>2017Q1</v>
      </c>
      <c r="B529" t="str">
        <f>raw_data!B529</f>
        <v>New South Wales</v>
      </c>
      <c r="C529" t="str">
        <f>raw_data!C529</f>
        <v>Professional, Scientific and Technical Services</v>
      </c>
      <c r="D529">
        <f>raw_data!D529</f>
        <v>13.88</v>
      </c>
      <c r="E529">
        <f>raw_data!E529</f>
        <v>25</v>
      </c>
      <c r="F529">
        <f>raw_data!F529</f>
        <v>10.73</v>
      </c>
      <c r="G529">
        <f>raw_data!G529</f>
        <v>16.27</v>
      </c>
      <c r="H529">
        <f>(raw_data!D529*weights!$B$2)+(raw_data!E529*weights!$B$3)+(raw_data!F529*weights!$B$4)</f>
        <v>16.271000000000001</v>
      </c>
      <c r="I529" t="str">
        <f t="shared" si="16"/>
        <v>Low</v>
      </c>
      <c r="J529" t="str">
        <f t="shared" si="17"/>
        <v>2017 Q1</v>
      </c>
      <c r="K529">
        <f>raw_data!H529</f>
        <v>5.55</v>
      </c>
      <c r="L529" s="13">
        <f>raw_data!I529</f>
        <v>7.5</v>
      </c>
      <c r="M529" s="13">
        <f>raw_data!J529</f>
        <v>3.22</v>
      </c>
    </row>
    <row r="530" spans="1:13" x14ac:dyDescent="0.2">
      <c r="A530" t="str">
        <f>raw_data!A530</f>
        <v>2017Q1</v>
      </c>
      <c r="B530" t="str">
        <f>raw_data!B530</f>
        <v>Queensland</v>
      </c>
      <c r="C530" t="str">
        <f>raw_data!C530</f>
        <v>Accommodation and Food Services</v>
      </c>
      <c r="D530">
        <f>raw_data!D530</f>
        <v>33.64</v>
      </c>
      <c r="E530">
        <f>raw_data!E530</f>
        <v>36.54</v>
      </c>
      <c r="F530">
        <f>raw_data!F530</f>
        <v>4.3600000000000003</v>
      </c>
      <c r="G530">
        <f>raw_data!G530</f>
        <v>25.73</v>
      </c>
      <c r="H530">
        <f>(raw_data!D530*weights!$B$2)+(raw_data!E530*weights!$B$3)+(raw_data!F530*weights!$B$4)</f>
        <v>25.725999999999999</v>
      </c>
      <c r="I530" t="str">
        <f t="shared" si="16"/>
        <v>Moderate</v>
      </c>
      <c r="J530" t="str">
        <f t="shared" si="17"/>
        <v>2017 Q1</v>
      </c>
      <c r="K530">
        <f>raw_data!H530</f>
        <v>13.46</v>
      </c>
      <c r="L530" s="13">
        <f>raw_data!I530</f>
        <v>10.96</v>
      </c>
      <c r="M530" s="13">
        <f>raw_data!J530</f>
        <v>1.31</v>
      </c>
    </row>
    <row r="531" spans="1:13" x14ac:dyDescent="0.2">
      <c r="A531" t="str">
        <f>raw_data!A531</f>
        <v>2017Q1</v>
      </c>
      <c r="B531" t="str">
        <f>raw_data!B531</f>
        <v>Queensland</v>
      </c>
      <c r="C531" t="str">
        <f>raw_data!C531</f>
        <v>Construction</v>
      </c>
      <c r="D531">
        <f>raw_data!D531</f>
        <v>13.44</v>
      </c>
      <c r="E531">
        <f>raw_data!E531</f>
        <v>28.85</v>
      </c>
      <c r="F531">
        <f>raw_data!F531</f>
        <v>6.63</v>
      </c>
      <c r="G531">
        <f>raw_data!G531</f>
        <v>16.02</v>
      </c>
      <c r="H531">
        <f>(raw_data!D531*weights!$B$2)+(raw_data!E531*weights!$B$3)+(raw_data!F531*weights!$B$4)</f>
        <v>16.02</v>
      </c>
      <c r="I531" t="str">
        <f t="shared" si="16"/>
        <v>Low</v>
      </c>
      <c r="J531" t="str">
        <f t="shared" si="17"/>
        <v>2017 Q1</v>
      </c>
      <c r="K531">
        <f>raw_data!H531</f>
        <v>5.37</v>
      </c>
      <c r="L531" s="13">
        <f>raw_data!I531</f>
        <v>8.65</v>
      </c>
      <c r="M531" s="13">
        <f>raw_data!J531</f>
        <v>1.99</v>
      </c>
    </row>
    <row r="532" spans="1:13" x14ac:dyDescent="0.2">
      <c r="A532" t="str">
        <f>raw_data!A532</f>
        <v>2017Q1</v>
      </c>
      <c r="B532" t="str">
        <f>raw_data!B532</f>
        <v>Queensland</v>
      </c>
      <c r="C532" t="str">
        <f>raw_data!C532</f>
        <v>Education and Training</v>
      </c>
      <c r="D532">
        <f>raw_data!D532</f>
        <v>7.47</v>
      </c>
      <c r="E532">
        <f>raw_data!E532</f>
        <v>38.46</v>
      </c>
      <c r="F532">
        <f>raw_data!F532</f>
        <v>2.52</v>
      </c>
      <c r="G532">
        <f>raw_data!G532</f>
        <v>15.28</v>
      </c>
      <c r="H532">
        <f>(raw_data!D532*weights!$B$2)+(raw_data!E532*weights!$B$3)+(raw_data!F532*weights!$B$4)</f>
        <v>15.282</v>
      </c>
      <c r="I532" t="str">
        <f t="shared" si="16"/>
        <v>Low</v>
      </c>
      <c r="J532" t="str">
        <f t="shared" si="17"/>
        <v>2017 Q1</v>
      </c>
      <c r="K532">
        <f>raw_data!H532</f>
        <v>2.99</v>
      </c>
      <c r="L532" s="13">
        <f>raw_data!I532</f>
        <v>11.54</v>
      </c>
      <c r="M532" s="13">
        <f>raw_data!J532</f>
        <v>0.75</v>
      </c>
    </row>
    <row r="533" spans="1:13" x14ac:dyDescent="0.2">
      <c r="A533" t="str">
        <f>raw_data!A533</f>
        <v>2017Q1</v>
      </c>
      <c r="B533" t="str">
        <f>raw_data!B533</f>
        <v>Queensland</v>
      </c>
      <c r="C533" t="str">
        <f>raw_data!C533</f>
        <v>Health Care and Social Assistance</v>
      </c>
      <c r="D533">
        <f>raw_data!D533</f>
        <v>17.82</v>
      </c>
      <c r="E533">
        <f>raw_data!E533</f>
        <v>38.46</v>
      </c>
      <c r="F533">
        <f>raw_data!F533</f>
        <v>13.57</v>
      </c>
      <c r="G533">
        <f>raw_data!G533</f>
        <v>22.74</v>
      </c>
      <c r="H533">
        <f>(raw_data!D533*weights!$B$2)+(raw_data!E533*weights!$B$3)+(raw_data!F533*weights!$B$4)</f>
        <v>22.737000000000002</v>
      </c>
      <c r="I533" t="str">
        <f t="shared" si="16"/>
        <v>Low</v>
      </c>
      <c r="J533" t="str">
        <f t="shared" si="17"/>
        <v>2017 Q1</v>
      </c>
      <c r="K533">
        <f>raw_data!H533</f>
        <v>7.13</v>
      </c>
      <c r="L533" s="13">
        <f>raw_data!I533</f>
        <v>11.54</v>
      </c>
      <c r="M533" s="13">
        <f>raw_data!J533</f>
        <v>4.07</v>
      </c>
    </row>
    <row r="534" spans="1:13" x14ac:dyDescent="0.2">
      <c r="A534" t="str">
        <f>raw_data!A534</f>
        <v>2017Q1</v>
      </c>
      <c r="B534" t="str">
        <f>raw_data!B534</f>
        <v>Queensland</v>
      </c>
      <c r="C534" t="str">
        <f>raw_data!C534</f>
        <v>Manufacturing</v>
      </c>
      <c r="D534">
        <f>raw_data!D534</f>
        <v>15.45</v>
      </c>
      <c r="E534">
        <f>raw_data!E534</f>
        <v>32.69</v>
      </c>
      <c r="F534">
        <f>raw_data!F534</f>
        <v>4.34</v>
      </c>
      <c r="G534">
        <f>raw_data!G534</f>
        <v>17.29</v>
      </c>
      <c r="H534">
        <f>(raw_data!D534*weights!$B$2)+(raw_data!E534*weights!$B$3)+(raw_data!F534*weights!$B$4)</f>
        <v>17.288999999999998</v>
      </c>
      <c r="I534" t="str">
        <f t="shared" si="16"/>
        <v>Low</v>
      </c>
      <c r="J534" t="str">
        <f t="shared" si="17"/>
        <v>2017 Q1</v>
      </c>
      <c r="K534">
        <f>raw_data!H534</f>
        <v>6.18</v>
      </c>
      <c r="L534" s="13">
        <f>raw_data!I534</f>
        <v>9.81</v>
      </c>
      <c r="M534" s="13">
        <f>raw_data!J534</f>
        <v>1.3</v>
      </c>
    </row>
    <row r="535" spans="1:13" x14ac:dyDescent="0.2">
      <c r="A535" t="str">
        <f>raw_data!A535</f>
        <v>2017Q1</v>
      </c>
      <c r="B535" t="str">
        <f>raw_data!B535</f>
        <v>Queensland</v>
      </c>
      <c r="C535" t="str">
        <f>raw_data!C535</f>
        <v>Professional, Scientific and Technical Services</v>
      </c>
      <c r="D535">
        <f>raw_data!D535</f>
        <v>32.99</v>
      </c>
      <c r="E535">
        <f>raw_data!E535</f>
        <v>25</v>
      </c>
      <c r="F535">
        <f>raw_data!F535</f>
        <v>8.9499999999999993</v>
      </c>
      <c r="G535">
        <f>raw_data!G535</f>
        <v>23.38</v>
      </c>
      <c r="H535">
        <f>(raw_data!D535*weights!$B$2)+(raw_data!E535*weights!$B$3)+(raw_data!F535*weights!$B$4)</f>
        <v>23.381</v>
      </c>
      <c r="I535" t="str">
        <f t="shared" si="16"/>
        <v>Low</v>
      </c>
      <c r="J535" t="str">
        <f t="shared" si="17"/>
        <v>2017 Q1</v>
      </c>
      <c r="K535">
        <f>raw_data!H535</f>
        <v>13.19</v>
      </c>
      <c r="L535" s="13">
        <f>raw_data!I535</f>
        <v>7.5</v>
      </c>
      <c r="M535" s="13">
        <f>raw_data!J535</f>
        <v>2.68</v>
      </c>
    </row>
    <row r="536" spans="1:13" x14ac:dyDescent="0.2">
      <c r="A536" t="str">
        <f>raw_data!A536</f>
        <v>2017Q1</v>
      </c>
      <c r="B536" t="str">
        <f>raw_data!B536</f>
        <v>Victoria</v>
      </c>
      <c r="C536" t="str">
        <f>raw_data!C536</f>
        <v>Accommodation and Food Services</v>
      </c>
      <c r="D536">
        <f>raw_data!D536</f>
        <v>24.72</v>
      </c>
      <c r="E536">
        <f>raw_data!E536</f>
        <v>36.54</v>
      </c>
      <c r="F536">
        <f>raw_data!F536</f>
        <v>3.74</v>
      </c>
      <c r="G536">
        <f>raw_data!G536</f>
        <v>21.97</v>
      </c>
      <c r="H536">
        <f>(raw_data!D536*weights!$B$2)+(raw_data!E536*weights!$B$3)+(raw_data!F536*weights!$B$4)</f>
        <v>21.972000000000001</v>
      </c>
      <c r="I536" t="str">
        <f t="shared" si="16"/>
        <v>Low</v>
      </c>
      <c r="J536" t="str">
        <f t="shared" si="17"/>
        <v>2017 Q1</v>
      </c>
      <c r="K536">
        <f>raw_data!H536</f>
        <v>9.89</v>
      </c>
      <c r="L536" s="13">
        <f>raw_data!I536</f>
        <v>10.96</v>
      </c>
      <c r="M536" s="13">
        <f>raw_data!J536</f>
        <v>1.1200000000000001</v>
      </c>
    </row>
    <row r="537" spans="1:13" x14ac:dyDescent="0.2">
      <c r="A537" t="str">
        <f>raw_data!A537</f>
        <v>2017Q1</v>
      </c>
      <c r="B537" t="str">
        <f>raw_data!B537</f>
        <v>Victoria</v>
      </c>
      <c r="C537" t="str">
        <f>raw_data!C537</f>
        <v>Construction</v>
      </c>
      <c r="D537">
        <f>raw_data!D537</f>
        <v>11.3</v>
      </c>
      <c r="E537">
        <f>raw_data!E537</f>
        <v>28.85</v>
      </c>
      <c r="F537">
        <f>raw_data!F537</f>
        <v>5.26</v>
      </c>
      <c r="G537">
        <f>raw_data!G537</f>
        <v>14.75</v>
      </c>
      <c r="H537">
        <f>(raw_data!D537*weights!$B$2)+(raw_data!E537*weights!$B$3)+(raw_data!F537*weights!$B$4)</f>
        <v>14.753</v>
      </c>
      <c r="I537" t="str">
        <f t="shared" si="16"/>
        <v>Low</v>
      </c>
      <c r="J537" t="str">
        <f t="shared" si="17"/>
        <v>2017 Q1</v>
      </c>
      <c r="K537">
        <f>raw_data!H537</f>
        <v>4.5199999999999996</v>
      </c>
      <c r="L537" s="13">
        <f>raw_data!I537</f>
        <v>8.65</v>
      </c>
      <c r="M537" s="13">
        <f>raw_data!J537</f>
        <v>1.58</v>
      </c>
    </row>
    <row r="538" spans="1:13" x14ac:dyDescent="0.2">
      <c r="A538" t="str">
        <f>raw_data!A538</f>
        <v>2017Q1</v>
      </c>
      <c r="B538" t="str">
        <f>raw_data!B538</f>
        <v>Victoria</v>
      </c>
      <c r="C538" t="str">
        <f>raw_data!C538</f>
        <v>Education and Training</v>
      </c>
      <c r="D538">
        <f>raw_data!D538</f>
        <v>4.5199999999999996</v>
      </c>
      <c r="E538">
        <f>raw_data!E538</f>
        <v>38.46</v>
      </c>
      <c r="F538">
        <f>raw_data!F538</f>
        <v>2.25</v>
      </c>
      <c r="G538">
        <f>raw_data!G538</f>
        <v>14.02</v>
      </c>
      <c r="H538">
        <f>(raw_data!D538*weights!$B$2)+(raw_data!E538*weights!$B$3)+(raw_data!F538*weights!$B$4)</f>
        <v>14.021000000000001</v>
      </c>
      <c r="I538" t="str">
        <f t="shared" si="16"/>
        <v>Low</v>
      </c>
      <c r="J538" t="str">
        <f t="shared" si="17"/>
        <v>2017 Q1</v>
      </c>
      <c r="K538">
        <f>raw_data!H538</f>
        <v>1.81</v>
      </c>
      <c r="L538" s="13">
        <f>raw_data!I538</f>
        <v>11.54</v>
      </c>
      <c r="M538" s="13">
        <f>raw_data!J538</f>
        <v>0.67</v>
      </c>
    </row>
    <row r="539" spans="1:13" x14ac:dyDescent="0.2">
      <c r="A539" t="str">
        <f>raw_data!A539</f>
        <v>2017Q1</v>
      </c>
      <c r="B539" t="str">
        <f>raw_data!B539</f>
        <v>Victoria</v>
      </c>
      <c r="C539" t="str">
        <f>raw_data!C539</f>
        <v>Health Care and Social Assistance</v>
      </c>
      <c r="D539">
        <f>raw_data!D539</f>
        <v>11.7</v>
      </c>
      <c r="E539">
        <f>raw_data!E539</f>
        <v>38.46</v>
      </c>
      <c r="F539">
        <f>raw_data!F539</f>
        <v>6.9</v>
      </c>
      <c r="G539">
        <f>raw_data!G539</f>
        <v>18.29</v>
      </c>
      <c r="H539">
        <f>(raw_data!D539*weights!$B$2)+(raw_data!E539*weights!$B$3)+(raw_data!F539*weights!$B$4)</f>
        <v>18.288</v>
      </c>
      <c r="I539" t="str">
        <f t="shared" si="16"/>
        <v>Low</v>
      </c>
      <c r="J539" t="str">
        <f t="shared" si="17"/>
        <v>2017 Q1</v>
      </c>
      <c r="K539">
        <f>raw_data!H539</f>
        <v>4.68</v>
      </c>
      <c r="L539" s="13">
        <f>raw_data!I539</f>
        <v>11.54</v>
      </c>
      <c r="M539" s="13">
        <f>raw_data!J539</f>
        <v>2.0699999999999998</v>
      </c>
    </row>
    <row r="540" spans="1:13" x14ac:dyDescent="0.2">
      <c r="A540" t="str">
        <f>raw_data!A540</f>
        <v>2017Q1</v>
      </c>
      <c r="B540" t="str">
        <f>raw_data!B540</f>
        <v>Victoria</v>
      </c>
      <c r="C540" t="str">
        <f>raw_data!C540</f>
        <v>Manufacturing</v>
      </c>
      <c r="D540">
        <f>raw_data!D540</f>
        <v>8.5399999999999991</v>
      </c>
      <c r="E540">
        <f>raw_data!E540</f>
        <v>32.69</v>
      </c>
      <c r="F540">
        <f>raw_data!F540</f>
        <v>4.49</v>
      </c>
      <c r="G540">
        <f>raw_data!G540</f>
        <v>14.57</v>
      </c>
      <c r="H540">
        <f>(raw_data!D540*weights!$B$2)+(raw_data!E540*weights!$B$3)+(raw_data!F540*weights!$B$4)</f>
        <v>14.569999999999999</v>
      </c>
      <c r="I540" t="str">
        <f t="shared" si="16"/>
        <v>Low</v>
      </c>
      <c r="J540" t="str">
        <f t="shared" si="17"/>
        <v>2017 Q1</v>
      </c>
      <c r="K540">
        <f>raw_data!H540</f>
        <v>3.41</v>
      </c>
      <c r="L540" s="13">
        <f>raw_data!I540</f>
        <v>9.81</v>
      </c>
      <c r="M540" s="13">
        <f>raw_data!J540</f>
        <v>1.35</v>
      </c>
    </row>
    <row r="541" spans="1:13" x14ac:dyDescent="0.2">
      <c r="A541" t="str">
        <f>raw_data!A541</f>
        <v>2017Q1</v>
      </c>
      <c r="B541" t="str">
        <f>raw_data!B541</f>
        <v>Victoria</v>
      </c>
      <c r="C541" t="str">
        <f>raw_data!C541</f>
        <v>Professional, Scientific and Technical Services</v>
      </c>
      <c r="D541">
        <f>raw_data!D541</f>
        <v>19.27</v>
      </c>
      <c r="E541">
        <f>raw_data!E541</f>
        <v>25</v>
      </c>
      <c r="F541">
        <f>raw_data!F541</f>
        <v>7.71</v>
      </c>
      <c r="G541">
        <f>raw_data!G541</f>
        <v>17.52</v>
      </c>
      <c r="H541">
        <f>(raw_data!D541*weights!$B$2)+(raw_data!E541*weights!$B$3)+(raw_data!F541*weights!$B$4)</f>
        <v>17.521000000000001</v>
      </c>
      <c r="I541" t="str">
        <f t="shared" si="16"/>
        <v>Low</v>
      </c>
      <c r="J541" t="str">
        <f t="shared" si="17"/>
        <v>2017 Q1</v>
      </c>
      <c r="K541">
        <f>raw_data!H541</f>
        <v>7.71</v>
      </c>
      <c r="L541" s="13">
        <f>raw_data!I541</f>
        <v>7.5</v>
      </c>
      <c r="M541" s="13">
        <f>raw_data!J541</f>
        <v>2.31</v>
      </c>
    </row>
    <row r="542" spans="1:13" x14ac:dyDescent="0.2">
      <c r="A542" t="str">
        <f>raw_data!A542</f>
        <v>2017Q2</v>
      </c>
      <c r="B542" t="str">
        <f>raw_data!B542</f>
        <v>New South Wales</v>
      </c>
      <c r="C542" t="str">
        <f>raw_data!C542</f>
        <v>Accommodation and Food Services</v>
      </c>
      <c r="D542">
        <f>raw_data!D542</f>
        <v>14.51</v>
      </c>
      <c r="E542">
        <f>raw_data!E542</f>
        <v>34.619999999999997</v>
      </c>
      <c r="F542">
        <f>raw_data!F542</f>
        <v>4.71</v>
      </c>
      <c r="G542">
        <f>raw_data!G542</f>
        <v>17.600000000000001</v>
      </c>
      <c r="H542">
        <f>(raw_data!D542*weights!$B$2)+(raw_data!E542*weights!$B$3)+(raw_data!F542*weights!$B$4)</f>
        <v>17.602999999999998</v>
      </c>
      <c r="I542" t="str">
        <f t="shared" si="16"/>
        <v>Low</v>
      </c>
      <c r="J542" t="str">
        <f t="shared" si="17"/>
        <v>2017 Q2</v>
      </c>
      <c r="K542">
        <f>raw_data!H542</f>
        <v>5.8</v>
      </c>
      <c r="L542" s="13">
        <f>raw_data!I542</f>
        <v>10.38</v>
      </c>
      <c r="M542" s="13">
        <f>raw_data!J542</f>
        <v>1.41</v>
      </c>
    </row>
    <row r="543" spans="1:13" x14ac:dyDescent="0.2">
      <c r="A543" t="str">
        <f>raw_data!A543</f>
        <v>2017Q2</v>
      </c>
      <c r="B543" t="str">
        <f>raw_data!B543</f>
        <v>New South Wales</v>
      </c>
      <c r="C543" t="str">
        <f>raw_data!C543</f>
        <v>Construction</v>
      </c>
      <c r="D543">
        <f>raw_data!D543</f>
        <v>7.85</v>
      </c>
      <c r="E543">
        <f>raw_data!E543</f>
        <v>28.85</v>
      </c>
      <c r="F543">
        <f>raw_data!F543</f>
        <v>5.71</v>
      </c>
      <c r="G543">
        <f>raw_data!G543</f>
        <v>13.51</v>
      </c>
      <c r="H543">
        <f>(raw_data!D543*weights!$B$2)+(raw_data!E543*weights!$B$3)+(raw_data!F543*weights!$B$4)</f>
        <v>13.507999999999999</v>
      </c>
      <c r="I543" t="str">
        <f t="shared" si="16"/>
        <v>Low</v>
      </c>
      <c r="J543" t="str">
        <f t="shared" si="17"/>
        <v>2017 Q2</v>
      </c>
      <c r="K543">
        <f>raw_data!H543</f>
        <v>3.14</v>
      </c>
      <c r="L543" s="13">
        <f>raw_data!I543</f>
        <v>8.65</v>
      </c>
      <c r="M543" s="13">
        <f>raw_data!J543</f>
        <v>1.71</v>
      </c>
    </row>
    <row r="544" spans="1:13" x14ac:dyDescent="0.2">
      <c r="A544" t="str">
        <f>raw_data!A544</f>
        <v>2017Q2</v>
      </c>
      <c r="B544" t="str">
        <f>raw_data!B544</f>
        <v>New South Wales</v>
      </c>
      <c r="C544" t="str">
        <f>raw_data!C544</f>
        <v>Education and Training</v>
      </c>
      <c r="D544">
        <f>raw_data!D544</f>
        <v>3.48</v>
      </c>
      <c r="E544">
        <f>raw_data!E544</f>
        <v>40.380000000000003</v>
      </c>
      <c r="F544">
        <f>raw_data!F544</f>
        <v>4.01</v>
      </c>
      <c r="G544">
        <f>raw_data!G544</f>
        <v>14.71</v>
      </c>
      <c r="H544">
        <f>(raw_data!D544*weights!$B$2)+(raw_data!E544*weights!$B$3)+(raw_data!F544*weights!$B$4)</f>
        <v>14.709</v>
      </c>
      <c r="I544" t="str">
        <f t="shared" si="16"/>
        <v>Low</v>
      </c>
      <c r="J544" t="str">
        <f t="shared" si="17"/>
        <v>2017 Q2</v>
      </c>
      <c r="K544">
        <f>raw_data!H544</f>
        <v>1.39</v>
      </c>
      <c r="L544" s="13">
        <f>raw_data!I544</f>
        <v>12.12</v>
      </c>
      <c r="M544" s="13">
        <f>raw_data!J544</f>
        <v>1.2</v>
      </c>
    </row>
    <row r="545" spans="1:13" x14ac:dyDescent="0.2">
      <c r="A545" t="str">
        <f>raw_data!A545</f>
        <v>2017Q2</v>
      </c>
      <c r="B545" t="str">
        <f>raw_data!B545</f>
        <v>New South Wales</v>
      </c>
      <c r="C545" t="str">
        <f>raw_data!C545</f>
        <v>Health Care and Social Assistance</v>
      </c>
      <c r="D545">
        <f>raw_data!D545</f>
        <v>9.49</v>
      </c>
      <c r="E545">
        <f>raw_data!E545</f>
        <v>44.23</v>
      </c>
      <c r="F545">
        <f>raw_data!F545</f>
        <v>16.420000000000002</v>
      </c>
      <c r="G545">
        <f>raw_data!G545</f>
        <v>21.99</v>
      </c>
      <c r="H545">
        <f>(raw_data!D545*weights!$B$2)+(raw_data!E545*weights!$B$3)+(raw_data!F545*weights!$B$4)</f>
        <v>21.991</v>
      </c>
      <c r="I545" t="str">
        <f t="shared" si="16"/>
        <v>Low</v>
      </c>
      <c r="J545" t="str">
        <f t="shared" si="17"/>
        <v>2017 Q2</v>
      </c>
      <c r="K545">
        <f>raw_data!H545</f>
        <v>3.79</v>
      </c>
      <c r="L545" s="13">
        <f>raw_data!I545</f>
        <v>13.27</v>
      </c>
      <c r="M545" s="13">
        <f>raw_data!J545</f>
        <v>4.93</v>
      </c>
    </row>
    <row r="546" spans="1:13" x14ac:dyDescent="0.2">
      <c r="A546" t="str">
        <f>raw_data!A546</f>
        <v>2017Q2</v>
      </c>
      <c r="B546" t="str">
        <f>raw_data!B546</f>
        <v>New South Wales</v>
      </c>
      <c r="C546" t="str">
        <f>raw_data!C546</f>
        <v>Manufacturing</v>
      </c>
      <c r="D546">
        <f>raw_data!D546</f>
        <v>7.3</v>
      </c>
      <c r="E546">
        <f>raw_data!E546</f>
        <v>32.69</v>
      </c>
      <c r="F546">
        <f>raw_data!F546</f>
        <v>6.81</v>
      </c>
      <c r="G546">
        <f>raw_data!G546</f>
        <v>14.77</v>
      </c>
      <c r="H546">
        <f>(raw_data!D546*weights!$B$2)+(raw_data!E546*weights!$B$3)+(raw_data!F546*weights!$B$4)</f>
        <v>14.769999999999998</v>
      </c>
      <c r="I546" t="str">
        <f t="shared" si="16"/>
        <v>Low</v>
      </c>
      <c r="J546" t="str">
        <f t="shared" si="17"/>
        <v>2017 Q2</v>
      </c>
      <c r="K546">
        <f>raw_data!H546</f>
        <v>2.92</v>
      </c>
      <c r="L546" s="13">
        <f>raw_data!I546</f>
        <v>9.81</v>
      </c>
      <c r="M546" s="13">
        <f>raw_data!J546</f>
        <v>2.04</v>
      </c>
    </row>
    <row r="547" spans="1:13" x14ac:dyDescent="0.2">
      <c r="A547" t="str">
        <f>raw_data!A547</f>
        <v>2017Q2</v>
      </c>
      <c r="B547" t="str">
        <f>raw_data!B547</f>
        <v>New South Wales</v>
      </c>
      <c r="C547" t="str">
        <f>raw_data!C547</f>
        <v>Professional, Scientific and Technical Services</v>
      </c>
      <c r="D547">
        <f>raw_data!D547</f>
        <v>11.3</v>
      </c>
      <c r="E547">
        <f>raw_data!E547</f>
        <v>23.08</v>
      </c>
      <c r="F547">
        <f>raw_data!F547</f>
        <v>10.75</v>
      </c>
      <c r="G547">
        <f>raw_data!G547</f>
        <v>14.67</v>
      </c>
      <c r="H547">
        <f>(raw_data!D547*weights!$B$2)+(raw_data!E547*weights!$B$3)+(raw_data!F547*weights!$B$4)</f>
        <v>14.668999999999999</v>
      </c>
      <c r="I547" t="str">
        <f t="shared" si="16"/>
        <v>Low</v>
      </c>
      <c r="J547" t="str">
        <f t="shared" si="17"/>
        <v>2017 Q2</v>
      </c>
      <c r="K547">
        <f>raw_data!H547</f>
        <v>4.5199999999999996</v>
      </c>
      <c r="L547" s="13">
        <f>raw_data!I547</f>
        <v>6.92</v>
      </c>
      <c r="M547" s="13">
        <f>raw_data!J547</f>
        <v>3.23</v>
      </c>
    </row>
    <row r="548" spans="1:13" x14ac:dyDescent="0.2">
      <c r="A548" t="str">
        <f>raw_data!A548</f>
        <v>2017Q2</v>
      </c>
      <c r="B548" t="str">
        <f>raw_data!B548</f>
        <v>Queensland</v>
      </c>
      <c r="C548" t="str">
        <f>raw_data!C548</f>
        <v>Accommodation and Food Services</v>
      </c>
      <c r="D548">
        <f>raw_data!D548</f>
        <v>24.4</v>
      </c>
      <c r="E548">
        <f>raw_data!E548</f>
        <v>34.619999999999997</v>
      </c>
      <c r="F548">
        <f>raw_data!F548</f>
        <v>3.9</v>
      </c>
      <c r="G548">
        <f>raw_data!G548</f>
        <v>21.32</v>
      </c>
      <c r="H548">
        <f>(raw_data!D548*weights!$B$2)+(raw_data!E548*weights!$B$3)+(raw_data!F548*weights!$B$4)</f>
        <v>21.316000000000003</v>
      </c>
      <c r="I548" t="str">
        <f t="shared" si="16"/>
        <v>Low</v>
      </c>
      <c r="J548" t="str">
        <f t="shared" si="17"/>
        <v>2017 Q2</v>
      </c>
      <c r="K548">
        <f>raw_data!H548</f>
        <v>9.76</v>
      </c>
      <c r="L548" s="13">
        <f>raw_data!I548</f>
        <v>10.38</v>
      </c>
      <c r="M548" s="13">
        <f>raw_data!J548</f>
        <v>1.17</v>
      </c>
    </row>
    <row r="549" spans="1:13" x14ac:dyDescent="0.2">
      <c r="A549" t="str">
        <f>raw_data!A549</f>
        <v>2017Q2</v>
      </c>
      <c r="B549" t="str">
        <f>raw_data!B549</f>
        <v>Queensland</v>
      </c>
      <c r="C549" t="str">
        <f>raw_data!C549</f>
        <v>Construction</v>
      </c>
      <c r="D549">
        <f>raw_data!D549</f>
        <v>11.2</v>
      </c>
      <c r="E549">
        <f>raw_data!E549</f>
        <v>28.85</v>
      </c>
      <c r="F549">
        <f>raw_data!F549</f>
        <v>6.4</v>
      </c>
      <c r="G549">
        <f>raw_data!G549</f>
        <v>15.05</v>
      </c>
      <c r="H549">
        <f>(raw_data!D549*weights!$B$2)+(raw_data!E549*weights!$B$3)+(raw_data!F549*weights!$B$4)</f>
        <v>15.054999999999998</v>
      </c>
      <c r="I549" t="str">
        <f t="shared" si="16"/>
        <v>Low</v>
      </c>
      <c r="J549" t="str">
        <f t="shared" si="17"/>
        <v>2017 Q2</v>
      </c>
      <c r="K549">
        <f>raw_data!H549</f>
        <v>4.4800000000000004</v>
      </c>
      <c r="L549" s="13">
        <f>raw_data!I549</f>
        <v>8.65</v>
      </c>
      <c r="M549" s="13">
        <f>raw_data!J549</f>
        <v>1.92</v>
      </c>
    </row>
    <row r="550" spans="1:13" x14ac:dyDescent="0.2">
      <c r="A550" t="str">
        <f>raw_data!A550</f>
        <v>2017Q2</v>
      </c>
      <c r="B550" t="str">
        <f>raw_data!B550</f>
        <v>Queensland</v>
      </c>
      <c r="C550" t="str">
        <f>raw_data!C550</f>
        <v>Education and Training</v>
      </c>
      <c r="D550">
        <f>raw_data!D550</f>
        <v>6.58</v>
      </c>
      <c r="E550">
        <f>raw_data!E550</f>
        <v>40.380000000000003</v>
      </c>
      <c r="F550">
        <f>raw_data!F550</f>
        <v>3.52</v>
      </c>
      <c r="G550">
        <f>raw_data!G550</f>
        <v>15.8</v>
      </c>
      <c r="H550">
        <f>(raw_data!D550*weights!$B$2)+(raw_data!E550*weights!$B$3)+(raw_data!F550*weights!$B$4)</f>
        <v>15.802</v>
      </c>
      <c r="I550" t="str">
        <f t="shared" si="16"/>
        <v>Low</v>
      </c>
      <c r="J550" t="str">
        <f t="shared" si="17"/>
        <v>2017 Q2</v>
      </c>
      <c r="K550">
        <f>raw_data!H550</f>
        <v>2.63</v>
      </c>
      <c r="L550" s="13">
        <f>raw_data!I550</f>
        <v>12.12</v>
      </c>
      <c r="M550" s="13">
        <f>raw_data!J550</f>
        <v>1.06</v>
      </c>
    </row>
    <row r="551" spans="1:13" x14ac:dyDescent="0.2">
      <c r="A551" t="str">
        <f>raw_data!A551</f>
        <v>2017Q2</v>
      </c>
      <c r="B551" t="str">
        <f>raw_data!B551</f>
        <v>Queensland</v>
      </c>
      <c r="C551" t="str">
        <f>raw_data!C551</f>
        <v>Health Care and Social Assistance</v>
      </c>
      <c r="D551">
        <f>raw_data!D551</f>
        <v>14.72</v>
      </c>
      <c r="E551">
        <f>raw_data!E551</f>
        <v>44.23</v>
      </c>
      <c r="F551">
        <f>raw_data!F551</f>
        <v>16.57</v>
      </c>
      <c r="G551">
        <f>raw_data!G551</f>
        <v>24.13</v>
      </c>
      <c r="H551">
        <f>(raw_data!D551*weights!$B$2)+(raw_data!E551*weights!$B$3)+(raw_data!F551*weights!$B$4)</f>
        <v>24.128</v>
      </c>
      <c r="I551" t="str">
        <f t="shared" si="16"/>
        <v>Low</v>
      </c>
      <c r="J551" t="str">
        <f t="shared" si="17"/>
        <v>2017 Q2</v>
      </c>
      <c r="K551">
        <f>raw_data!H551</f>
        <v>5.89</v>
      </c>
      <c r="L551" s="13">
        <f>raw_data!I551</f>
        <v>13.27</v>
      </c>
      <c r="M551" s="13">
        <f>raw_data!J551</f>
        <v>4.97</v>
      </c>
    </row>
    <row r="552" spans="1:13" x14ac:dyDescent="0.2">
      <c r="A552" t="str">
        <f>raw_data!A552</f>
        <v>2017Q2</v>
      </c>
      <c r="B552" t="str">
        <f>raw_data!B552</f>
        <v>Queensland</v>
      </c>
      <c r="C552" t="str">
        <f>raw_data!C552</f>
        <v>Manufacturing</v>
      </c>
      <c r="D552">
        <f>raw_data!D552</f>
        <v>14.59</v>
      </c>
      <c r="E552">
        <f>raw_data!E552</f>
        <v>32.69</v>
      </c>
      <c r="F552">
        <f>raw_data!F552</f>
        <v>8.83</v>
      </c>
      <c r="G552">
        <f>raw_data!G552</f>
        <v>18.29</v>
      </c>
      <c r="H552">
        <f>(raw_data!D552*weights!$B$2)+(raw_data!E552*weights!$B$3)+(raw_data!F552*weights!$B$4)</f>
        <v>18.291999999999998</v>
      </c>
      <c r="I552" t="str">
        <f t="shared" si="16"/>
        <v>Low</v>
      </c>
      <c r="J552" t="str">
        <f t="shared" si="17"/>
        <v>2017 Q2</v>
      </c>
      <c r="K552">
        <f>raw_data!H552</f>
        <v>5.83</v>
      </c>
      <c r="L552" s="13">
        <f>raw_data!I552</f>
        <v>9.81</v>
      </c>
      <c r="M552" s="13">
        <f>raw_data!J552</f>
        <v>2.65</v>
      </c>
    </row>
    <row r="553" spans="1:13" x14ac:dyDescent="0.2">
      <c r="A553" t="str">
        <f>raw_data!A553</f>
        <v>2017Q2</v>
      </c>
      <c r="B553" t="str">
        <f>raw_data!B553</f>
        <v>Queensland</v>
      </c>
      <c r="C553" t="str">
        <f>raw_data!C553</f>
        <v>Professional, Scientific and Technical Services</v>
      </c>
      <c r="D553">
        <f>raw_data!D553</f>
        <v>31.51</v>
      </c>
      <c r="E553">
        <f>raw_data!E553</f>
        <v>23.08</v>
      </c>
      <c r="F553">
        <f>raw_data!F553</f>
        <v>12.46</v>
      </c>
      <c r="G553">
        <f>raw_data!G553</f>
        <v>23.27</v>
      </c>
      <c r="H553">
        <f>(raw_data!D553*weights!$B$2)+(raw_data!E553*weights!$B$3)+(raw_data!F553*weights!$B$4)</f>
        <v>23.265999999999998</v>
      </c>
      <c r="I553" t="str">
        <f t="shared" si="16"/>
        <v>Low</v>
      </c>
      <c r="J553" t="str">
        <f t="shared" si="17"/>
        <v>2017 Q2</v>
      </c>
      <c r="K553">
        <f>raw_data!H553</f>
        <v>12.61</v>
      </c>
      <c r="L553" s="13">
        <f>raw_data!I553</f>
        <v>6.92</v>
      </c>
      <c r="M553" s="13">
        <f>raw_data!J553</f>
        <v>3.74</v>
      </c>
    </row>
    <row r="554" spans="1:13" x14ac:dyDescent="0.2">
      <c r="A554" t="str">
        <f>raw_data!A554</f>
        <v>2017Q2</v>
      </c>
      <c r="B554" t="str">
        <f>raw_data!B554</f>
        <v>Victoria</v>
      </c>
      <c r="C554" t="str">
        <f>raw_data!C554</f>
        <v>Accommodation and Food Services</v>
      </c>
      <c r="D554">
        <f>raw_data!D554</f>
        <v>19.09</v>
      </c>
      <c r="E554">
        <f>raw_data!E554</f>
        <v>34.619999999999997</v>
      </c>
      <c r="F554">
        <f>raw_data!F554</f>
        <v>2.72</v>
      </c>
      <c r="G554">
        <f>raw_data!G554</f>
        <v>18.84</v>
      </c>
      <c r="H554">
        <f>(raw_data!D554*weights!$B$2)+(raw_data!E554*weights!$B$3)+(raw_data!F554*weights!$B$4)</f>
        <v>18.837999999999997</v>
      </c>
      <c r="I554" t="str">
        <f t="shared" si="16"/>
        <v>Low</v>
      </c>
      <c r="J554" t="str">
        <f t="shared" si="17"/>
        <v>2017 Q2</v>
      </c>
      <c r="K554">
        <f>raw_data!H554</f>
        <v>7.64</v>
      </c>
      <c r="L554" s="13">
        <f>raw_data!I554</f>
        <v>10.38</v>
      </c>
      <c r="M554" s="13">
        <f>raw_data!J554</f>
        <v>0.82</v>
      </c>
    </row>
    <row r="555" spans="1:13" x14ac:dyDescent="0.2">
      <c r="A555" t="str">
        <f>raw_data!A555</f>
        <v>2017Q2</v>
      </c>
      <c r="B555" t="str">
        <f>raw_data!B555</f>
        <v>Victoria</v>
      </c>
      <c r="C555" t="str">
        <f>raw_data!C555</f>
        <v>Construction</v>
      </c>
      <c r="D555">
        <f>raw_data!D555</f>
        <v>9.86</v>
      </c>
      <c r="E555">
        <f>raw_data!E555</f>
        <v>28.85</v>
      </c>
      <c r="F555">
        <f>raw_data!F555</f>
        <v>9.2799999999999994</v>
      </c>
      <c r="G555">
        <f>raw_data!G555</f>
        <v>15.38</v>
      </c>
      <c r="H555">
        <f>(raw_data!D555*weights!$B$2)+(raw_data!E555*weights!$B$3)+(raw_data!F555*weights!$B$4)</f>
        <v>15.382999999999999</v>
      </c>
      <c r="I555" t="str">
        <f t="shared" si="16"/>
        <v>Low</v>
      </c>
      <c r="J555" t="str">
        <f t="shared" si="17"/>
        <v>2017 Q2</v>
      </c>
      <c r="K555">
        <f>raw_data!H555</f>
        <v>3.95</v>
      </c>
      <c r="L555" s="13">
        <f>raw_data!I555</f>
        <v>8.65</v>
      </c>
      <c r="M555" s="13">
        <f>raw_data!J555</f>
        <v>2.78</v>
      </c>
    </row>
    <row r="556" spans="1:13" x14ac:dyDescent="0.2">
      <c r="A556" t="str">
        <f>raw_data!A556</f>
        <v>2017Q2</v>
      </c>
      <c r="B556" t="str">
        <f>raw_data!B556</f>
        <v>Victoria</v>
      </c>
      <c r="C556" t="str">
        <f>raw_data!C556</f>
        <v>Education and Training</v>
      </c>
      <c r="D556">
        <f>raw_data!D556</f>
        <v>3.87</v>
      </c>
      <c r="E556">
        <f>raw_data!E556</f>
        <v>40.380000000000003</v>
      </c>
      <c r="F556">
        <f>raw_data!F556</f>
        <v>3.16</v>
      </c>
      <c r="G556">
        <f>raw_data!G556</f>
        <v>14.61</v>
      </c>
      <c r="H556">
        <f>(raw_data!D556*weights!$B$2)+(raw_data!E556*weights!$B$3)+(raw_data!F556*weights!$B$4)</f>
        <v>14.610000000000001</v>
      </c>
      <c r="I556" t="str">
        <f t="shared" si="16"/>
        <v>Low</v>
      </c>
      <c r="J556" t="str">
        <f t="shared" si="17"/>
        <v>2017 Q2</v>
      </c>
      <c r="K556">
        <f>raw_data!H556</f>
        <v>1.55</v>
      </c>
      <c r="L556" s="13">
        <f>raw_data!I556</f>
        <v>12.12</v>
      </c>
      <c r="M556" s="13">
        <f>raw_data!J556</f>
        <v>0.95</v>
      </c>
    </row>
    <row r="557" spans="1:13" x14ac:dyDescent="0.2">
      <c r="A557" t="str">
        <f>raw_data!A557</f>
        <v>2017Q2</v>
      </c>
      <c r="B557" t="str">
        <f>raw_data!B557</f>
        <v>Victoria</v>
      </c>
      <c r="C557" t="str">
        <f>raw_data!C557</f>
        <v>Health Care and Social Assistance</v>
      </c>
      <c r="D557">
        <f>raw_data!D557</f>
        <v>11.35</v>
      </c>
      <c r="E557">
        <f>raw_data!E557</f>
        <v>44.23</v>
      </c>
      <c r="F557">
        <f>raw_data!F557</f>
        <v>14.54</v>
      </c>
      <c r="G557">
        <f>raw_data!G557</f>
        <v>22.17</v>
      </c>
      <c r="H557">
        <f>(raw_data!D557*weights!$B$2)+(raw_data!E557*weights!$B$3)+(raw_data!F557*weights!$B$4)</f>
        <v>22.170999999999996</v>
      </c>
      <c r="I557" t="str">
        <f t="shared" si="16"/>
        <v>Low</v>
      </c>
      <c r="J557" t="str">
        <f t="shared" si="17"/>
        <v>2017 Q2</v>
      </c>
      <c r="K557">
        <f>raw_data!H557</f>
        <v>4.54</v>
      </c>
      <c r="L557" s="13">
        <f>raw_data!I557</f>
        <v>13.27</v>
      </c>
      <c r="M557" s="13">
        <f>raw_data!J557</f>
        <v>4.3600000000000003</v>
      </c>
    </row>
    <row r="558" spans="1:13" x14ac:dyDescent="0.2">
      <c r="A558" t="str">
        <f>raw_data!A558</f>
        <v>2017Q2</v>
      </c>
      <c r="B558" t="str">
        <f>raw_data!B558</f>
        <v>Victoria</v>
      </c>
      <c r="C558" t="str">
        <f>raw_data!C558</f>
        <v>Manufacturing</v>
      </c>
      <c r="D558">
        <f>raw_data!D558</f>
        <v>7.15</v>
      </c>
      <c r="E558">
        <f>raw_data!E558</f>
        <v>32.69</v>
      </c>
      <c r="F558">
        <f>raw_data!F558</f>
        <v>4.2300000000000004</v>
      </c>
      <c r="G558">
        <f>raw_data!G558</f>
        <v>13.94</v>
      </c>
      <c r="H558">
        <f>(raw_data!D558*weights!$B$2)+(raw_data!E558*weights!$B$3)+(raw_data!F558*weights!$B$4)</f>
        <v>13.935999999999998</v>
      </c>
      <c r="I558" t="str">
        <f t="shared" si="16"/>
        <v>Low</v>
      </c>
      <c r="J558" t="str">
        <f t="shared" si="17"/>
        <v>2017 Q2</v>
      </c>
      <c r="K558">
        <f>raw_data!H558</f>
        <v>2.86</v>
      </c>
      <c r="L558" s="13">
        <f>raw_data!I558</f>
        <v>9.81</v>
      </c>
      <c r="M558" s="13">
        <f>raw_data!J558</f>
        <v>1.27</v>
      </c>
    </row>
    <row r="559" spans="1:13" x14ac:dyDescent="0.2">
      <c r="A559" t="str">
        <f>raw_data!A559</f>
        <v>2017Q2</v>
      </c>
      <c r="B559" t="str">
        <f>raw_data!B559</f>
        <v>Victoria</v>
      </c>
      <c r="C559" t="str">
        <f>raw_data!C559</f>
        <v>Professional, Scientific and Technical Services</v>
      </c>
      <c r="D559">
        <f>raw_data!D559</f>
        <v>18.11</v>
      </c>
      <c r="E559">
        <f>raw_data!E559</f>
        <v>23.08</v>
      </c>
      <c r="F559">
        <f>raw_data!F559</f>
        <v>10.53</v>
      </c>
      <c r="G559">
        <f>raw_data!G559</f>
        <v>17.329999999999998</v>
      </c>
      <c r="H559">
        <f>(raw_data!D559*weights!$B$2)+(raw_data!E559*weights!$B$3)+(raw_data!F559*weights!$B$4)</f>
        <v>17.326999999999998</v>
      </c>
      <c r="I559" t="str">
        <f t="shared" si="16"/>
        <v>Low</v>
      </c>
      <c r="J559" t="str">
        <f t="shared" si="17"/>
        <v>2017 Q2</v>
      </c>
      <c r="K559">
        <f>raw_data!H559</f>
        <v>7.25</v>
      </c>
      <c r="L559" s="13">
        <f>raw_data!I559</f>
        <v>6.92</v>
      </c>
      <c r="M559" s="13">
        <f>raw_data!J559</f>
        <v>3.16</v>
      </c>
    </row>
    <row r="560" spans="1:13" x14ac:dyDescent="0.2">
      <c r="A560" t="str">
        <f>raw_data!A560</f>
        <v>2017Q3</v>
      </c>
      <c r="B560" t="str">
        <f>raw_data!B560</f>
        <v>New South Wales</v>
      </c>
      <c r="C560" t="str">
        <f>raw_data!C560</f>
        <v>Accommodation and Food Services</v>
      </c>
      <c r="D560">
        <f>raw_data!D560</f>
        <v>21.04</v>
      </c>
      <c r="E560">
        <f>raw_data!E560</f>
        <v>36.54</v>
      </c>
      <c r="F560">
        <f>raw_data!F560</f>
        <v>4.05</v>
      </c>
      <c r="G560">
        <f>raw_data!G560</f>
        <v>20.6</v>
      </c>
      <c r="H560">
        <f>(raw_data!D560*weights!$B$2)+(raw_data!E560*weights!$B$3)+(raw_data!F560*weights!$B$4)</f>
        <v>20.593</v>
      </c>
      <c r="I560" t="str">
        <f t="shared" si="16"/>
        <v>Low</v>
      </c>
      <c r="J560" t="str">
        <f t="shared" si="17"/>
        <v>2017 Q3</v>
      </c>
      <c r="K560">
        <f>raw_data!H560</f>
        <v>8.42</v>
      </c>
      <c r="L560" s="13">
        <f>raw_data!I560</f>
        <v>10.96</v>
      </c>
      <c r="M560" s="13">
        <f>raw_data!J560</f>
        <v>1.22</v>
      </c>
    </row>
    <row r="561" spans="1:13" x14ac:dyDescent="0.2">
      <c r="A561" t="str">
        <f>raw_data!A561</f>
        <v>2017Q3</v>
      </c>
      <c r="B561" t="str">
        <f>raw_data!B561</f>
        <v>New South Wales</v>
      </c>
      <c r="C561" t="str">
        <f>raw_data!C561</f>
        <v>Construction</v>
      </c>
      <c r="D561">
        <f>raw_data!D561</f>
        <v>8.52</v>
      </c>
      <c r="E561">
        <f>raw_data!E561</f>
        <v>28.85</v>
      </c>
      <c r="F561">
        <f>raw_data!F561</f>
        <v>4.59</v>
      </c>
      <c r="G561">
        <f>raw_data!G561</f>
        <v>13.44</v>
      </c>
      <c r="H561">
        <f>(raw_data!D561*weights!$B$2)+(raw_data!E561*weights!$B$3)+(raw_data!F561*weights!$B$4)</f>
        <v>13.44</v>
      </c>
      <c r="I561" t="str">
        <f t="shared" si="16"/>
        <v>Low</v>
      </c>
      <c r="J561" t="str">
        <f t="shared" si="17"/>
        <v>2017 Q3</v>
      </c>
      <c r="K561">
        <f>raw_data!H561</f>
        <v>3.41</v>
      </c>
      <c r="L561" s="13">
        <f>raw_data!I561</f>
        <v>8.65</v>
      </c>
      <c r="M561" s="13">
        <f>raw_data!J561</f>
        <v>1.38</v>
      </c>
    </row>
    <row r="562" spans="1:13" x14ac:dyDescent="0.2">
      <c r="A562" t="str">
        <f>raw_data!A562</f>
        <v>2017Q3</v>
      </c>
      <c r="B562" t="str">
        <f>raw_data!B562</f>
        <v>New South Wales</v>
      </c>
      <c r="C562" t="str">
        <f>raw_data!C562</f>
        <v>Education and Training</v>
      </c>
      <c r="D562">
        <f>raw_data!D562</f>
        <v>4.09</v>
      </c>
      <c r="E562">
        <f>raw_data!E562</f>
        <v>40.380000000000003</v>
      </c>
      <c r="F562">
        <f>raw_data!F562</f>
        <v>6.41</v>
      </c>
      <c r="G562">
        <f>raw_data!G562</f>
        <v>15.67</v>
      </c>
      <c r="H562">
        <f>(raw_data!D562*weights!$B$2)+(raw_data!E562*weights!$B$3)+(raw_data!F562*weights!$B$4)</f>
        <v>15.673</v>
      </c>
      <c r="I562" t="str">
        <f t="shared" si="16"/>
        <v>Low</v>
      </c>
      <c r="J562" t="str">
        <f t="shared" si="17"/>
        <v>2017 Q3</v>
      </c>
      <c r="K562">
        <f>raw_data!H562</f>
        <v>1.63</v>
      </c>
      <c r="L562" s="13">
        <f>raw_data!I562</f>
        <v>12.12</v>
      </c>
      <c r="M562" s="13">
        <f>raw_data!J562</f>
        <v>1.92</v>
      </c>
    </row>
    <row r="563" spans="1:13" x14ac:dyDescent="0.2">
      <c r="A563" t="str">
        <f>raw_data!A563</f>
        <v>2017Q3</v>
      </c>
      <c r="B563" t="str">
        <f>raw_data!B563</f>
        <v>New South Wales</v>
      </c>
      <c r="C563" t="str">
        <f>raw_data!C563</f>
        <v>Health Care and Social Assistance</v>
      </c>
      <c r="D563">
        <f>raw_data!D563</f>
        <v>10.99</v>
      </c>
      <c r="E563">
        <f>raw_data!E563</f>
        <v>46.15</v>
      </c>
      <c r="F563">
        <f>raw_data!F563</f>
        <v>16.690000000000001</v>
      </c>
      <c r="G563">
        <f>raw_data!G563</f>
        <v>23.25</v>
      </c>
      <c r="H563">
        <f>(raw_data!D563*weights!$B$2)+(raw_data!E563*weights!$B$3)+(raw_data!F563*weights!$B$4)</f>
        <v>23.248000000000001</v>
      </c>
      <c r="I563" t="str">
        <f t="shared" si="16"/>
        <v>Low</v>
      </c>
      <c r="J563" t="str">
        <f t="shared" si="17"/>
        <v>2017 Q3</v>
      </c>
      <c r="K563">
        <f>raw_data!H563</f>
        <v>4.4000000000000004</v>
      </c>
      <c r="L563" s="13">
        <f>raw_data!I563</f>
        <v>13.85</v>
      </c>
      <c r="M563" s="13">
        <f>raw_data!J563</f>
        <v>5.01</v>
      </c>
    </row>
    <row r="564" spans="1:13" x14ac:dyDescent="0.2">
      <c r="A564" t="str">
        <f>raw_data!A564</f>
        <v>2017Q3</v>
      </c>
      <c r="B564" t="str">
        <f>raw_data!B564</f>
        <v>New South Wales</v>
      </c>
      <c r="C564" t="str">
        <f>raw_data!C564</f>
        <v>Manufacturing</v>
      </c>
      <c r="D564">
        <f>raw_data!D564</f>
        <v>9.89</v>
      </c>
      <c r="E564">
        <f>raw_data!E564</f>
        <v>36.54</v>
      </c>
      <c r="F564">
        <f>raw_data!F564</f>
        <v>8.16</v>
      </c>
      <c r="G564">
        <f>raw_data!G564</f>
        <v>17.37</v>
      </c>
      <c r="H564">
        <f>(raw_data!D564*weights!$B$2)+(raw_data!E564*weights!$B$3)+(raw_data!F564*weights!$B$4)</f>
        <v>17.366</v>
      </c>
      <c r="I564" t="str">
        <f t="shared" si="16"/>
        <v>Low</v>
      </c>
      <c r="J564" t="str">
        <f t="shared" si="17"/>
        <v>2017 Q3</v>
      </c>
      <c r="K564">
        <f>raw_data!H564</f>
        <v>3.96</v>
      </c>
      <c r="L564" s="13">
        <f>raw_data!I564</f>
        <v>10.96</v>
      </c>
      <c r="M564" s="13">
        <f>raw_data!J564</f>
        <v>2.4500000000000002</v>
      </c>
    </row>
    <row r="565" spans="1:13" x14ac:dyDescent="0.2">
      <c r="A565" t="str">
        <f>raw_data!A565</f>
        <v>2017Q3</v>
      </c>
      <c r="B565" t="str">
        <f>raw_data!B565</f>
        <v>New South Wales</v>
      </c>
      <c r="C565" t="str">
        <f>raw_data!C565</f>
        <v>Professional, Scientific and Technical Services</v>
      </c>
      <c r="D565">
        <f>raw_data!D565</f>
        <v>15.8</v>
      </c>
      <c r="E565">
        <f>raw_data!E565</f>
        <v>23.08</v>
      </c>
      <c r="F565">
        <f>raw_data!F565</f>
        <v>12.77</v>
      </c>
      <c r="G565">
        <f>raw_data!G565</f>
        <v>17.07</v>
      </c>
      <c r="H565">
        <f>(raw_data!D565*weights!$B$2)+(raw_data!E565*weights!$B$3)+(raw_data!F565*weights!$B$4)</f>
        <v>17.074999999999999</v>
      </c>
      <c r="I565" t="str">
        <f t="shared" si="16"/>
        <v>Low</v>
      </c>
      <c r="J565" t="str">
        <f t="shared" si="17"/>
        <v>2017 Q3</v>
      </c>
      <c r="K565">
        <f>raw_data!H565</f>
        <v>6.32</v>
      </c>
      <c r="L565" s="13">
        <f>raw_data!I565</f>
        <v>6.92</v>
      </c>
      <c r="M565" s="13">
        <f>raw_data!J565</f>
        <v>3.83</v>
      </c>
    </row>
    <row r="566" spans="1:13" x14ac:dyDescent="0.2">
      <c r="A566" t="str">
        <f>raw_data!A566</f>
        <v>2017Q3</v>
      </c>
      <c r="B566" t="str">
        <f>raw_data!B566</f>
        <v>Queensland</v>
      </c>
      <c r="C566" t="str">
        <f>raw_data!C566</f>
        <v>Accommodation and Food Services</v>
      </c>
      <c r="D566">
        <f>raw_data!D566</f>
        <v>30.39</v>
      </c>
      <c r="E566">
        <f>raw_data!E566</f>
        <v>36.54</v>
      </c>
      <c r="F566">
        <f>raw_data!F566</f>
        <v>10.029999999999999</v>
      </c>
      <c r="G566">
        <f>raw_data!G566</f>
        <v>26.13</v>
      </c>
      <c r="H566">
        <f>(raw_data!D566*weights!$B$2)+(raw_data!E566*weights!$B$3)+(raw_data!F566*weights!$B$4)</f>
        <v>26.127000000000002</v>
      </c>
      <c r="I566" t="str">
        <f t="shared" si="16"/>
        <v>Moderate</v>
      </c>
      <c r="J566" t="str">
        <f t="shared" si="17"/>
        <v>2017 Q3</v>
      </c>
      <c r="K566">
        <f>raw_data!H566</f>
        <v>12.16</v>
      </c>
      <c r="L566" s="13">
        <f>raw_data!I566</f>
        <v>10.96</v>
      </c>
      <c r="M566" s="13">
        <f>raw_data!J566</f>
        <v>3.01</v>
      </c>
    </row>
    <row r="567" spans="1:13" x14ac:dyDescent="0.2">
      <c r="A567" t="str">
        <f>raw_data!A567</f>
        <v>2017Q3</v>
      </c>
      <c r="B567" t="str">
        <f>raw_data!B567</f>
        <v>Queensland</v>
      </c>
      <c r="C567" t="str">
        <f>raw_data!C567</f>
        <v>Construction</v>
      </c>
      <c r="D567">
        <f>raw_data!D567</f>
        <v>13.53</v>
      </c>
      <c r="E567">
        <f>raw_data!E567</f>
        <v>28.85</v>
      </c>
      <c r="F567">
        <f>raw_data!F567</f>
        <v>7.84</v>
      </c>
      <c r="G567">
        <f>raw_data!G567</f>
        <v>16.420000000000002</v>
      </c>
      <c r="H567">
        <f>(raw_data!D567*weights!$B$2)+(raw_data!E567*weights!$B$3)+(raw_data!F567*weights!$B$4)</f>
        <v>16.419</v>
      </c>
      <c r="I567" t="str">
        <f t="shared" si="16"/>
        <v>Low</v>
      </c>
      <c r="J567" t="str">
        <f t="shared" si="17"/>
        <v>2017 Q3</v>
      </c>
      <c r="K567">
        <f>raw_data!H567</f>
        <v>5.41</v>
      </c>
      <c r="L567" s="13">
        <f>raw_data!I567</f>
        <v>8.65</v>
      </c>
      <c r="M567" s="13">
        <f>raw_data!J567</f>
        <v>2.35</v>
      </c>
    </row>
    <row r="568" spans="1:13" x14ac:dyDescent="0.2">
      <c r="A568" t="str">
        <f>raw_data!A568</f>
        <v>2017Q3</v>
      </c>
      <c r="B568" t="str">
        <f>raw_data!B568</f>
        <v>Queensland</v>
      </c>
      <c r="C568" t="str">
        <f>raw_data!C568</f>
        <v>Education and Training</v>
      </c>
      <c r="D568">
        <f>raw_data!D568</f>
        <v>7.4</v>
      </c>
      <c r="E568">
        <f>raw_data!E568</f>
        <v>40.380000000000003</v>
      </c>
      <c r="F568">
        <f>raw_data!F568</f>
        <v>5.87</v>
      </c>
      <c r="G568">
        <f>raw_data!G568</f>
        <v>16.84</v>
      </c>
      <c r="H568">
        <f>(raw_data!D568*weights!$B$2)+(raw_data!E568*weights!$B$3)+(raw_data!F568*weights!$B$4)</f>
        <v>16.835000000000001</v>
      </c>
      <c r="I568" t="str">
        <f t="shared" si="16"/>
        <v>Low</v>
      </c>
      <c r="J568" t="str">
        <f t="shared" si="17"/>
        <v>2017 Q3</v>
      </c>
      <c r="K568">
        <f>raw_data!H568</f>
        <v>2.96</v>
      </c>
      <c r="L568" s="13">
        <f>raw_data!I568</f>
        <v>12.12</v>
      </c>
      <c r="M568" s="13">
        <f>raw_data!J568</f>
        <v>1.76</v>
      </c>
    </row>
    <row r="569" spans="1:13" x14ac:dyDescent="0.2">
      <c r="A569" t="str">
        <f>raw_data!A569</f>
        <v>2017Q3</v>
      </c>
      <c r="B569" t="str">
        <f>raw_data!B569</f>
        <v>Queensland</v>
      </c>
      <c r="C569" t="str">
        <f>raw_data!C569</f>
        <v>Health Care and Social Assistance</v>
      </c>
      <c r="D569">
        <f>raw_data!D569</f>
        <v>17.46</v>
      </c>
      <c r="E569">
        <f>raw_data!E569</f>
        <v>46.15</v>
      </c>
      <c r="F569">
        <f>raw_data!F569</f>
        <v>12.14</v>
      </c>
      <c r="G569">
        <f>raw_data!G569</f>
        <v>24.47</v>
      </c>
      <c r="H569">
        <f>(raw_data!D569*weights!$B$2)+(raw_data!E569*weights!$B$3)+(raw_data!F569*weights!$B$4)</f>
        <v>24.471</v>
      </c>
      <c r="I569" t="str">
        <f t="shared" si="16"/>
        <v>Low</v>
      </c>
      <c r="J569" t="str">
        <f t="shared" si="17"/>
        <v>2017 Q3</v>
      </c>
      <c r="K569">
        <f>raw_data!H569</f>
        <v>6.99</v>
      </c>
      <c r="L569" s="13">
        <f>raw_data!I569</f>
        <v>13.85</v>
      </c>
      <c r="M569" s="13">
        <f>raw_data!J569</f>
        <v>3.64</v>
      </c>
    </row>
    <row r="570" spans="1:13" x14ac:dyDescent="0.2">
      <c r="A570" t="str">
        <f>raw_data!A570</f>
        <v>2017Q3</v>
      </c>
      <c r="B570" t="str">
        <f>raw_data!B570</f>
        <v>Queensland</v>
      </c>
      <c r="C570" t="str">
        <f>raw_data!C570</f>
        <v>Manufacturing</v>
      </c>
      <c r="D570">
        <f>raw_data!D570</f>
        <v>17.760000000000002</v>
      </c>
      <c r="E570">
        <f>raw_data!E570</f>
        <v>36.54</v>
      </c>
      <c r="F570">
        <f>raw_data!F570</f>
        <v>15.94</v>
      </c>
      <c r="G570">
        <f>raw_data!G570</f>
        <v>22.85</v>
      </c>
      <c r="H570">
        <f>(raw_data!D570*weights!$B$2)+(raw_data!E570*weights!$B$3)+(raw_data!F570*weights!$B$4)</f>
        <v>22.848000000000003</v>
      </c>
      <c r="I570" t="str">
        <f t="shared" si="16"/>
        <v>Low</v>
      </c>
      <c r="J570" t="str">
        <f t="shared" si="17"/>
        <v>2017 Q3</v>
      </c>
      <c r="K570">
        <f>raw_data!H570</f>
        <v>7.1</v>
      </c>
      <c r="L570" s="13">
        <f>raw_data!I570</f>
        <v>10.96</v>
      </c>
      <c r="M570" s="13">
        <f>raw_data!J570</f>
        <v>4.78</v>
      </c>
    </row>
    <row r="571" spans="1:13" x14ac:dyDescent="0.2">
      <c r="A571" t="str">
        <f>raw_data!A571</f>
        <v>2017Q3</v>
      </c>
      <c r="B571" t="str">
        <f>raw_data!B571</f>
        <v>Queensland</v>
      </c>
      <c r="C571" t="str">
        <f>raw_data!C571</f>
        <v>Professional, Scientific and Technical Services</v>
      </c>
      <c r="D571">
        <f>raw_data!D571</f>
        <v>37.9</v>
      </c>
      <c r="E571">
        <f>raw_data!E571</f>
        <v>23.08</v>
      </c>
      <c r="F571">
        <f>raw_data!F571</f>
        <v>25.26</v>
      </c>
      <c r="G571">
        <f>raw_data!G571</f>
        <v>29.66</v>
      </c>
      <c r="H571">
        <f>(raw_data!D571*weights!$B$2)+(raw_data!E571*weights!$B$3)+(raw_data!F571*weights!$B$4)</f>
        <v>29.661999999999999</v>
      </c>
      <c r="I571" t="str">
        <f t="shared" si="16"/>
        <v>Moderate</v>
      </c>
      <c r="J571" t="str">
        <f t="shared" si="17"/>
        <v>2017 Q3</v>
      </c>
      <c r="K571">
        <f>raw_data!H571</f>
        <v>15.16</v>
      </c>
      <c r="L571" s="13">
        <f>raw_data!I571</f>
        <v>6.92</v>
      </c>
      <c r="M571" s="13">
        <f>raw_data!J571</f>
        <v>7.58</v>
      </c>
    </row>
    <row r="572" spans="1:13" x14ac:dyDescent="0.2">
      <c r="A572" t="str">
        <f>raw_data!A572</f>
        <v>2017Q3</v>
      </c>
      <c r="B572" t="str">
        <f>raw_data!B572</f>
        <v>Victoria</v>
      </c>
      <c r="C572" t="str">
        <f>raw_data!C572</f>
        <v>Accommodation and Food Services</v>
      </c>
      <c r="D572">
        <f>raw_data!D572</f>
        <v>24.82</v>
      </c>
      <c r="E572">
        <f>raw_data!E572</f>
        <v>36.54</v>
      </c>
      <c r="F572">
        <f>raw_data!F572</f>
        <v>5.0599999999999996</v>
      </c>
      <c r="G572">
        <f>raw_data!G572</f>
        <v>22.41</v>
      </c>
      <c r="H572">
        <f>(raw_data!D572*weights!$B$2)+(raw_data!E572*weights!$B$3)+(raw_data!F572*weights!$B$4)</f>
        <v>22.408000000000001</v>
      </c>
      <c r="I572" t="str">
        <f t="shared" si="16"/>
        <v>Low</v>
      </c>
      <c r="J572" t="str">
        <f t="shared" si="17"/>
        <v>2017 Q3</v>
      </c>
      <c r="K572">
        <f>raw_data!H572</f>
        <v>9.93</v>
      </c>
      <c r="L572" s="13">
        <f>raw_data!I572</f>
        <v>10.96</v>
      </c>
      <c r="M572" s="13">
        <f>raw_data!J572</f>
        <v>1.52</v>
      </c>
    </row>
    <row r="573" spans="1:13" x14ac:dyDescent="0.2">
      <c r="A573" t="str">
        <f>raw_data!A573</f>
        <v>2017Q3</v>
      </c>
      <c r="B573" t="str">
        <f>raw_data!B573</f>
        <v>Victoria</v>
      </c>
      <c r="C573" t="str">
        <f>raw_data!C573</f>
        <v>Construction</v>
      </c>
      <c r="D573">
        <f>raw_data!D573</f>
        <v>11.24</v>
      </c>
      <c r="E573">
        <f>raw_data!E573</f>
        <v>28.85</v>
      </c>
      <c r="F573">
        <f>raw_data!F573</f>
        <v>7.27</v>
      </c>
      <c r="G573">
        <f>raw_data!G573</f>
        <v>15.33</v>
      </c>
      <c r="H573">
        <f>(raw_data!D573*weights!$B$2)+(raw_data!E573*weights!$B$3)+(raw_data!F573*weights!$B$4)</f>
        <v>15.331999999999999</v>
      </c>
      <c r="I573" t="str">
        <f t="shared" si="16"/>
        <v>Low</v>
      </c>
      <c r="J573" t="str">
        <f t="shared" si="17"/>
        <v>2017 Q3</v>
      </c>
      <c r="K573">
        <f>raw_data!H573</f>
        <v>4.5</v>
      </c>
      <c r="L573" s="13">
        <f>raw_data!I573</f>
        <v>8.65</v>
      </c>
      <c r="M573" s="13">
        <f>raw_data!J573</f>
        <v>2.1800000000000002</v>
      </c>
    </row>
    <row r="574" spans="1:13" x14ac:dyDescent="0.2">
      <c r="A574" t="str">
        <f>raw_data!A574</f>
        <v>2017Q3</v>
      </c>
      <c r="B574" t="str">
        <f>raw_data!B574</f>
        <v>Victoria</v>
      </c>
      <c r="C574" t="str">
        <f>raw_data!C574</f>
        <v>Education and Training</v>
      </c>
      <c r="D574">
        <f>raw_data!D574</f>
        <v>5.66</v>
      </c>
      <c r="E574">
        <f>raw_data!E574</f>
        <v>40.380000000000003</v>
      </c>
      <c r="F574">
        <f>raw_data!F574</f>
        <v>5.04</v>
      </c>
      <c r="G574">
        <f>raw_data!G574</f>
        <v>15.89</v>
      </c>
      <c r="H574">
        <f>(raw_data!D574*weights!$B$2)+(raw_data!E574*weights!$B$3)+(raw_data!F574*weights!$B$4)</f>
        <v>15.89</v>
      </c>
      <c r="I574" t="str">
        <f t="shared" si="16"/>
        <v>Low</v>
      </c>
      <c r="J574" t="str">
        <f t="shared" si="17"/>
        <v>2017 Q3</v>
      </c>
      <c r="K574">
        <f>raw_data!H574</f>
        <v>2.2599999999999998</v>
      </c>
      <c r="L574" s="13">
        <f>raw_data!I574</f>
        <v>12.12</v>
      </c>
      <c r="M574" s="13">
        <f>raw_data!J574</f>
        <v>1.51</v>
      </c>
    </row>
    <row r="575" spans="1:13" x14ac:dyDescent="0.2">
      <c r="A575" t="str">
        <f>raw_data!A575</f>
        <v>2017Q3</v>
      </c>
      <c r="B575" t="str">
        <f>raw_data!B575</f>
        <v>Victoria</v>
      </c>
      <c r="C575" t="str">
        <f>raw_data!C575</f>
        <v>Health Care and Social Assistance</v>
      </c>
      <c r="D575">
        <f>raw_data!D575</f>
        <v>13.75</v>
      </c>
      <c r="E575">
        <f>raw_data!E575</f>
        <v>46.15</v>
      </c>
      <c r="F575">
        <f>raw_data!F575</f>
        <v>18.89</v>
      </c>
      <c r="G575">
        <f>raw_data!G575</f>
        <v>25.01</v>
      </c>
      <c r="H575">
        <f>(raw_data!D575*weights!$B$2)+(raw_data!E575*weights!$B$3)+(raw_data!F575*weights!$B$4)</f>
        <v>25.012</v>
      </c>
      <c r="I575" t="str">
        <f t="shared" si="16"/>
        <v>Moderate</v>
      </c>
      <c r="J575" t="str">
        <f t="shared" si="17"/>
        <v>2017 Q3</v>
      </c>
      <c r="K575">
        <f>raw_data!H575</f>
        <v>5.5</v>
      </c>
      <c r="L575" s="13">
        <f>raw_data!I575</f>
        <v>13.85</v>
      </c>
      <c r="M575" s="13">
        <f>raw_data!J575</f>
        <v>5.67</v>
      </c>
    </row>
    <row r="576" spans="1:13" x14ac:dyDescent="0.2">
      <c r="A576" t="str">
        <f>raw_data!A576</f>
        <v>2017Q3</v>
      </c>
      <c r="B576" t="str">
        <f>raw_data!B576</f>
        <v>Victoria</v>
      </c>
      <c r="C576" t="str">
        <f>raw_data!C576</f>
        <v>Manufacturing</v>
      </c>
      <c r="D576">
        <f>raw_data!D576</f>
        <v>8.9499999999999993</v>
      </c>
      <c r="E576">
        <f>raw_data!E576</f>
        <v>36.54</v>
      </c>
      <c r="F576">
        <f>raw_data!F576</f>
        <v>3.9</v>
      </c>
      <c r="G576">
        <f>raw_data!G576</f>
        <v>15.71</v>
      </c>
      <c r="H576">
        <f>(raw_data!D576*weights!$B$2)+(raw_data!E576*weights!$B$3)+(raw_data!F576*weights!$B$4)</f>
        <v>15.712</v>
      </c>
      <c r="I576" t="str">
        <f t="shared" si="16"/>
        <v>Low</v>
      </c>
      <c r="J576" t="str">
        <f t="shared" si="17"/>
        <v>2017 Q3</v>
      </c>
      <c r="K576">
        <f>raw_data!H576</f>
        <v>3.58</v>
      </c>
      <c r="L576" s="13">
        <f>raw_data!I576</f>
        <v>10.96</v>
      </c>
      <c r="M576" s="13">
        <f>raw_data!J576</f>
        <v>1.17</v>
      </c>
    </row>
    <row r="577" spans="1:13" x14ac:dyDescent="0.2">
      <c r="A577" t="str">
        <f>raw_data!A577</f>
        <v>2017Q3</v>
      </c>
      <c r="B577" t="str">
        <f>raw_data!B577</f>
        <v>Victoria</v>
      </c>
      <c r="C577" t="str">
        <f>raw_data!C577</f>
        <v>Professional, Scientific and Technical Services</v>
      </c>
      <c r="D577">
        <f>raw_data!D577</f>
        <v>22.01</v>
      </c>
      <c r="E577">
        <f>raw_data!E577</f>
        <v>23.08</v>
      </c>
      <c r="F577">
        <f>raw_data!F577</f>
        <v>11.59</v>
      </c>
      <c r="G577">
        <f>raw_data!G577</f>
        <v>19.2</v>
      </c>
      <c r="H577">
        <f>(raw_data!D577*weights!$B$2)+(raw_data!E577*weights!$B$3)+(raw_data!F577*weights!$B$4)</f>
        <v>19.204999999999998</v>
      </c>
      <c r="I577" t="str">
        <f t="shared" si="16"/>
        <v>Low</v>
      </c>
      <c r="J577" t="str">
        <f t="shared" si="17"/>
        <v>2017 Q3</v>
      </c>
      <c r="K577">
        <f>raw_data!H577</f>
        <v>8.8000000000000007</v>
      </c>
      <c r="L577" s="13">
        <f>raw_data!I577</f>
        <v>6.92</v>
      </c>
      <c r="M577" s="13">
        <f>raw_data!J577</f>
        <v>3.48</v>
      </c>
    </row>
    <row r="578" spans="1:13" x14ac:dyDescent="0.2">
      <c r="A578" t="str">
        <f>raw_data!A578</f>
        <v>2017Q4</v>
      </c>
      <c r="B578" t="str">
        <f>raw_data!B578</f>
        <v>New South Wales</v>
      </c>
      <c r="C578" t="str">
        <f>raw_data!C578</f>
        <v>Accommodation and Food Services</v>
      </c>
      <c r="D578">
        <f>raw_data!D578</f>
        <v>22.76</v>
      </c>
      <c r="E578">
        <f>raw_data!E578</f>
        <v>32.69</v>
      </c>
      <c r="F578">
        <f>raw_data!F578</f>
        <v>5.51</v>
      </c>
      <c r="G578">
        <f>raw_data!G578</f>
        <v>20.56</v>
      </c>
      <c r="H578">
        <f>(raw_data!D578*weights!$B$2)+(raw_data!E578*weights!$B$3)+(raw_data!F578*weights!$B$4)</f>
        <v>20.564</v>
      </c>
      <c r="I578" t="str">
        <f t="shared" si="16"/>
        <v>Low</v>
      </c>
      <c r="J578" t="str">
        <f t="shared" si="17"/>
        <v>2017 Q4</v>
      </c>
      <c r="K578">
        <f>raw_data!H578</f>
        <v>9.1</v>
      </c>
      <c r="L578" s="13">
        <f>raw_data!I578</f>
        <v>9.81</v>
      </c>
      <c r="M578" s="13">
        <f>raw_data!J578</f>
        <v>1.65</v>
      </c>
    </row>
    <row r="579" spans="1:13" x14ac:dyDescent="0.2">
      <c r="A579" t="str">
        <f>raw_data!A579</f>
        <v>2017Q4</v>
      </c>
      <c r="B579" t="str">
        <f>raw_data!B579</f>
        <v>New South Wales</v>
      </c>
      <c r="C579" t="str">
        <f>raw_data!C579</f>
        <v>Construction</v>
      </c>
      <c r="D579">
        <f>raw_data!D579</f>
        <v>8.19</v>
      </c>
      <c r="E579">
        <f>raw_data!E579</f>
        <v>30.77</v>
      </c>
      <c r="F579">
        <f>raw_data!F579</f>
        <v>4.93</v>
      </c>
      <c r="G579">
        <f>raw_data!G579</f>
        <v>13.99</v>
      </c>
      <c r="H579">
        <f>(raw_data!D579*weights!$B$2)+(raw_data!E579*weights!$B$3)+(raw_data!F579*weights!$B$4)</f>
        <v>13.985999999999999</v>
      </c>
      <c r="I579" t="str">
        <f t="shared" ref="I579:I642" si="18">IF(H579&gt;=60,"Critical",IF(H579&gt;=45,"High",IF(H579&gt;=25,"Moderate","Low")))</f>
        <v>Low</v>
      </c>
      <c r="J579" t="str">
        <f t="shared" ref="J579:J642" si="19">LEFT(A579,4)&amp;" "&amp;RIGHT(A579,2)</f>
        <v>2017 Q4</v>
      </c>
      <c r="K579">
        <f>raw_data!H579</f>
        <v>3.27</v>
      </c>
      <c r="L579" s="13">
        <f>raw_data!I579</f>
        <v>9.23</v>
      </c>
      <c r="M579" s="13">
        <f>raw_data!J579</f>
        <v>1.48</v>
      </c>
    </row>
    <row r="580" spans="1:13" x14ac:dyDescent="0.2">
      <c r="A580" t="str">
        <f>raw_data!A580</f>
        <v>2017Q4</v>
      </c>
      <c r="B580" t="str">
        <f>raw_data!B580</f>
        <v>New South Wales</v>
      </c>
      <c r="C580" t="str">
        <f>raw_data!C580</f>
        <v>Education and Training</v>
      </c>
      <c r="D580">
        <f>raw_data!D580</f>
        <v>2.73</v>
      </c>
      <c r="E580">
        <f>raw_data!E580</f>
        <v>40.380000000000003</v>
      </c>
      <c r="F580">
        <f>raw_data!F580</f>
        <v>4.82</v>
      </c>
      <c r="G580">
        <f>raw_data!G580</f>
        <v>14.65</v>
      </c>
      <c r="H580">
        <f>(raw_data!D580*weights!$B$2)+(raw_data!E580*weights!$B$3)+(raw_data!F580*weights!$B$4)</f>
        <v>14.652000000000001</v>
      </c>
      <c r="I580" t="str">
        <f t="shared" si="18"/>
        <v>Low</v>
      </c>
      <c r="J580" t="str">
        <f t="shared" si="19"/>
        <v>2017 Q4</v>
      </c>
      <c r="K580">
        <f>raw_data!H580</f>
        <v>1.0900000000000001</v>
      </c>
      <c r="L580" s="13">
        <f>raw_data!I580</f>
        <v>12.12</v>
      </c>
      <c r="M580" s="13">
        <f>raw_data!J580</f>
        <v>1.45</v>
      </c>
    </row>
    <row r="581" spans="1:13" x14ac:dyDescent="0.2">
      <c r="A581" t="str">
        <f>raw_data!A581</f>
        <v>2017Q4</v>
      </c>
      <c r="B581" t="str">
        <f>raw_data!B581</f>
        <v>New South Wales</v>
      </c>
      <c r="C581" t="str">
        <f>raw_data!C581</f>
        <v>Health Care and Social Assistance</v>
      </c>
      <c r="D581">
        <f>raw_data!D581</f>
        <v>10.09</v>
      </c>
      <c r="E581">
        <f>raw_data!E581</f>
        <v>48.08</v>
      </c>
      <c r="F581">
        <f>raw_data!F581</f>
        <v>17.690000000000001</v>
      </c>
      <c r="G581">
        <f>raw_data!G581</f>
        <v>23.77</v>
      </c>
      <c r="H581">
        <f>(raw_data!D581*weights!$B$2)+(raw_data!E581*weights!$B$3)+(raw_data!F581*weights!$B$4)</f>
        <v>23.767000000000003</v>
      </c>
      <c r="I581" t="str">
        <f t="shared" si="18"/>
        <v>Low</v>
      </c>
      <c r="J581" t="str">
        <f t="shared" si="19"/>
        <v>2017 Q4</v>
      </c>
      <c r="K581">
        <f>raw_data!H581</f>
        <v>4.04</v>
      </c>
      <c r="L581" s="13">
        <f>raw_data!I581</f>
        <v>14.42</v>
      </c>
      <c r="M581" s="13">
        <f>raw_data!J581</f>
        <v>5.31</v>
      </c>
    </row>
    <row r="582" spans="1:13" x14ac:dyDescent="0.2">
      <c r="A582" t="str">
        <f>raw_data!A582</f>
        <v>2017Q4</v>
      </c>
      <c r="B582" t="str">
        <f>raw_data!B582</f>
        <v>New South Wales</v>
      </c>
      <c r="C582" t="str">
        <f>raw_data!C582</f>
        <v>Manufacturing</v>
      </c>
      <c r="D582">
        <f>raw_data!D582</f>
        <v>11.44</v>
      </c>
      <c r="E582">
        <f>raw_data!E582</f>
        <v>38.46</v>
      </c>
      <c r="F582">
        <f>raw_data!F582</f>
        <v>7.88</v>
      </c>
      <c r="G582">
        <f>raw_data!G582</f>
        <v>18.48</v>
      </c>
      <c r="H582">
        <f>(raw_data!D582*weights!$B$2)+(raw_data!E582*weights!$B$3)+(raw_data!F582*weights!$B$4)</f>
        <v>18.478000000000002</v>
      </c>
      <c r="I582" t="str">
        <f t="shared" si="18"/>
        <v>Low</v>
      </c>
      <c r="J582" t="str">
        <f t="shared" si="19"/>
        <v>2017 Q4</v>
      </c>
      <c r="K582">
        <f>raw_data!H582</f>
        <v>4.58</v>
      </c>
      <c r="L582" s="13">
        <f>raw_data!I582</f>
        <v>11.54</v>
      </c>
      <c r="M582" s="13">
        <f>raw_data!J582</f>
        <v>2.36</v>
      </c>
    </row>
    <row r="583" spans="1:13" x14ac:dyDescent="0.2">
      <c r="A583" t="str">
        <f>raw_data!A583</f>
        <v>2017Q4</v>
      </c>
      <c r="B583" t="str">
        <f>raw_data!B583</f>
        <v>New South Wales</v>
      </c>
      <c r="C583" t="str">
        <f>raw_data!C583</f>
        <v>Professional, Scientific and Technical Services</v>
      </c>
      <c r="D583">
        <f>raw_data!D583</f>
        <v>15.04</v>
      </c>
      <c r="E583">
        <f>raw_data!E583</f>
        <v>30.77</v>
      </c>
      <c r="F583">
        <f>raw_data!F583</f>
        <v>14.6</v>
      </c>
      <c r="G583">
        <f>raw_data!G583</f>
        <v>19.62</v>
      </c>
      <c r="H583">
        <f>(raw_data!D583*weights!$B$2)+(raw_data!E583*weights!$B$3)+(raw_data!F583*weights!$B$4)</f>
        <v>19.626999999999999</v>
      </c>
      <c r="I583" t="str">
        <f t="shared" si="18"/>
        <v>Low</v>
      </c>
      <c r="J583" t="str">
        <f t="shared" si="19"/>
        <v>2017 Q4</v>
      </c>
      <c r="K583">
        <f>raw_data!H583</f>
        <v>6.01</v>
      </c>
      <c r="L583" s="13">
        <f>raw_data!I583</f>
        <v>9.23</v>
      </c>
      <c r="M583" s="13">
        <f>raw_data!J583</f>
        <v>4.38</v>
      </c>
    </row>
    <row r="584" spans="1:13" x14ac:dyDescent="0.2">
      <c r="A584" t="str">
        <f>raw_data!A584</f>
        <v>2017Q4</v>
      </c>
      <c r="B584" t="str">
        <f>raw_data!B584</f>
        <v>Queensland</v>
      </c>
      <c r="C584" t="str">
        <f>raw_data!C584</f>
        <v>Accommodation and Food Services</v>
      </c>
      <c r="D584">
        <f>raw_data!D584</f>
        <v>32.35</v>
      </c>
      <c r="E584">
        <f>raw_data!E584</f>
        <v>32.69</v>
      </c>
      <c r="F584">
        <f>raw_data!F584</f>
        <v>7.15</v>
      </c>
      <c r="G584">
        <f>raw_data!G584</f>
        <v>24.89</v>
      </c>
      <c r="H584">
        <f>(raw_data!D584*weights!$B$2)+(raw_data!E584*weights!$B$3)+(raw_data!F584*weights!$B$4)</f>
        <v>24.891999999999999</v>
      </c>
      <c r="I584" t="str">
        <f t="shared" si="18"/>
        <v>Low</v>
      </c>
      <c r="J584" t="str">
        <f t="shared" si="19"/>
        <v>2017 Q4</v>
      </c>
      <c r="K584">
        <f>raw_data!H584</f>
        <v>12.94</v>
      </c>
      <c r="L584" s="13">
        <f>raw_data!I584</f>
        <v>9.81</v>
      </c>
      <c r="M584" s="13">
        <f>raw_data!J584</f>
        <v>2.15</v>
      </c>
    </row>
    <row r="585" spans="1:13" x14ac:dyDescent="0.2">
      <c r="A585" t="str">
        <f>raw_data!A585</f>
        <v>2017Q4</v>
      </c>
      <c r="B585" t="str">
        <f>raw_data!B585</f>
        <v>Queensland</v>
      </c>
      <c r="C585" t="str">
        <f>raw_data!C585</f>
        <v>Construction</v>
      </c>
      <c r="D585">
        <f>raw_data!D585</f>
        <v>14.41</v>
      </c>
      <c r="E585">
        <f>raw_data!E585</f>
        <v>30.77</v>
      </c>
      <c r="F585">
        <f>raw_data!F585</f>
        <v>7.06</v>
      </c>
      <c r="G585">
        <f>raw_data!G585</f>
        <v>17.11</v>
      </c>
      <c r="H585">
        <f>(raw_data!D585*weights!$B$2)+(raw_data!E585*weights!$B$3)+(raw_data!F585*weights!$B$4)</f>
        <v>17.113</v>
      </c>
      <c r="I585" t="str">
        <f t="shared" si="18"/>
        <v>Low</v>
      </c>
      <c r="J585" t="str">
        <f t="shared" si="19"/>
        <v>2017 Q4</v>
      </c>
      <c r="K585">
        <f>raw_data!H585</f>
        <v>5.76</v>
      </c>
      <c r="L585" s="13">
        <f>raw_data!I585</f>
        <v>9.23</v>
      </c>
      <c r="M585" s="13">
        <f>raw_data!J585</f>
        <v>2.12</v>
      </c>
    </row>
    <row r="586" spans="1:13" x14ac:dyDescent="0.2">
      <c r="A586" t="str">
        <f>raw_data!A586</f>
        <v>2017Q4</v>
      </c>
      <c r="B586" t="str">
        <f>raw_data!B586</f>
        <v>Queensland</v>
      </c>
      <c r="C586" t="str">
        <f>raw_data!C586</f>
        <v>Education and Training</v>
      </c>
      <c r="D586">
        <f>raw_data!D586</f>
        <v>6.03</v>
      </c>
      <c r="E586">
        <f>raw_data!E586</f>
        <v>40.380000000000003</v>
      </c>
      <c r="F586">
        <f>raw_data!F586</f>
        <v>5.57</v>
      </c>
      <c r="G586">
        <f>raw_data!G586</f>
        <v>16.2</v>
      </c>
      <c r="H586">
        <f>(raw_data!D586*weights!$B$2)+(raw_data!E586*weights!$B$3)+(raw_data!F586*weights!$B$4)</f>
        <v>16.197000000000003</v>
      </c>
      <c r="I586" t="str">
        <f t="shared" si="18"/>
        <v>Low</v>
      </c>
      <c r="J586" t="str">
        <f t="shared" si="19"/>
        <v>2017 Q4</v>
      </c>
      <c r="K586">
        <f>raw_data!H586</f>
        <v>2.41</v>
      </c>
      <c r="L586" s="13">
        <f>raw_data!I586</f>
        <v>12.12</v>
      </c>
      <c r="M586" s="13">
        <f>raw_data!J586</f>
        <v>1.67</v>
      </c>
    </row>
    <row r="587" spans="1:13" x14ac:dyDescent="0.2">
      <c r="A587" t="str">
        <f>raw_data!A587</f>
        <v>2017Q4</v>
      </c>
      <c r="B587" t="str">
        <f>raw_data!B587</f>
        <v>Queensland</v>
      </c>
      <c r="C587" t="str">
        <f>raw_data!C587</f>
        <v>Health Care and Social Assistance</v>
      </c>
      <c r="D587">
        <f>raw_data!D587</f>
        <v>16.809999999999999</v>
      </c>
      <c r="E587">
        <f>raw_data!E587</f>
        <v>48.08</v>
      </c>
      <c r="F587">
        <f>raw_data!F587</f>
        <v>15.74</v>
      </c>
      <c r="G587">
        <f>raw_data!G587</f>
        <v>25.87</v>
      </c>
      <c r="H587">
        <f>(raw_data!D587*weights!$B$2)+(raw_data!E587*weights!$B$3)+(raw_data!F587*weights!$B$4)</f>
        <v>25.869999999999997</v>
      </c>
      <c r="I587" t="str">
        <f t="shared" si="18"/>
        <v>Moderate</v>
      </c>
      <c r="J587" t="str">
        <f t="shared" si="19"/>
        <v>2017 Q4</v>
      </c>
      <c r="K587">
        <f>raw_data!H587</f>
        <v>6.72</v>
      </c>
      <c r="L587" s="13">
        <f>raw_data!I587</f>
        <v>14.42</v>
      </c>
      <c r="M587" s="13">
        <f>raw_data!J587</f>
        <v>4.72</v>
      </c>
    </row>
    <row r="588" spans="1:13" x14ac:dyDescent="0.2">
      <c r="A588" t="str">
        <f>raw_data!A588</f>
        <v>2017Q4</v>
      </c>
      <c r="B588" t="str">
        <f>raw_data!B588</f>
        <v>Queensland</v>
      </c>
      <c r="C588" t="str">
        <f>raw_data!C588</f>
        <v>Manufacturing</v>
      </c>
      <c r="D588">
        <f>raw_data!D588</f>
        <v>20.2</v>
      </c>
      <c r="E588">
        <f>raw_data!E588</f>
        <v>38.46</v>
      </c>
      <c r="F588">
        <f>raw_data!F588</f>
        <v>12.68</v>
      </c>
      <c r="G588">
        <f>raw_data!G588</f>
        <v>23.42</v>
      </c>
      <c r="H588">
        <f>(raw_data!D588*weights!$B$2)+(raw_data!E588*weights!$B$3)+(raw_data!F588*weights!$B$4)</f>
        <v>23.422000000000001</v>
      </c>
      <c r="I588" t="str">
        <f t="shared" si="18"/>
        <v>Low</v>
      </c>
      <c r="J588" t="str">
        <f t="shared" si="19"/>
        <v>2017 Q4</v>
      </c>
      <c r="K588">
        <f>raw_data!H588</f>
        <v>8.08</v>
      </c>
      <c r="L588" s="13">
        <f>raw_data!I588</f>
        <v>11.54</v>
      </c>
      <c r="M588" s="13">
        <f>raw_data!J588</f>
        <v>3.8</v>
      </c>
    </row>
    <row r="589" spans="1:13" x14ac:dyDescent="0.2">
      <c r="A589" t="str">
        <f>raw_data!A589</f>
        <v>2017Q4</v>
      </c>
      <c r="B589" t="str">
        <f>raw_data!B589</f>
        <v>Queensland</v>
      </c>
      <c r="C589" t="str">
        <f>raw_data!C589</f>
        <v>Professional, Scientific and Technical Services</v>
      </c>
      <c r="D589">
        <f>raw_data!D589</f>
        <v>35.15</v>
      </c>
      <c r="E589">
        <f>raw_data!E589</f>
        <v>30.77</v>
      </c>
      <c r="F589">
        <f>raw_data!F589</f>
        <v>49.32</v>
      </c>
      <c r="G589">
        <f>raw_data!G589</f>
        <v>38.090000000000003</v>
      </c>
      <c r="H589">
        <f>(raw_data!D589*weights!$B$2)+(raw_data!E589*weights!$B$3)+(raw_data!F589*weights!$B$4)</f>
        <v>38.087000000000003</v>
      </c>
      <c r="I589" t="str">
        <f t="shared" si="18"/>
        <v>Moderate</v>
      </c>
      <c r="J589" t="str">
        <f t="shared" si="19"/>
        <v>2017 Q4</v>
      </c>
      <c r="K589">
        <f>raw_data!H589</f>
        <v>14.06</v>
      </c>
      <c r="L589" s="13">
        <f>raw_data!I589</f>
        <v>9.23</v>
      </c>
      <c r="M589" s="13">
        <f>raw_data!J589</f>
        <v>14.8</v>
      </c>
    </row>
    <row r="590" spans="1:13" x14ac:dyDescent="0.2">
      <c r="A590" t="str">
        <f>raw_data!A590</f>
        <v>2017Q4</v>
      </c>
      <c r="B590" t="str">
        <f>raw_data!B590</f>
        <v>Victoria</v>
      </c>
      <c r="C590" t="str">
        <f>raw_data!C590</f>
        <v>Accommodation and Food Services</v>
      </c>
      <c r="D590">
        <f>raw_data!D590</f>
        <v>24.37</v>
      </c>
      <c r="E590">
        <f>raw_data!E590</f>
        <v>32.69</v>
      </c>
      <c r="F590">
        <f>raw_data!F590</f>
        <v>5.95</v>
      </c>
      <c r="G590">
        <f>raw_data!G590</f>
        <v>21.34</v>
      </c>
      <c r="H590">
        <f>(raw_data!D590*weights!$B$2)+(raw_data!E590*weights!$B$3)+(raw_data!F590*weights!$B$4)</f>
        <v>21.34</v>
      </c>
      <c r="I590" t="str">
        <f t="shared" si="18"/>
        <v>Low</v>
      </c>
      <c r="J590" t="str">
        <f t="shared" si="19"/>
        <v>2017 Q4</v>
      </c>
      <c r="K590">
        <f>raw_data!H590</f>
        <v>9.75</v>
      </c>
      <c r="L590" s="13">
        <f>raw_data!I590</f>
        <v>9.81</v>
      </c>
      <c r="M590" s="13">
        <f>raw_data!J590</f>
        <v>1.78</v>
      </c>
    </row>
    <row r="591" spans="1:13" x14ac:dyDescent="0.2">
      <c r="A591" t="str">
        <f>raw_data!A591</f>
        <v>2017Q4</v>
      </c>
      <c r="B591" t="str">
        <f>raw_data!B591</f>
        <v>Victoria</v>
      </c>
      <c r="C591" t="str">
        <f>raw_data!C591</f>
        <v>Construction</v>
      </c>
      <c r="D591">
        <f>raw_data!D591</f>
        <v>11.39</v>
      </c>
      <c r="E591">
        <f>raw_data!E591</f>
        <v>30.77</v>
      </c>
      <c r="F591">
        <f>raw_data!F591</f>
        <v>11.64</v>
      </c>
      <c r="G591">
        <f>raw_data!G591</f>
        <v>17.28</v>
      </c>
      <c r="H591">
        <f>(raw_data!D591*weights!$B$2)+(raw_data!E591*weights!$B$3)+(raw_data!F591*weights!$B$4)</f>
        <v>17.279</v>
      </c>
      <c r="I591" t="str">
        <f t="shared" si="18"/>
        <v>Low</v>
      </c>
      <c r="J591" t="str">
        <f t="shared" si="19"/>
        <v>2017 Q4</v>
      </c>
      <c r="K591">
        <f>raw_data!H591</f>
        <v>4.5599999999999996</v>
      </c>
      <c r="L591" s="13">
        <f>raw_data!I591</f>
        <v>9.23</v>
      </c>
      <c r="M591" s="13">
        <f>raw_data!J591</f>
        <v>3.49</v>
      </c>
    </row>
    <row r="592" spans="1:13" x14ac:dyDescent="0.2">
      <c r="A592" t="str">
        <f>raw_data!A592</f>
        <v>2017Q4</v>
      </c>
      <c r="B592" t="str">
        <f>raw_data!B592</f>
        <v>Victoria</v>
      </c>
      <c r="C592" t="str">
        <f>raw_data!C592</f>
        <v>Education and Training</v>
      </c>
      <c r="D592">
        <f>raw_data!D592</f>
        <v>3.82</v>
      </c>
      <c r="E592">
        <f>raw_data!E592</f>
        <v>40.380000000000003</v>
      </c>
      <c r="F592">
        <f>raw_data!F592</f>
        <v>11.47</v>
      </c>
      <c r="G592">
        <f>raw_data!G592</f>
        <v>17.079999999999998</v>
      </c>
      <c r="H592">
        <f>(raw_data!D592*weights!$B$2)+(raw_data!E592*weights!$B$3)+(raw_data!F592*weights!$B$4)</f>
        <v>17.083000000000002</v>
      </c>
      <c r="I592" t="str">
        <f t="shared" si="18"/>
        <v>Low</v>
      </c>
      <c r="J592" t="str">
        <f t="shared" si="19"/>
        <v>2017 Q4</v>
      </c>
      <c r="K592">
        <f>raw_data!H592</f>
        <v>1.53</v>
      </c>
      <c r="L592" s="13">
        <f>raw_data!I592</f>
        <v>12.12</v>
      </c>
      <c r="M592" s="13">
        <f>raw_data!J592</f>
        <v>3.44</v>
      </c>
    </row>
    <row r="593" spans="1:13" x14ac:dyDescent="0.2">
      <c r="A593" t="str">
        <f>raw_data!A593</f>
        <v>2017Q4</v>
      </c>
      <c r="B593" t="str">
        <f>raw_data!B593</f>
        <v>Victoria</v>
      </c>
      <c r="C593" t="str">
        <f>raw_data!C593</f>
        <v>Health Care and Social Assistance</v>
      </c>
      <c r="D593">
        <f>raw_data!D593</f>
        <v>14.13</v>
      </c>
      <c r="E593">
        <f>raw_data!E593</f>
        <v>48.08</v>
      </c>
      <c r="F593">
        <f>raw_data!F593</f>
        <v>14.39</v>
      </c>
      <c r="G593">
        <f>raw_data!G593</f>
        <v>24.39</v>
      </c>
      <c r="H593">
        <f>(raw_data!D593*weights!$B$2)+(raw_data!E593*weights!$B$3)+(raw_data!F593*weights!$B$4)</f>
        <v>24.393000000000001</v>
      </c>
      <c r="I593" t="str">
        <f t="shared" si="18"/>
        <v>Low</v>
      </c>
      <c r="J593" t="str">
        <f t="shared" si="19"/>
        <v>2017 Q4</v>
      </c>
      <c r="K593">
        <f>raw_data!H593</f>
        <v>5.65</v>
      </c>
      <c r="L593" s="13">
        <f>raw_data!I593</f>
        <v>14.42</v>
      </c>
      <c r="M593" s="13">
        <f>raw_data!J593</f>
        <v>4.32</v>
      </c>
    </row>
    <row r="594" spans="1:13" x14ac:dyDescent="0.2">
      <c r="A594" t="str">
        <f>raw_data!A594</f>
        <v>2017Q4</v>
      </c>
      <c r="B594" t="str">
        <f>raw_data!B594</f>
        <v>Victoria</v>
      </c>
      <c r="C594" t="str">
        <f>raw_data!C594</f>
        <v>Manufacturing</v>
      </c>
      <c r="D594">
        <f>raw_data!D594</f>
        <v>10.59</v>
      </c>
      <c r="E594">
        <f>raw_data!E594</f>
        <v>38.46</v>
      </c>
      <c r="F594">
        <f>raw_data!F594</f>
        <v>5.01</v>
      </c>
      <c r="G594">
        <f>raw_data!G594</f>
        <v>17.28</v>
      </c>
      <c r="H594">
        <f>(raw_data!D594*weights!$B$2)+(raw_data!E594*weights!$B$3)+(raw_data!F594*weights!$B$4)</f>
        <v>17.277000000000001</v>
      </c>
      <c r="I594" t="str">
        <f t="shared" si="18"/>
        <v>Low</v>
      </c>
      <c r="J594" t="str">
        <f t="shared" si="19"/>
        <v>2017 Q4</v>
      </c>
      <c r="K594">
        <f>raw_data!H594</f>
        <v>4.24</v>
      </c>
      <c r="L594" s="13">
        <f>raw_data!I594</f>
        <v>11.54</v>
      </c>
      <c r="M594" s="13">
        <f>raw_data!J594</f>
        <v>1.5</v>
      </c>
    </row>
    <row r="595" spans="1:13" x14ac:dyDescent="0.2">
      <c r="A595" t="str">
        <f>raw_data!A595</f>
        <v>2017Q4</v>
      </c>
      <c r="B595" t="str">
        <f>raw_data!B595</f>
        <v>Victoria</v>
      </c>
      <c r="C595" t="str">
        <f>raw_data!C595</f>
        <v>Professional, Scientific and Technical Services</v>
      </c>
      <c r="D595">
        <f>raw_data!D595</f>
        <v>17.77</v>
      </c>
      <c r="E595">
        <f>raw_data!E595</f>
        <v>30.77</v>
      </c>
      <c r="F595">
        <f>raw_data!F595</f>
        <v>10.57</v>
      </c>
      <c r="G595">
        <f>raw_data!G595</f>
        <v>19.510000000000002</v>
      </c>
      <c r="H595">
        <f>(raw_data!D595*weights!$B$2)+(raw_data!E595*weights!$B$3)+(raw_data!F595*weights!$B$4)</f>
        <v>19.509999999999998</v>
      </c>
      <c r="I595" t="str">
        <f t="shared" si="18"/>
        <v>Low</v>
      </c>
      <c r="J595" t="str">
        <f t="shared" si="19"/>
        <v>2017 Q4</v>
      </c>
      <c r="K595">
        <f>raw_data!H595</f>
        <v>7.11</v>
      </c>
      <c r="L595" s="13">
        <f>raw_data!I595</f>
        <v>9.23</v>
      </c>
      <c r="M595" s="13">
        <f>raw_data!J595</f>
        <v>3.17</v>
      </c>
    </row>
    <row r="596" spans="1:13" x14ac:dyDescent="0.2">
      <c r="A596" t="str">
        <f>raw_data!A596</f>
        <v>2018Q1</v>
      </c>
      <c r="B596" t="str">
        <f>raw_data!B596</f>
        <v>New South Wales</v>
      </c>
      <c r="C596" t="str">
        <f>raw_data!C596</f>
        <v>Accommodation and Food Services</v>
      </c>
      <c r="D596">
        <f>raw_data!D596</f>
        <v>20.239999999999998</v>
      </c>
      <c r="E596">
        <f>raw_data!E596</f>
        <v>34.619999999999997</v>
      </c>
      <c r="F596">
        <f>raw_data!F596</f>
        <v>3.89</v>
      </c>
      <c r="G596">
        <f>raw_data!G596</f>
        <v>19.649999999999999</v>
      </c>
      <c r="H596">
        <f>(raw_data!D596*weights!$B$2)+(raw_data!E596*weights!$B$3)+(raw_data!F596*weights!$B$4)</f>
        <v>19.649000000000001</v>
      </c>
      <c r="I596" t="str">
        <f t="shared" si="18"/>
        <v>Low</v>
      </c>
      <c r="J596" t="str">
        <f t="shared" si="19"/>
        <v>2018 Q1</v>
      </c>
      <c r="K596">
        <f>raw_data!H596</f>
        <v>8.1</v>
      </c>
      <c r="L596" s="13">
        <f>raw_data!I596</f>
        <v>10.38</v>
      </c>
      <c r="M596" s="13">
        <f>raw_data!J596</f>
        <v>1.17</v>
      </c>
    </row>
    <row r="597" spans="1:13" x14ac:dyDescent="0.2">
      <c r="A597" t="str">
        <f>raw_data!A597</f>
        <v>2018Q1</v>
      </c>
      <c r="B597" t="str">
        <f>raw_data!B597</f>
        <v>New South Wales</v>
      </c>
      <c r="C597" t="str">
        <f>raw_data!C597</f>
        <v>Construction</v>
      </c>
      <c r="D597">
        <f>raw_data!D597</f>
        <v>8.5</v>
      </c>
      <c r="E597">
        <f>raw_data!E597</f>
        <v>28.85</v>
      </c>
      <c r="F597">
        <f>raw_data!F597</f>
        <v>4.57</v>
      </c>
      <c r="G597">
        <f>raw_data!G597</f>
        <v>13.42</v>
      </c>
      <c r="H597">
        <f>(raw_data!D597*weights!$B$2)+(raw_data!E597*weights!$B$3)+(raw_data!F597*weights!$B$4)</f>
        <v>13.426</v>
      </c>
      <c r="I597" t="str">
        <f t="shared" si="18"/>
        <v>Low</v>
      </c>
      <c r="J597" t="str">
        <f t="shared" si="19"/>
        <v>2018 Q1</v>
      </c>
      <c r="K597">
        <f>raw_data!H597</f>
        <v>3.4</v>
      </c>
      <c r="L597" s="13">
        <f>raw_data!I597</f>
        <v>8.65</v>
      </c>
      <c r="M597" s="13">
        <f>raw_data!J597</f>
        <v>1.37</v>
      </c>
    </row>
    <row r="598" spans="1:13" x14ac:dyDescent="0.2">
      <c r="A598" t="str">
        <f>raw_data!A598</f>
        <v>2018Q1</v>
      </c>
      <c r="B598" t="str">
        <f>raw_data!B598</f>
        <v>New South Wales</v>
      </c>
      <c r="C598" t="str">
        <f>raw_data!C598</f>
        <v>Education and Training</v>
      </c>
      <c r="D598">
        <f>raw_data!D598</f>
        <v>3.79</v>
      </c>
      <c r="E598">
        <f>raw_data!E598</f>
        <v>40.380000000000003</v>
      </c>
      <c r="F598">
        <f>raw_data!F598</f>
        <v>2.6</v>
      </c>
      <c r="G598">
        <f>raw_data!G598</f>
        <v>14.41</v>
      </c>
      <c r="H598">
        <f>(raw_data!D598*weights!$B$2)+(raw_data!E598*weights!$B$3)+(raw_data!F598*weights!$B$4)</f>
        <v>14.41</v>
      </c>
      <c r="I598" t="str">
        <f t="shared" si="18"/>
        <v>Low</v>
      </c>
      <c r="J598" t="str">
        <f t="shared" si="19"/>
        <v>2018 Q1</v>
      </c>
      <c r="K598">
        <f>raw_data!H598</f>
        <v>1.52</v>
      </c>
      <c r="L598" s="13">
        <f>raw_data!I598</f>
        <v>12.12</v>
      </c>
      <c r="M598" s="13">
        <f>raw_data!J598</f>
        <v>0.78</v>
      </c>
    </row>
    <row r="599" spans="1:13" x14ac:dyDescent="0.2">
      <c r="A599" t="str">
        <f>raw_data!A599</f>
        <v>2018Q1</v>
      </c>
      <c r="B599" t="str">
        <f>raw_data!B599</f>
        <v>New South Wales</v>
      </c>
      <c r="C599" t="str">
        <f>raw_data!C599</f>
        <v>Health Care and Social Assistance</v>
      </c>
      <c r="D599">
        <f>raw_data!D599</f>
        <v>10.55</v>
      </c>
      <c r="E599">
        <f>raw_data!E599</f>
        <v>46.15</v>
      </c>
      <c r="F599">
        <f>raw_data!F599</f>
        <v>13.47</v>
      </c>
      <c r="G599">
        <f>raw_data!G599</f>
        <v>22.11</v>
      </c>
      <c r="H599">
        <f>(raw_data!D599*weights!$B$2)+(raw_data!E599*weights!$B$3)+(raw_data!F599*weights!$B$4)</f>
        <v>22.105999999999998</v>
      </c>
      <c r="I599" t="str">
        <f t="shared" si="18"/>
        <v>Low</v>
      </c>
      <c r="J599" t="str">
        <f t="shared" si="19"/>
        <v>2018 Q1</v>
      </c>
      <c r="K599">
        <f>raw_data!H599</f>
        <v>4.22</v>
      </c>
      <c r="L599" s="13">
        <f>raw_data!I599</f>
        <v>13.85</v>
      </c>
      <c r="M599" s="13">
        <f>raw_data!J599</f>
        <v>4.04</v>
      </c>
    </row>
    <row r="600" spans="1:13" x14ac:dyDescent="0.2">
      <c r="A600" t="str">
        <f>raw_data!A600</f>
        <v>2018Q1</v>
      </c>
      <c r="B600" t="str">
        <f>raw_data!B600</f>
        <v>New South Wales</v>
      </c>
      <c r="C600" t="str">
        <f>raw_data!C600</f>
        <v>Manufacturing</v>
      </c>
      <c r="D600">
        <f>raw_data!D600</f>
        <v>10.97</v>
      </c>
      <c r="E600">
        <f>raw_data!E600</f>
        <v>36.54</v>
      </c>
      <c r="F600">
        <f>raw_data!F600</f>
        <v>14.48</v>
      </c>
      <c r="G600">
        <f>raw_data!G600</f>
        <v>19.690000000000001</v>
      </c>
      <c r="H600">
        <f>(raw_data!D600*weights!$B$2)+(raw_data!E600*weights!$B$3)+(raw_data!F600*weights!$B$4)</f>
        <v>19.694000000000003</v>
      </c>
      <c r="I600" t="str">
        <f t="shared" si="18"/>
        <v>Low</v>
      </c>
      <c r="J600" t="str">
        <f t="shared" si="19"/>
        <v>2018 Q1</v>
      </c>
      <c r="K600">
        <f>raw_data!H600</f>
        <v>4.3899999999999997</v>
      </c>
      <c r="L600" s="13">
        <f>raw_data!I600</f>
        <v>10.96</v>
      </c>
      <c r="M600" s="13">
        <f>raw_data!J600</f>
        <v>4.34</v>
      </c>
    </row>
    <row r="601" spans="1:13" x14ac:dyDescent="0.2">
      <c r="A601" t="str">
        <f>raw_data!A601</f>
        <v>2018Q1</v>
      </c>
      <c r="B601" t="str">
        <f>raw_data!B601</f>
        <v>New South Wales</v>
      </c>
      <c r="C601" t="str">
        <f>raw_data!C601</f>
        <v>Professional, Scientific and Technical Services</v>
      </c>
      <c r="D601">
        <f>raw_data!D601</f>
        <v>17.22</v>
      </c>
      <c r="E601">
        <f>raw_data!E601</f>
        <v>26.92</v>
      </c>
      <c r="F601">
        <f>raw_data!F601</f>
        <v>12.24</v>
      </c>
      <c r="G601">
        <f>raw_data!G601</f>
        <v>18.64</v>
      </c>
      <c r="H601">
        <f>(raw_data!D601*weights!$B$2)+(raw_data!E601*weights!$B$3)+(raw_data!F601*weights!$B$4)</f>
        <v>18.635999999999999</v>
      </c>
      <c r="I601" t="str">
        <f t="shared" si="18"/>
        <v>Low</v>
      </c>
      <c r="J601" t="str">
        <f t="shared" si="19"/>
        <v>2018 Q1</v>
      </c>
      <c r="K601">
        <f>raw_data!H601</f>
        <v>6.89</v>
      </c>
      <c r="L601" s="13">
        <f>raw_data!I601</f>
        <v>8.08</v>
      </c>
      <c r="M601" s="13">
        <f>raw_data!J601</f>
        <v>3.67</v>
      </c>
    </row>
    <row r="602" spans="1:13" x14ac:dyDescent="0.2">
      <c r="A602" t="str">
        <f>raw_data!A602</f>
        <v>2018Q1</v>
      </c>
      <c r="B602" t="str">
        <f>raw_data!B602</f>
        <v>Queensland</v>
      </c>
      <c r="C602" t="str">
        <f>raw_data!C602</f>
        <v>Accommodation and Food Services</v>
      </c>
      <c r="D602">
        <f>raw_data!D602</f>
        <v>31.16</v>
      </c>
      <c r="E602">
        <f>raw_data!E602</f>
        <v>34.619999999999997</v>
      </c>
      <c r="F602">
        <f>raw_data!F602</f>
        <v>4.13</v>
      </c>
      <c r="G602">
        <f>raw_data!G602</f>
        <v>24.09</v>
      </c>
      <c r="H602">
        <f>(raw_data!D602*weights!$B$2)+(raw_data!E602*weights!$B$3)+(raw_data!F602*weights!$B$4)</f>
        <v>24.089000000000002</v>
      </c>
      <c r="I602" t="str">
        <f t="shared" si="18"/>
        <v>Low</v>
      </c>
      <c r="J602" t="str">
        <f t="shared" si="19"/>
        <v>2018 Q1</v>
      </c>
      <c r="K602">
        <f>raw_data!H602</f>
        <v>12.46</v>
      </c>
      <c r="L602" s="13">
        <f>raw_data!I602</f>
        <v>10.38</v>
      </c>
      <c r="M602" s="13">
        <f>raw_data!J602</f>
        <v>1.24</v>
      </c>
    </row>
    <row r="603" spans="1:13" x14ac:dyDescent="0.2">
      <c r="A603" t="str">
        <f>raw_data!A603</f>
        <v>2018Q1</v>
      </c>
      <c r="B603" t="str">
        <f>raw_data!B603</f>
        <v>Queensland</v>
      </c>
      <c r="C603" t="str">
        <f>raw_data!C603</f>
        <v>Construction</v>
      </c>
      <c r="D603">
        <f>raw_data!D603</f>
        <v>15.13</v>
      </c>
      <c r="E603">
        <f>raw_data!E603</f>
        <v>28.85</v>
      </c>
      <c r="F603">
        <f>raw_data!F603</f>
        <v>5.8</v>
      </c>
      <c r="G603">
        <f>raw_data!G603</f>
        <v>16.45</v>
      </c>
      <c r="H603">
        <f>(raw_data!D603*weights!$B$2)+(raw_data!E603*weights!$B$3)+(raw_data!F603*weights!$B$4)</f>
        <v>16.446999999999999</v>
      </c>
      <c r="I603" t="str">
        <f t="shared" si="18"/>
        <v>Low</v>
      </c>
      <c r="J603" t="str">
        <f t="shared" si="19"/>
        <v>2018 Q1</v>
      </c>
      <c r="K603">
        <f>raw_data!H603</f>
        <v>6.05</v>
      </c>
      <c r="L603" s="13">
        <f>raw_data!I603</f>
        <v>8.65</v>
      </c>
      <c r="M603" s="13">
        <f>raw_data!J603</f>
        <v>1.74</v>
      </c>
    </row>
    <row r="604" spans="1:13" x14ac:dyDescent="0.2">
      <c r="A604" t="str">
        <f>raw_data!A604</f>
        <v>2018Q1</v>
      </c>
      <c r="B604" t="str">
        <f>raw_data!B604</f>
        <v>Queensland</v>
      </c>
      <c r="C604" t="str">
        <f>raw_data!C604</f>
        <v>Education and Training</v>
      </c>
      <c r="D604">
        <f>raw_data!D604</f>
        <v>7.64</v>
      </c>
      <c r="E604">
        <f>raw_data!E604</f>
        <v>40.380000000000003</v>
      </c>
      <c r="F604">
        <f>raw_data!F604</f>
        <v>2.79</v>
      </c>
      <c r="G604">
        <f>raw_data!G604</f>
        <v>16.010000000000002</v>
      </c>
      <c r="H604">
        <f>(raw_data!D604*weights!$B$2)+(raw_data!E604*weights!$B$3)+(raw_data!F604*weights!$B$4)</f>
        <v>16.007000000000001</v>
      </c>
      <c r="I604" t="str">
        <f t="shared" si="18"/>
        <v>Low</v>
      </c>
      <c r="J604" t="str">
        <f t="shared" si="19"/>
        <v>2018 Q1</v>
      </c>
      <c r="K604">
        <f>raw_data!H604</f>
        <v>3.06</v>
      </c>
      <c r="L604" s="13">
        <f>raw_data!I604</f>
        <v>12.12</v>
      </c>
      <c r="M604" s="13">
        <f>raw_data!J604</f>
        <v>0.84</v>
      </c>
    </row>
    <row r="605" spans="1:13" x14ac:dyDescent="0.2">
      <c r="A605" t="str">
        <f>raw_data!A605</f>
        <v>2018Q1</v>
      </c>
      <c r="B605" t="str">
        <f>raw_data!B605</f>
        <v>Queensland</v>
      </c>
      <c r="C605" t="str">
        <f>raw_data!C605</f>
        <v>Health Care and Social Assistance</v>
      </c>
      <c r="D605">
        <f>raw_data!D605</f>
        <v>16.25</v>
      </c>
      <c r="E605">
        <f>raw_data!E605</f>
        <v>46.15</v>
      </c>
      <c r="F605">
        <f>raw_data!F605</f>
        <v>12.77</v>
      </c>
      <c r="G605">
        <f>raw_data!G605</f>
        <v>24.18</v>
      </c>
      <c r="H605">
        <f>(raw_data!D605*weights!$B$2)+(raw_data!E605*weights!$B$3)+(raw_data!F605*weights!$B$4)</f>
        <v>24.175999999999998</v>
      </c>
      <c r="I605" t="str">
        <f t="shared" si="18"/>
        <v>Low</v>
      </c>
      <c r="J605" t="str">
        <f t="shared" si="19"/>
        <v>2018 Q1</v>
      </c>
      <c r="K605">
        <f>raw_data!H605</f>
        <v>6.5</v>
      </c>
      <c r="L605" s="13">
        <f>raw_data!I605</f>
        <v>13.85</v>
      </c>
      <c r="M605" s="13">
        <f>raw_data!J605</f>
        <v>3.83</v>
      </c>
    </row>
    <row r="606" spans="1:13" x14ac:dyDescent="0.2">
      <c r="A606" t="str">
        <f>raw_data!A606</f>
        <v>2018Q1</v>
      </c>
      <c r="B606" t="str">
        <f>raw_data!B606</f>
        <v>Queensland</v>
      </c>
      <c r="C606" t="str">
        <f>raw_data!C606</f>
        <v>Manufacturing</v>
      </c>
      <c r="D606">
        <f>raw_data!D606</f>
        <v>17.13</v>
      </c>
      <c r="E606">
        <f>raw_data!E606</f>
        <v>36.54</v>
      </c>
      <c r="F606">
        <f>raw_data!F606</f>
        <v>11.31</v>
      </c>
      <c r="G606">
        <f>raw_data!G606</f>
        <v>21.21</v>
      </c>
      <c r="H606">
        <f>(raw_data!D606*weights!$B$2)+(raw_data!E606*weights!$B$3)+(raw_data!F606*weights!$B$4)</f>
        <v>21.207000000000001</v>
      </c>
      <c r="I606" t="str">
        <f t="shared" si="18"/>
        <v>Low</v>
      </c>
      <c r="J606" t="str">
        <f t="shared" si="19"/>
        <v>2018 Q1</v>
      </c>
      <c r="K606">
        <f>raw_data!H606</f>
        <v>6.85</v>
      </c>
      <c r="L606" s="13">
        <f>raw_data!I606</f>
        <v>10.96</v>
      </c>
      <c r="M606" s="13">
        <f>raw_data!J606</f>
        <v>3.39</v>
      </c>
    </row>
    <row r="607" spans="1:13" x14ac:dyDescent="0.2">
      <c r="A607" t="str">
        <f>raw_data!A607</f>
        <v>2018Q1</v>
      </c>
      <c r="B607" t="str">
        <f>raw_data!B607</f>
        <v>Queensland</v>
      </c>
      <c r="C607" t="str">
        <f>raw_data!C607</f>
        <v>Professional, Scientific and Technical Services</v>
      </c>
      <c r="D607">
        <f>raw_data!D607</f>
        <v>39.54</v>
      </c>
      <c r="E607">
        <f>raw_data!E607</f>
        <v>26.92</v>
      </c>
      <c r="F607">
        <f>raw_data!F607</f>
        <v>30.39</v>
      </c>
      <c r="G607">
        <f>raw_data!G607</f>
        <v>33.01</v>
      </c>
      <c r="H607">
        <f>(raw_data!D607*weights!$B$2)+(raw_data!E607*weights!$B$3)+(raw_data!F607*weights!$B$4)</f>
        <v>33.009</v>
      </c>
      <c r="I607" t="str">
        <f t="shared" si="18"/>
        <v>Moderate</v>
      </c>
      <c r="J607" t="str">
        <f t="shared" si="19"/>
        <v>2018 Q1</v>
      </c>
      <c r="K607">
        <f>raw_data!H607</f>
        <v>15.81</v>
      </c>
      <c r="L607" s="13">
        <f>raw_data!I607</f>
        <v>8.08</v>
      </c>
      <c r="M607" s="13">
        <f>raw_data!J607</f>
        <v>9.1199999999999992</v>
      </c>
    </row>
    <row r="608" spans="1:13" x14ac:dyDescent="0.2">
      <c r="A608" t="str">
        <f>raw_data!A608</f>
        <v>2018Q1</v>
      </c>
      <c r="B608" t="str">
        <f>raw_data!B608</f>
        <v>Victoria</v>
      </c>
      <c r="C608" t="str">
        <f>raw_data!C608</f>
        <v>Accommodation and Food Services</v>
      </c>
      <c r="D608">
        <f>raw_data!D608</f>
        <v>22.29</v>
      </c>
      <c r="E608">
        <f>raw_data!E608</f>
        <v>34.619999999999997</v>
      </c>
      <c r="F608">
        <f>raw_data!F608</f>
        <v>4.0599999999999996</v>
      </c>
      <c r="G608">
        <f>raw_data!G608</f>
        <v>20.52</v>
      </c>
      <c r="H608">
        <f>(raw_data!D608*weights!$B$2)+(raw_data!E608*weights!$B$3)+(raw_data!F608*weights!$B$4)</f>
        <v>20.52</v>
      </c>
      <c r="I608" t="str">
        <f t="shared" si="18"/>
        <v>Low</v>
      </c>
      <c r="J608" t="str">
        <f t="shared" si="19"/>
        <v>2018 Q1</v>
      </c>
      <c r="K608">
        <f>raw_data!H608</f>
        <v>8.92</v>
      </c>
      <c r="L608" s="13">
        <f>raw_data!I608</f>
        <v>10.38</v>
      </c>
      <c r="M608" s="13">
        <f>raw_data!J608</f>
        <v>1.22</v>
      </c>
    </row>
    <row r="609" spans="1:13" x14ac:dyDescent="0.2">
      <c r="A609" t="str">
        <f>raw_data!A609</f>
        <v>2018Q1</v>
      </c>
      <c r="B609" t="str">
        <f>raw_data!B609</f>
        <v>Victoria</v>
      </c>
      <c r="C609" t="str">
        <f>raw_data!C609</f>
        <v>Construction</v>
      </c>
      <c r="D609">
        <f>raw_data!D609</f>
        <v>11.38</v>
      </c>
      <c r="E609">
        <f>raw_data!E609</f>
        <v>28.85</v>
      </c>
      <c r="F609">
        <f>raw_data!F609</f>
        <v>7.5</v>
      </c>
      <c r="G609">
        <f>raw_data!G609</f>
        <v>15.46</v>
      </c>
      <c r="H609">
        <f>(raw_data!D609*weights!$B$2)+(raw_data!E609*weights!$B$3)+(raw_data!F609*weights!$B$4)</f>
        <v>15.457000000000001</v>
      </c>
      <c r="I609" t="str">
        <f t="shared" si="18"/>
        <v>Low</v>
      </c>
      <c r="J609" t="str">
        <f t="shared" si="19"/>
        <v>2018 Q1</v>
      </c>
      <c r="K609">
        <f>raw_data!H609</f>
        <v>4.55</v>
      </c>
      <c r="L609" s="13">
        <f>raw_data!I609</f>
        <v>8.65</v>
      </c>
      <c r="M609" s="13">
        <f>raw_data!J609</f>
        <v>2.25</v>
      </c>
    </row>
    <row r="610" spans="1:13" x14ac:dyDescent="0.2">
      <c r="A610" t="str">
        <f>raw_data!A610</f>
        <v>2018Q1</v>
      </c>
      <c r="B610" t="str">
        <f>raw_data!B610</f>
        <v>Victoria</v>
      </c>
      <c r="C610" t="str">
        <f>raw_data!C610</f>
        <v>Education and Training</v>
      </c>
      <c r="D610">
        <f>raw_data!D610</f>
        <v>5.3</v>
      </c>
      <c r="E610">
        <f>raw_data!E610</f>
        <v>40.380000000000003</v>
      </c>
      <c r="F610">
        <f>raw_data!F610</f>
        <v>3.21</v>
      </c>
      <c r="G610">
        <f>raw_data!G610</f>
        <v>15.2</v>
      </c>
      <c r="H610">
        <f>(raw_data!D610*weights!$B$2)+(raw_data!E610*weights!$B$3)+(raw_data!F610*weights!$B$4)</f>
        <v>15.197000000000001</v>
      </c>
      <c r="I610" t="str">
        <f t="shared" si="18"/>
        <v>Low</v>
      </c>
      <c r="J610" t="str">
        <f t="shared" si="19"/>
        <v>2018 Q1</v>
      </c>
      <c r="K610">
        <f>raw_data!H610</f>
        <v>2.12</v>
      </c>
      <c r="L610" s="13">
        <f>raw_data!I610</f>
        <v>12.12</v>
      </c>
      <c r="M610" s="13">
        <f>raw_data!J610</f>
        <v>0.96</v>
      </c>
    </row>
    <row r="611" spans="1:13" x14ac:dyDescent="0.2">
      <c r="A611" t="str">
        <f>raw_data!A611</f>
        <v>2018Q1</v>
      </c>
      <c r="B611" t="str">
        <f>raw_data!B611</f>
        <v>Victoria</v>
      </c>
      <c r="C611" t="str">
        <f>raw_data!C611</f>
        <v>Health Care and Social Assistance</v>
      </c>
      <c r="D611">
        <f>raw_data!D611</f>
        <v>14.62</v>
      </c>
      <c r="E611">
        <f>raw_data!E611</f>
        <v>46.15</v>
      </c>
      <c r="F611">
        <f>raw_data!F611</f>
        <v>10.77</v>
      </c>
      <c r="G611">
        <f>raw_data!G611</f>
        <v>22.92</v>
      </c>
      <c r="H611">
        <f>(raw_data!D611*weights!$B$2)+(raw_data!E611*weights!$B$3)+(raw_data!F611*weights!$B$4)</f>
        <v>22.923999999999999</v>
      </c>
      <c r="I611" t="str">
        <f t="shared" si="18"/>
        <v>Low</v>
      </c>
      <c r="J611" t="str">
        <f t="shared" si="19"/>
        <v>2018 Q1</v>
      </c>
      <c r="K611">
        <f>raw_data!H611</f>
        <v>5.85</v>
      </c>
      <c r="L611" s="13">
        <f>raw_data!I611</f>
        <v>13.85</v>
      </c>
      <c r="M611" s="13">
        <f>raw_data!J611</f>
        <v>3.23</v>
      </c>
    </row>
    <row r="612" spans="1:13" x14ac:dyDescent="0.2">
      <c r="A612" t="str">
        <f>raw_data!A612</f>
        <v>2018Q1</v>
      </c>
      <c r="B612" t="str">
        <f>raw_data!B612</f>
        <v>Victoria</v>
      </c>
      <c r="C612" t="str">
        <f>raw_data!C612</f>
        <v>Manufacturing</v>
      </c>
      <c r="D612">
        <f>raw_data!D612</f>
        <v>10.24</v>
      </c>
      <c r="E612">
        <f>raw_data!E612</f>
        <v>36.54</v>
      </c>
      <c r="F612">
        <f>raw_data!F612</f>
        <v>3.78</v>
      </c>
      <c r="G612">
        <f>raw_data!G612</f>
        <v>16.190000000000001</v>
      </c>
      <c r="H612">
        <f>(raw_data!D612*weights!$B$2)+(raw_data!E612*weights!$B$3)+(raw_data!F612*weights!$B$4)</f>
        <v>16.192</v>
      </c>
      <c r="I612" t="str">
        <f t="shared" si="18"/>
        <v>Low</v>
      </c>
      <c r="J612" t="str">
        <f t="shared" si="19"/>
        <v>2018 Q1</v>
      </c>
      <c r="K612">
        <f>raw_data!H612</f>
        <v>4.09</v>
      </c>
      <c r="L612" s="13">
        <f>raw_data!I612</f>
        <v>10.96</v>
      </c>
      <c r="M612" s="13">
        <f>raw_data!J612</f>
        <v>1.1299999999999999</v>
      </c>
    </row>
    <row r="613" spans="1:13" x14ac:dyDescent="0.2">
      <c r="A613" t="str">
        <f>raw_data!A613</f>
        <v>2018Q1</v>
      </c>
      <c r="B613" t="str">
        <f>raw_data!B613</f>
        <v>Victoria</v>
      </c>
      <c r="C613" t="str">
        <f>raw_data!C613</f>
        <v>Professional, Scientific and Technical Services</v>
      </c>
      <c r="D613">
        <f>raw_data!D613</f>
        <v>21.37</v>
      </c>
      <c r="E613">
        <f>raw_data!E613</f>
        <v>26.92</v>
      </c>
      <c r="F613">
        <f>raw_data!F613</f>
        <v>12.47</v>
      </c>
      <c r="G613">
        <f>raw_data!G613</f>
        <v>20.37</v>
      </c>
      <c r="H613">
        <f>(raw_data!D613*weights!$B$2)+(raw_data!E613*weights!$B$3)+(raw_data!F613*weights!$B$4)</f>
        <v>20.365000000000002</v>
      </c>
      <c r="I613" t="str">
        <f t="shared" si="18"/>
        <v>Low</v>
      </c>
      <c r="J613" t="str">
        <f t="shared" si="19"/>
        <v>2018 Q1</v>
      </c>
      <c r="K613">
        <f>raw_data!H613</f>
        <v>8.5500000000000007</v>
      </c>
      <c r="L613" s="13">
        <f>raw_data!I613</f>
        <v>8.08</v>
      </c>
      <c r="M613" s="13">
        <f>raw_data!J613</f>
        <v>3.74</v>
      </c>
    </row>
    <row r="614" spans="1:13" x14ac:dyDescent="0.2">
      <c r="A614" t="str">
        <f>raw_data!A614</f>
        <v>2018Q2</v>
      </c>
      <c r="B614" t="str">
        <f>raw_data!B614</f>
        <v>New South Wales</v>
      </c>
      <c r="C614" t="str">
        <f>raw_data!C614</f>
        <v>Accommodation and Food Services</v>
      </c>
      <c r="D614">
        <f>raw_data!D614</f>
        <v>15.36</v>
      </c>
      <c r="E614">
        <f>raw_data!E614</f>
        <v>38.46</v>
      </c>
      <c r="F614">
        <f>raw_data!F614</f>
        <v>2.97</v>
      </c>
      <c r="G614">
        <f>raw_data!G614</f>
        <v>18.57</v>
      </c>
      <c r="H614">
        <f>(raw_data!D614*weights!$B$2)+(raw_data!E614*weights!$B$3)+(raw_data!F614*weights!$B$4)</f>
        <v>18.573</v>
      </c>
      <c r="I614" t="str">
        <f t="shared" si="18"/>
        <v>Low</v>
      </c>
      <c r="J614" t="str">
        <f t="shared" si="19"/>
        <v>2018 Q2</v>
      </c>
      <c r="K614">
        <f>raw_data!H614</f>
        <v>6.14</v>
      </c>
      <c r="L614" s="13">
        <f>raw_data!I614</f>
        <v>11.54</v>
      </c>
      <c r="M614" s="13">
        <f>raw_data!J614</f>
        <v>0.89</v>
      </c>
    </row>
    <row r="615" spans="1:13" x14ac:dyDescent="0.2">
      <c r="A615" t="str">
        <f>raw_data!A615</f>
        <v>2018Q2</v>
      </c>
      <c r="B615" t="str">
        <f>raw_data!B615</f>
        <v>New South Wales</v>
      </c>
      <c r="C615" t="str">
        <f>raw_data!C615</f>
        <v>Construction</v>
      </c>
      <c r="D615">
        <f>raw_data!D615</f>
        <v>9.57</v>
      </c>
      <c r="E615">
        <f>raw_data!E615</f>
        <v>32.69</v>
      </c>
      <c r="F615">
        <f>raw_data!F615</f>
        <v>5.85</v>
      </c>
      <c r="G615">
        <f>raw_data!G615</f>
        <v>15.39</v>
      </c>
      <c r="H615">
        <f>(raw_data!D615*weights!$B$2)+(raw_data!E615*weights!$B$3)+(raw_data!F615*weights!$B$4)</f>
        <v>15.389999999999997</v>
      </c>
      <c r="I615" t="str">
        <f t="shared" si="18"/>
        <v>Low</v>
      </c>
      <c r="J615" t="str">
        <f t="shared" si="19"/>
        <v>2018 Q2</v>
      </c>
      <c r="K615">
        <f>raw_data!H615</f>
        <v>3.83</v>
      </c>
      <c r="L615" s="13">
        <f>raw_data!I615</f>
        <v>9.81</v>
      </c>
      <c r="M615" s="13">
        <f>raw_data!J615</f>
        <v>1.75</v>
      </c>
    </row>
    <row r="616" spans="1:13" x14ac:dyDescent="0.2">
      <c r="A616" t="str">
        <f>raw_data!A616</f>
        <v>2018Q2</v>
      </c>
      <c r="B616" t="str">
        <f>raw_data!B616</f>
        <v>New South Wales</v>
      </c>
      <c r="C616" t="str">
        <f>raw_data!C616</f>
        <v>Education and Training</v>
      </c>
      <c r="D616">
        <f>raw_data!D616</f>
        <v>3.81</v>
      </c>
      <c r="E616">
        <f>raw_data!E616</f>
        <v>42.31</v>
      </c>
      <c r="F616">
        <f>raw_data!F616</f>
        <v>3.62</v>
      </c>
      <c r="G616">
        <f>raw_data!G616</f>
        <v>15.3</v>
      </c>
      <c r="H616">
        <f>(raw_data!D616*weights!$B$2)+(raw_data!E616*weights!$B$3)+(raw_data!F616*weights!$B$4)</f>
        <v>15.302999999999999</v>
      </c>
      <c r="I616" t="str">
        <f t="shared" si="18"/>
        <v>Low</v>
      </c>
      <c r="J616" t="str">
        <f t="shared" si="19"/>
        <v>2018 Q2</v>
      </c>
      <c r="K616">
        <f>raw_data!H616</f>
        <v>1.52</v>
      </c>
      <c r="L616" s="13">
        <f>raw_data!I616</f>
        <v>12.69</v>
      </c>
      <c r="M616" s="13">
        <f>raw_data!J616</f>
        <v>1.0900000000000001</v>
      </c>
    </row>
    <row r="617" spans="1:13" x14ac:dyDescent="0.2">
      <c r="A617" t="str">
        <f>raw_data!A617</f>
        <v>2018Q2</v>
      </c>
      <c r="B617" t="str">
        <f>raw_data!B617</f>
        <v>New South Wales</v>
      </c>
      <c r="C617" t="str">
        <f>raw_data!C617</f>
        <v>Health Care and Social Assistance</v>
      </c>
      <c r="D617">
        <f>raw_data!D617</f>
        <v>10.99</v>
      </c>
      <c r="E617">
        <f>raw_data!E617</f>
        <v>46.15</v>
      </c>
      <c r="F617">
        <f>raw_data!F617</f>
        <v>10.050000000000001</v>
      </c>
      <c r="G617">
        <f>raw_data!G617</f>
        <v>21.26</v>
      </c>
      <c r="H617">
        <f>(raw_data!D617*weights!$B$2)+(raw_data!E617*weights!$B$3)+(raw_data!F617*weights!$B$4)</f>
        <v>21.256</v>
      </c>
      <c r="I617" t="str">
        <f t="shared" si="18"/>
        <v>Low</v>
      </c>
      <c r="J617" t="str">
        <f t="shared" si="19"/>
        <v>2018 Q2</v>
      </c>
      <c r="K617">
        <f>raw_data!H617</f>
        <v>4.4000000000000004</v>
      </c>
      <c r="L617" s="13">
        <f>raw_data!I617</f>
        <v>13.85</v>
      </c>
      <c r="M617" s="13">
        <f>raw_data!J617</f>
        <v>3.01</v>
      </c>
    </row>
    <row r="618" spans="1:13" x14ac:dyDescent="0.2">
      <c r="A618" t="str">
        <f>raw_data!A618</f>
        <v>2018Q2</v>
      </c>
      <c r="B618" t="str">
        <f>raw_data!B618</f>
        <v>New South Wales</v>
      </c>
      <c r="C618" t="str">
        <f>raw_data!C618</f>
        <v>Manufacturing</v>
      </c>
      <c r="D618">
        <f>raw_data!D618</f>
        <v>7.98</v>
      </c>
      <c r="E618">
        <f>raw_data!E618</f>
        <v>36.54</v>
      </c>
      <c r="F618">
        <f>raw_data!F618</f>
        <v>4.57</v>
      </c>
      <c r="G618">
        <f>raw_data!G618</f>
        <v>15.52</v>
      </c>
      <c r="H618">
        <f>(raw_data!D618*weights!$B$2)+(raw_data!E618*weights!$B$3)+(raw_data!F618*weights!$B$4)</f>
        <v>15.525</v>
      </c>
      <c r="I618" t="str">
        <f t="shared" si="18"/>
        <v>Low</v>
      </c>
      <c r="J618" t="str">
        <f t="shared" si="19"/>
        <v>2018 Q2</v>
      </c>
      <c r="K618">
        <f>raw_data!H618</f>
        <v>3.19</v>
      </c>
      <c r="L618" s="13">
        <f>raw_data!I618</f>
        <v>10.96</v>
      </c>
      <c r="M618" s="13">
        <f>raw_data!J618</f>
        <v>1.37</v>
      </c>
    </row>
    <row r="619" spans="1:13" x14ac:dyDescent="0.2">
      <c r="A619" t="str">
        <f>raw_data!A619</f>
        <v>2018Q2</v>
      </c>
      <c r="B619" t="str">
        <f>raw_data!B619</f>
        <v>New South Wales</v>
      </c>
      <c r="C619" t="str">
        <f>raw_data!C619</f>
        <v>Professional, Scientific and Technical Services</v>
      </c>
      <c r="D619">
        <f>raw_data!D619</f>
        <v>17.72</v>
      </c>
      <c r="E619">
        <f>raw_data!E619</f>
        <v>28.85</v>
      </c>
      <c r="F619">
        <f>raw_data!F619</f>
        <v>12.35</v>
      </c>
      <c r="G619">
        <f>raw_data!G619</f>
        <v>19.45</v>
      </c>
      <c r="H619">
        <f>(raw_data!D619*weights!$B$2)+(raw_data!E619*weights!$B$3)+(raw_data!F619*weights!$B$4)</f>
        <v>19.447999999999997</v>
      </c>
      <c r="I619" t="str">
        <f t="shared" si="18"/>
        <v>Low</v>
      </c>
      <c r="J619" t="str">
        <f t="shared" si="19"/>
        <v>2018 Q2</v>
      </c>
      <c r="K619">
        <f>raw_data!H619</f>
        <v>7.09</v>
      </c>
      <c r="L619" s="13">
        <f>raw_data!I619</f>
        <v>8.65</v>
      </c>
      <c r="M619" s="13">
        <f>raw_data!J619</f>
        <v>3.71</v>
      </c>
    </row>
    <row r="620" spans="1:13" x14ac:dyDescent="0.2">
      <c r="A620" t="str">
        <f>raw_data!A620</f>
        <v>2018Q2</v>
      </c>
      <c r="B620" t="str">
        <f>raw_data!B620</f>
        <v>Queensland</v>
      </c>
      <c r="C620" t="str">
        <f>raw_data!C620</f>
        <v>Accommodation and Food Services</v>
      </c>
      <c r="D620">
        <f>raw_data!D620</f>
        <v>24.96</v>
      </c>
      <c r="E620">
        <f>raw_data!E620</f>
        <v>38.46</v>
      </c>
      <c r="F620">
        <f>raw_data!F620</f>
        <v>4.75</v>
      </c>
      <c r="G620">
        <f>raw_data!G620</f>
        <v>22.95</v>
      </c>
      <c r="H620">
        <f>(raw_data!D620*weights!$B$2)+(raw_data!E620*weights!$B$3)+(raw_data!F620*weights!$B$4)</f>
        <v>22.947000000000003</v>
      </c>
      <c r="I620" t="str">
        <f t="shared" si="18"/>
        <v>Low</v>
      </c>
      <c r="J620" t="str">
        <f t="shared" si="19"/>
        <v>2018 Q2</v>
      </c>
      <c r="K620">
        <f>raw_data!H620</f>
        <v>9.98</v>
      </c>
      <c r="L620" s="13">
        <f>raw_data!I620</f>
        <v>11.54</v>
      </c>
      <c r="M620" s="13">
        <f>raw_data!J620</f>
        <v>1.43</v>
      </c>
    </row>
    <row r="621" spans="1:13" x14ac:dyDescent="0.2">
      <c r="A621" t="str">
        <f>raw_data!A621</f>
        <v>2018Q2</v>
      </c>
      <c r="B621" t="str">
        <f>raw_data!B621</f>
        <v>Queensland</v>
      </c>
      <c r="C621" t="str">
        <f>raw_data!C621</f>
        <v>Construction</v>
      </c>
      <c r="D621">
        <f>raw_data!D621</f>
        <v>15.96</v>
      </c>
      <c r="E621">
        <f>raw_data!E621</f>
        <v>32.69</v>
      </c>
      <c r="F621">
        <f>raw_data!F621</f>
        <v>5.62</v>
      </c>
      <c r="G621">
        <f>raw_data!G621</f>
        <v>17.88</v>
      </c>
      <c r="H621">
        <f>(raw_data!D621*weights!$B$2)+(raw_data!E621*weights!$B$3)+(raw_data!F621*weights!$B$4)</f>
        <v>17.876999999999999</v>
      </c>
      <c r="I621" t="str">
        <f t="shared" si="18"/>
        <v>Low</v>
      </c>
      <c r="J621" t="str">
        <f t="shared" si="19"/>
        <v>2018 Q2</v>
      </c>
      <c r="K621">
        <f>raw_data!H621</f>
        <v>6.38</v>
      </c>
      <c r="L621" s="13">
        <f>raw_data!I621</f>
        <v>9.81</v>
      </c>
      <c r="M621" s="13">
        <f>raw_data!J621</f>
        <v>1.69</v>
      </c>
    </row>
    <row r="622" spans="1:13" x14ac:dyDescent="0.2">
      <c r="A622" t="str">
        <f>raw_data!A622</f>
        <v>2018Q2</v>
      </c>
      <c r="B622" t="str">
        <f>raw_data!B622</f>
        <v>Queensland</v>
      </c>
      <c r="C622" t="str">
        <f>raw_data!C622</f>
        <v>Education and Training</v>
      </c>
      <c r="D622">
        <f>raw_data!D622</f>
        <v>6.86</v>
      </c>
      <c r="E622">
        <f>raw_data!E622</f>
        <v>42.31</v>
      </c>
      <c r="F622">
        <f>raw_data!F622</f>
        <v>4.95</v>
      </c>
      <c r="G622">
        <f>raw_data!G622</f>
        <v>16.920000000000002</v>
      </c>
      <c r="H622">
        <f>(raw_data!D622*weights!$B$2)+(raw_data!E622*weights!$B$3)+(raw_data!F622*weights!$B$4)</f>
        <v>16.922000000000001</v>
      </c>
      <c r="I622" t="str">
        <f t="shared" si="18"/>
        <v>Low</v>
      </c>
      <c r="J622" t="str">
        <f t="shared" si="19"/>
        <v>2018 Q2</v>
      </c>
      <c r="K622">
        <f>raw_data!H622</f>
        <v>2.74</v>
      </c>
      <c r="L622" s="13">
        <f>raw_data!I622</f>
        <v>12.69</v>
      </c>
      <c r="M622" s="13">
        <f>raw_data!J622</f>
        <v>1.49</v>
      </c>
    </row>
    <row r="623" spans="1:13" x14ac:dyDescent="0.2">
      <c r="A623" t="str">
        <f>raw_data!A623</f>
        <v>2018Q2</v>
      </c>
      <c r="B623" t="str">
        <f>raw_data!B623</f>
        <v>Queensland</v>
      </c>
      <c r="C623" t="str">
        <f>raw_data!C623</f>
        <v>Health Care and Social Assistance</v>
      </c>
      <c r="D623">
        <f>raw_data!D623</f>
        <v>17.09</v>
      </c>
      <c r="E623">
        <f>raw_data!E623</f>
        <v>46.15</v>
      </c>
      <c r="F623">
        <f>raw_data!F623</f>
        <v>15.06</v>
      </c>
      <c r="G623">
        <f>raw_data!G623</f>
        <v>25.2</v>
      </c>
      <c r="H623">
        <f>(raw_data!D623*weights!$B$2)+(raw_data!E623*weights!$B$3)+(raw_data!F623*weights!$B$4)</f>
        <v>25.198999999999998</v>
      </c>
      <c r="I623" t="str">
        <f t="shared" si="18"/>
        <v>Moderate</v>
      </c>
      <c r="J623" t="str">
        <f t="shared" si="19"/>
        <v>2018 Q2</v>
      </c>
      <c r="K623">
        <f>raw_data!H623</f>
        <v>6.84</v>
      </c>
      <c r="L623" s="13">
        <f>raw_data!I623</f>
        <v>13.85</v>
      </c>
      <c r="M623" s="13">
        <f>raw_data!J623</f>
        <v>4.5199999999999996</v>
      </c>
    </row>
    <row r="624" spans="1:13" x14ac:dyDescent="0.2">
      <c r="A624" t="str">
        <f>raw_data!A624</f>
        <v>2018Q2</v>
      </c>
      <c r="B624" t="str">
        <f>raw_data!B624</f>
        <v>Queensland</v>
      </c>
      <c r="C624" t="str">
        <f>raw_data!C624</f>
        <v>Manufacturing</v>
      </c>
      <c r="D624">
        <f>raw_data!D624</f>
        <v>16.149999999999999</v>
      </c>
      <c r="E624">
        <f>raw_data!E624</f>
        <v>36.54</v>
      </c>
      <c r="F624">
        <f>raw_data!F624</f>
        <v>5.31</v>
      </c>
      <c r="G624">
        <f>raw_data!G624</f>
        <v>19.010000000000002</v>
      </c>
      <c r="H624">
        <f>(raw_data!D624*weights!$B$2)+(raw_data!E624*weights!$B$3)+(raw_data!F624*weights!$B$4)</f>
        <v>19.015000000000001</v>
      </c>
      <c r="I624" t="str">
        <f t="shared" si="18"/>
        <v>Low</v>
      </c>
      <c r="J624" t="str">
        <f t="shared" si="19"/>
        <v>2018 Q2</v>
      </c>
      <c r="K624">
        <f>raw_data!H624</f>
        <v>6.46</v>
      </c>
      <c r="L624" s="13">
        <f>raw_data!I624</f>
        <v>10.96</v>
      </c>
      <c r="M624" s="13">
        <f>raw_data!J624</f>
        <v>1.59</v>
      </c>
    </row>
    <row r="625" spans="1:13" x14ac:dyDescent="0.2">
      <c r="A625" t="str">
        <f>raw_data!A625</f>
        <v>2018Q2</v>
      </c>
      <c r="B625" t="str">
        <f>raw_data!B625</f>
        <v>Queensland</v>
      </c>
      <c r="C625" t="str">
        <f>raw_data!C625</f>
        <v>Professional, Scientific and Technical Services</v>
      </c>
      <c r="D625">
        <f>raw_data!D625</f>
        <v>40.380000000000003</v>
      </c>
      <c r="E625">
        <f>raw_data!E625</f>
        <v>28.85</v>
      </c>
      <c r="F625">
        <f>raw_data!F625</f>
        <v>45.86</v>
      </c>
      <c r="G625">
        <f>raw_data!G625</f>
        <v>38.57</v>
      </c>
      <c r="H625">
        <f>(raw_data!D625*weights!$B$2)+(raw_data!E625*weights!$B$3)+(raw_data!F625*weights!$B$4)</f>
        <v>38.564999999999998</v>
      </c>
      <c r="I625" t="str">
        <f t="shared" si="18"/>
        <v>Moderate</v>
      </c>
      <c r="J625" t="str">
        <f t="shared" si="19"/>
        <v>2018 Q2</v>
      </c>
      <c r="K625">
        <f>raw_data!H625</f>
        <v>16.149999999999999</v>
      </c>
      <c r="L625" s="13">
        <f>raw_data!I625</f>
        <v>8.65</v>
      </c>
      <c r="M625" s="13">
        <f>raw_data!J625</f>
        <v>13.76</v>
      </c>
    </row>
    <row r="626" spans="1:13" x14ac:dyDescent="0.2">
      <c r="A626" t="str">
        <f>raw_data!A626</f>
        <v>2018Q2</v>
      </c>
      <c r="B626" t="str">
        <f>raw_data!B626</f>
        <v>Victoria</v>
      </c>
      <c r="C626" t="str">
        <f>raw_data!C626</f>
        <v>Accommodation and Food Services</v>
      </c>
      <c r="D626">
        <f>raw_data!D626</f>
        <v>17.22</v>
      </c>
      <c r="E626">
        <f>raw_data!E626</f>
        <v>38.46</v>
      </c>
      <c r="F626">
        <f>raw_data!F626</f>
        <v>5.85</v>
      </c>
      <c r="G626">
        <f>raw_data!G626</f>
        <v>20.18</v>
      </c>
      <c r="H626">
        <f>(raw_data!D626*weights!$B$2)+(raw_data!E626*weights!$B$3)+(raw_data!F626*weights!$B$4)</f>
        <v>20.181000000000001</v>
      </c>
      <c r="I626" t="str">
        <f t="shared" si="18"/>
        <v>Low</v>
      </c>
      <c r="J626" t="str">
        <f t="shared" si="19"/>
        <v>2018 Q2</v>
      </c>
      <c r="K626">
        <f>raw_data!H626</f>
        <v>6.89</v>
      </c>
      <c r="L626" s="13">
        <f>raw_data!I626</f>
        <v>11.54</v>
      </c>
      <c r="M626" s="13">
        <f>raw_data!J626</f>
        <v>1.76</v>
      </c>
    </row>
    <row r="627" spans="1:13" x14ac:dyDescent="0.2">
      <c r="A627" t="str">
        <f>raw_data!A627</f>
        <v>2018Q2</v>
      </c>
      <c r="B627" t="str">
        <f>raw_data!B627</f>
        <v>Victoria</v>
      </c>
      <c r="C627" t="str">
        <f>raw_data!C627</f>
        <v>Construction</v>
      </c>
      <c r="D627">
        <f>raw_data!D627</f>
        <v>10.68</v>
      </c>
      <c r="E627">
        <f>raw_data!E627</f>
        <v>32.69</v>
      </c>
      <c r="F627">
        <f>raw_data!F627</f>
        <v>10.69</v>
      </c>
      <c r="G627">
        <f>raw_data!G627</f>
        <v>17.29</v>
      </c>
      <c r="H627">
        <f>(raw_data!D627*weights!$B$2)+(raw_data!E627*weights!$B$3)+(raw_data!F627*weights!$B$4)</f>
        <v>17.285999999999998</v>
      </c>
      <c r="I627" t="str">
        <f t="shared" si="18"/>
        <v>Low</v>
      </c>
      <c r="J627" t="str">
        <f t="shared" si="19"/>
        <v>2018 Q2</v>
      </c>
      <c r="K627">
        <f>raw_data!H627</f>
        <v>4.2699999999999996</v>
      </c>
      <c r="L627" s="13">
        <f>raw_data!I627</f>
        <v>9.81</v>
      </c>
      <c r="M627" s="13">
        <f>raw_data!J627</f>
        <v>3.21</v>
      </c>
    </row>
    <row r="628" spans="1:13" x14ac:dyDescent="0.2">
      <c r="A628" t="str">
        <f>raw_data!A628</f>
        <v>2018Q2</v>
      </c>
      <c r="B628" t="str">
        <f>raw_data!B628</f>
        <v>Victoria</v>
      </c>
      <c r="C628" t="str">
        <f>raw_data!C628</f>
        <v>Education and Training</v>
      </c>
      <c r="D628">
        <f>raw_data!D628</f>
        <v>4.72</v>
      </c>
      <c r="E628">
        <f>raw_data!E628</f>
        <v>42.31</v>
      </c>
      <c r="F628">
        <f>raw_data!F628</f>
        <v>4.6399999999999997</v>
      </c>
      <c r="G628">
        <f>raw_data!G628</f>
        <v>15.97</v>
      </c>
      <c r="H628">
        <f>(raw_data!D628*weights!$B$2)+(raw_data!E628*weights!$B$3)+(raw_data!F628*weights!$B$4)</f>
        <v>15.972999999999999</v>
      </c>
      <c r="I628" t="str">
        <f t="shared" si="18"/>
        <v>Low</v>
      </c>
      <c r="J628" t="str">
        <f t="shared" si="19"/>
        <v>2018 Q2</v>
      </c>
      <c r="K628">
        <f>raw_data!H628</f>
        <v>1.89</v>
      </c>
      <c r="L628" s="13">
        <f>raw_data!I628</f>
        <v>12.69</v>
      </c>
      <c r="M628" s="13">
        <f>raw_data!J628</f>
        <v>1.39</v>
      </c>
    </row>
    <row r="629" spans="1:13" x14ac:dyDescent="0.2">
      <c r="A629" t="str">
        <f>raw_data!A629</f>
        <v>2018Q2</v>
      </c>
      <c r="B629" t="str">
        <f>raw_data!B629</f>
        <v>Victoria</v>
      </c>
      <c r="C629" t="str">
        <f>raw_data!C629</f>
        <v>Health Care and Social Assistance</v>
      </c>
      <c r="D629">
        <f>raw_data!D629</f>
        <v>14.34</v>
      </c>
      <c r="E629">
        <f>raw_data!E629</f>
        <v>46.15</v>
      </c>
      <c r="F629">
        <f>raw_data!F629</f>
        <v>14.74</v>
      </c>
      <c r="G629">
        <f>raw_data!G629</f>
        <v>24</v>
      </c>
      <c r="H629">
        <f>(raw_data!D629*weights!$B$2)+(raw_data!E629*weights!$B$3)+(raw_data!F629*weights!$B$4)</f>
        <v>24.003</v>
      </c>
      <c r="I629" t="str">
        <f t="shared" si="18"/>
        <v>Low</v>
      </c>
      <c r="J629" t="str">
        <f t="shared" si="19"/>
        <v>2018 Q2</v>
      </c>
      <c r="K629">
        <f>raw_data!H629</f>
        <v>5.74</v>
      </c>
      <c r="L629" s="13">
        <f>raw_data!I629</f>
        <v>13.85</v>
      </c>
      <c r="M629" s="13">
        <f>raw_data!J629</f>
        <v>4.42</v>
      </c>
    </row>
    <row r="630" spans="1:13" x14ac:dyDescent="0.2">
      <c r="A630" t="str">
        <f>raw_data!A630</f>
        <v>2018Q2</v>
      </c>
      <c r="B630" t="str">
        <f>raw_data!B630</f>
        <v>Victoria</v>
      </c>
      <c r="C630" t="str">
        <f>raw_data!C630</f>
        <v>Manufacturing</v>
      </c>
      <c r="D630">
        <f>raw_data!D630</f>
        <v>9.1199999999999992</v>
      </c>
      <c r="E630">
        <f>raw_data!E630</f>
        <v>36.54</v>
      </c>
      <c r="F630">
        <f>raw_data!F630</f>
        <v>6.22</v>
      </c>
      <c r="G630">
        <f>raw_data!G630</f>
        <v>16.48</v>
      </c>
      <c r="H630">
        <f>(raw_data!D630*weights!$B$2)+(raw_data!E630*weights!$B$3)+(raw_data!F630*weights!$B$4)</f>
        <v>16.475999999999999</v>
      </c>
      <c r="I630" t="str">
        <f t="shared" si="18"/>
        <v>Low</v>
      </c>
      <c r="J630" t="str">
        <f t="shared" si="19"/>
        <v>2018 Q2</v>
      </c>
      <c r="K630">
        <f>raw_data!H630</f>
        <v>3.65</v>
      </c>
      <c r="L630" s="13">
        <f>raw_data!I630</f>
        <v>10.96</v>
      </c>
      <c r="M630" s="13">
        <f>raw_data!J630</f>
        <v>1.87</v>
      </c>
    </row>
    <row r="631" spans="1:13" x14ac:dyDescent="0.2">
      <c r="A631" t="str">
        <f>raw_data!A631</f>
        <v>2018Q2</v>
      </c>
      <c r="B631" t="str">
        <f>raw_data!B631</f>
        <v>Victoria</v>
      </c>
      <c r="C631" t="str">
        <f>raw_data!C631</f>
        <v>Professional, Scientific and Technical Services</v>
      </c>
      <c r="D631">
        <f>raw_data!D631</f>
        <v>24.27</v>
      </c>
      <c r="E631">
        <f>raw_data!E631</f>
        <v>28.85</v>
      </c>
      <c r="F631">
        <f>raw_data!F631</f>
        <v>23.39</v>
      </c>
      <c r="G631">
        <f>raw_data!G631</f>
        <v>25.38</v>
      </c>
      <c r="H631">
        <f>(raw_data!D631*weights!$B$2)+(raw_data!E631*weights!$B$3)+(raw_data!F631*weights!$B$4)</f>
        <v>25.38</v>
      </c>
      <c r="I631" t="str">
        <f t="shared" si="18"/>
        <v>Moderate</v>
      </c>
      <c r="J631" t="str">
        <f t="shared" si="19"/>
        <v>2018 Q2</v>
      </c>
      <c r="K631">
        <f>raw_data!H631</f>
        <v>9.7100000000000009</v>
      </c>
      <c r="L631" s="13">
        <f>raw_data!I631</f>
        <v>8.65</v>
      </c>
      <c r="M631" s="13">
        <f>raw_data!J631</f>
        <v>7.02</v>
      </c>
    </row>
    <row r="632" spans="1:13" x14ac:dyDescent="0.2">
      <c r="A632" t="str">
        <f>raw_data!A632</f>
        <v>2018Q3</v>
      </c>
      <c r="B632" t="str">
        <f>raw_data!B632</f>
        <v>New South Wales</v>
      </c>
      <c r="C632" t="str">
        <f>raw_data!C632</f>
        <v>Accommodation and Food Services</v>
      </c>
      <c r="D632">
        <f>raw_data!D632</f>
        <v>21.04</v>
      </c>
      <c r="E632">
        <f>raw_data!E632</f>
        <v>40.380000000000003</v>
      </c>
      <c r="F632">
        <f>raw_data!F632</f>
        <v>3.9</v>
      </c>
      <c r="G632">
        <f>raw_data!G632</f>
        <v>21.7</v>
      </c>
      <c r="H632">
        <f>(raw_data!D632*weights!$B$2)+(raw_data!E632*weights!$B$3)+(raw_data!F632*weights!$B$4)</f>
        <v>21.700000000000003</v>
      </c>
      <c r="I632" t="str">
        <f t="shared" si="18"/>
        <v>Low</v>
      </c>
      <c r="J632" t="str">
        <f t="shared" si="19"/>
        <v>2018 Q3</v>
      </c>
      <c r="K632">
        <f>raw_data!H632</f>
        <v>8.42</v>
      </c>
      <c r="L632" s="13">
        <f>raw_data!I632</f>
        <v>12.12</v>
      </c>
      <c r="M632" s="13">
        <f>raw_data!J632</f>
        <v>1.17</v>
      </c>
    </row>
    <row r="633" spans="1:13" x14ac:dyDescent="0.2">
      <c r="A633" t="str">
        <f>raw_data!A633</f>
        <v>2018Q3</v>
      </c>
      <c r="B633" t="str">
        <f>raw_data!B633</f>
        <v>New South Wales</v>
      </c>
      <c r="C633" t="str">
        <f>raw_data!C633</f>
        <v>Construction</v>
      </c>
      <c r="D633">
        <f>raw_data!D633</f>
        <v>9.85</v>
      </c>
      <c r="E633">
        <f>raw_data!E633</f>
        <v>30.77</v>
      </c>
      <c r="F633">
        <f>raw_data!F633</f>
        <v>7.89</v>
      </c>
      <c r="G633">
        <f>raw_data!G633</f>
        <v>15.54</v>
      </c>
      <c r="H633">
        <f>(raw_data!D633*weights!$B$2)+(raw_data!E633*weights!$B$3)+(raw_data!F633*weights!$B$4)</f>
        <v>15.538</v>
      </c>
      <c r="I633" t="str">
        <f t="shared" si="18"/>
        <v>Low</v>
      </c>
      <c r="J633" t="str">
        <f t="shared" si="19"/>
        <v>2018 Q3</v>
      </c>
      <c r="K633">
        <f>raw_data!H633</f>
        <v>3.94</v>
      </c>
      <c r="L633" s="13">
        <f>raw_data!I633</f>
        <v>9.23</v>
      </c>
      <c r="M633" s="13">
        <f>raw_data!J633</f>
        <v>2.37</v>
      </c>
    </row>
    <row r="634" spans="1:13" x14ac:dyDescent="0.2">
      <c r="A634" t="str">
        <f>raw_data!A634</f>
        <v>2018Q3</v>
      </c>
      <c r="B634" t="str">
        <f>raw_data!B634</f>
        <v>New South Wales</v>
      </c>
      <c r="C634" t="str">
        <f>raw_data!C634</f>
        <v>Education and Training</v>
      </c>
      <c r="D634">
        <f>raw_data!D634</f>
        <v>4.3499999999999996</v>
      </c>
      <c r="E634">
        <f>raw_data!E634</f>
        <v>46.15</v>
      </c>
      <c r="F634">
        <f>raw_data!F634</f>
        <v>4.59</v>
      </c>
      <c r="G634">
        <f>raw_data!G634</f>
        <v>16.96</v>
      </c>
      <c r="H634">
        <f>(raw_data!D634*weights!$B$2)+(raw_data!E634*weights!$B$3)+(raw_data!F634*weights!$B$4)</f>
        <v>16.962</v>
      </c>
      <c r="I634" t="str">
        <f t="shared" si="18"/>
        <v>Low</v>
      </c>
      <c r="J634" t="str">
        <f t="shared" si="19"/>
        <v>2018 Q3</v>
      </c>
      <c r="K634">
        <f>raw_data!H634</f>
        <v>1.74</v>
      </c>
      <c r="L634" s="13">
        <f>raw_data!I634</f>
        <v>13.85</v>
      </c>
      <c r="M634" s="13">
        <f>raw_data!J634</f>
        <v>1.38</v>
      </c>
    </row>
    <row r="635" spans="1:13" x14ac:dyDescent="0.2">
      <c r="A635" t="str">
        <f>raw_data!A635</f>
        <v>2018Q3</v>
      </c>
      <c r="B635" t="str">
        <f>raw_data!B635</f>
        <v>New South Wales</v>
      </c>
      <c r="C635" t="str">
        <f>raw_data!C635</f>
        <v>Health Care and Social Assistance</v>
      </c>
      <c r="D635">
        <f>raw_data!D635</f>
        <v>12.67</v>
      </c>
      <c r="E635">
        <f>raw_data!E635</f>
        <v>48.08</v>
      </c>
      <c r="F635">
        <f>raw_data!F635</f>
        <v>10.4</v>
      </c>
      <c r="G635">
        <f>raw_data!G635</f>
        <v>22.61</v>
      </c>
      <c r="H635">
        <f>(raw_data!D635*weights!$B$2)+(raw_data!E635*weights!$B$3)+(raw_data!F635*weights!$B$4)</f>
        <v>22.612000000000002</v>
      </c>
      <c r="I635" t="str">
        <f t="shared" si="18"/>
        <v>Low</v>
      </c>
      <c r="J635" t="str">
        <f t="shared" si="19"/>
        <v>2018 Q3</v>
      </c>
      <c r="K635">
        <f>raw_data!H635</f>
        <v>5.07</v>
      </c>
      <c r="L635" s="13">
        <f>raw_data!I635</f>
        <v>14.42</v>
      </c>
      <c r="M635" s="13">
        <f>raw_data!J635</f>
        <v>3.12</v>
      </c>
    </row>
    <row r="636" spans="1:13" x14ac:dyDescent="0.2">
      <c r="A636" t="str">
        <f>raw_data!A636</f>
        <v>2018Q3</v>
      </c>
      <c r="B636" t="str">
        <f>raw_data!B636</f>
        <v>New South Wales</v>
      </c>
      <c r="C636" t="str">
        <f>raw_data!C636</f>
        <v>Manufacturing</v>
      </c>
      <c r="D636">
        <f>raw_data!D636</f>
        <v>7.77</v>
      </c>
      <c r="E636">
        <f>raw_data!E636</f>
        <v>38.46</v>
      </c>
      <c r="F636">
        <f>raw_data!F636</f>
        <v>8.5500000000000007</v>
      </c>
      <c r="G636">
        <f>raw_data!G636</f>
        <v>17.21</v>
      </c>
      <c r="H636">
        <f>(raw_data!D636*weights!$B$2)+(raw_data!E636*weights!$B$3)+(raw_data!F636*weights!$B$4)</f>
        <v>17.211000000000002</v>
      </c>
      <c r="I636" t="str">
        <f t="shared" si="18"/>
        <v>Low</v>
      </c>
      <c r="J636" t="str">
        <f t="shared" si="19"/>
        <v>2018 Q3</v>
      </c>
      <c r="K636">
        <f>raw_data!H636</f>
        <v>3.11</v>
      </c>
      <c r="L636" s="13">
        <f>raw_data!I636</f>
        <v>11.54</v>
      </c>
      <c r="M636" s="13">
        <f>raw_data!J636</f>
        <v>2.56</v>
      </c>
    </row>
    <row r="637" spans="1:13" x14ac:dyDescent="0.2">
      <c r="A637" t="str">
        <f>raw_data!A637</f>
        <v>2018Q3</v>
      </c>
      <c r="B637" t="str">
        <f>raw_data!B637</f>
        <v>New South Wales</v>
      </c>
      <c r="C637" t="str">
        <f>raw_data!C637</f>
        <v>Professional, Scientific and Technical Services</v>
      </c>
      <c r="D637">
        <f>raw_data!D637</f>
        <v>17.399999999999999</v>
      </c>
      <c r="E637">
        <f>raw_data!E637</f>
        <v>32.69</v>
      </c>
      <c r="F637">
        <f>raw_data!F637</f>
        <v>13.1</v>
      </c>
      <c r="G637">
        <f>raw_data!G637</f>
        <v>20.7</v>
      </c>
      <c r="H637">
        <f>(raw_data!D637*weights!$B$2)+(raw_data!E637*weights!$B$3)+(raw_data!F637*weights!$B$4)</f>
        <v>20.696999999999999</v>
      </c>
      <c r="I637" t="str">
        <f t="shared" si="18"/>
        <v>Low</v>
      </c>
      <c r="J637" t="str">
        <f t="shared" si="19"/>
        <v>2018 Q3</v>
      </c>
      <c r="K637">
        <f>raw_data!H637</f>
        <v>6.96</v>
      </c>
      <c r="L637" s="13">
        <f>raw_data!I637</f>
        <v>9.81</v>
      </c>
      <c r="M637" s="13">
        <f>raw_data!J637</f>
        <v>3.93</v>
      </c>
    </row>
    <row r="638" spans="1:13" x14ac:dyDescent="0.2">
      <c r="A638" t="str">
        <f>raw_data!A638</f>
        <v>2018Q3</v>
      </c>
      <c r="B638" t="str">
        <f>raw_data!B638</f>
        <v>Queensland</v>
      </c>
      <c r="C638" t="str">
        <f>raw_data!C638</f>
        <v>Accommodation and Food Services</v>
      </c>
      <c r="D638">
        <f>raw_data!D638</f>
        <v>29.65</v>
      </c>
      <c r="E638">
        <f>raw_data!E638</f>
        <v>40.380000000000003</v>
      </c>
      <c r="F638">
        <f>raw_data!F638</f>
        <v>5.44</v>
      </c>
      <c r="G638">
        <f>raw_data!G638</f>
        <v>25.61</v>
      </c>
      <c r="H638">
        <f>(raw_data!D638*weights!$B$2)+(raw_data!E638*weights!$B$3)+(raw_data!F638*weights!$B$4)</f>
        <v>25.606000000000002</v>
      </c>
      <c r="I638" t="str">
        <f t="shared" si="18"/>
        <v>Moderate</v>
      </c>
      <c r="J638" t="str">
        <f t="shared" si="19"/>
        <v>2018 Q3</v>
      </c>
      <c r="K638">
        <f>raw_data!H638</f>
        <v>11.86</v>
      </c>
      <c r="L638" s="13">
        <f>raw_data!I638</f>
        <v>12.12</v>
      </c>
      <c r="M638" s="13">
        <f>raw_data!J638</f>
        <v>1.63</v>
      </c>
    </row>
    <row r="639" spans="1:13" x14ac:dyDescent="0.2">
      <c r="A639" t="str">
        <f>raw_data!A639</f>
        <v>2018Q3</v>
      </c>
      <c r="B639" t="str">
        <f>raw_data!B639</f>
        <v>Queensland</v>
      </c>
      <c r="C639" t="str">
        <f>raw_data!C639</f>
        <v>Construction</v>
      </c>
      <c r="D639">
        <f>raw_data!D639</f>
        <v>17.329999999999998</v>
      </c>
      <c r="E639">
        <f>raw_data!E639</f>
        <v>30.77</v>
      </c>
      <c r="F639">
        <f>raw_data!F639</f>
        <v>5.5</v>
      </c>
      <c r="G639">
        <f>raw_data!G639</f>
        <v>17.809999999999999</v>
      </c>
      <c r="H639">
        <f>(raw_data!D639*weights!$B$2)+(raw_data!E639*weights!$B$3)+(raw_data!F639*weights!$B$4)</f>
        <v>17.812999999999999</v>
      </c>
      <c r="I639" t="str">
        <f t="shared" si="18"/>
        <v>Low</v>
      </c>
      <c r="J639" t="str">
        <f t="shared" si="19"/>
        <v>2018 Q3</v>
      </c>
      <c r="K639">
        <f>raw_data!H639</f>
        <v>6.93</v>
      </c>
      <c r="L639" s="13">
        <f>raw_data!I639</f>
        <v>9.23</v>
      </c>
      <c r="M639" s="13">
        <f>raw_data!J639</f>
        <v>1.65</v>
      </c>
    </row>
    <row r="640" spans="1:13" x14ac:dyDescent="0.2">
      <c r="A640" t="str">
        <f>raw_data!A640</f>
        <v>2018Q3</v>
      </c>
      <c r="B640" t="str">
        <f>raw_data!B640</f>
        <v>Queensland</v>
      </c>
      <c r="C640" t="str">
        <f>raw_data!C640</f>
        <v>Education and Training</v>
      </c>
      <c r="D640">
        <f>raw_data!D640</f>
        <v>7.04</v>
      </c>
      <c r="E640">
        <f>raw_data!E640</f>
        <v>46.15</v>
      </c>
      <c r="F640">
        <f>raw_data!F640</f>
        <v>13.29</v>
      </c>
      <c r="G640">
        <f>raw_data!G640</f>
        <v>20.65</v>
      </c>
      <c r="H640">
        <f>(raw_data!D640*weights!$B$2)+(raw_data!E640*weights!$B$3)+(raw_data!F640*weights!$B$4)</f>
        <v>20.647999999999996</v>
      </c>
      <c r="I640" t="str">
        <f t="shared" si="18"/>
        <v>Low</v>
      </c>
      <c r="J640" t="str">
        <f t="shared" si="19"/>
        <v>2018 Q3</v>
      </c>
      <c r="K640">
        <f>raw_data!H640</f>
        <v>2.82</v>
      </c>
      <c r="L640" s="13">
        <f>raw_data!I640</f>
        <v>13.85</v>
      </c>
      <c r="M640" s="13">
        <f>raw_data!J640</f>
        <v>3.99</v>
      </c>
    </row>
    <row r="641" spans="1:13" x14ac:dyDescent="0.2">
      <c r="A641" t="str">
        <f>raw_data!A641</f>
        <v>2018Q3</v>
      </c>
      <c r="B641" t="str">
        <f>raw_data!B641</f>
        <v>Queensland</v>
      </c>
      <c r="C641" t="str">
        <f>raw_data!C641</f>
        <v>Health Care and Social Assistance</v>
      </c>
      <c r="D641">
        <f>raw_data!D641</f>
        <v>20.62</v>
      </c>
      <c r="E641">
        <f>raw_data!E641</f>
        <v>48.08</v>
      </c>
      <c r="F641">
        <f>raw_data!F641</f>
        <v>23.99</v>
      </c>
      <c r="G641">
        <f>raw_data!G641</f>
        <v>29.87</v>
      </c>
      <c r="H641">
        <f>(raw_data!D641*weights!$B$2)+(raw_data!E641*weights!$B$3)+(raw_data!F641*weights!$B$4)</f>
        <v>29.869</v>
      </c>
      <c r="I641" t="str">
        <f t="shared" si="18"/>
        <v>Moderate</v>
      </c>
      <c r="J641" t="str">
        <f t="shared" si="19"/>
        <v>2018 Q3</v>
      </c>
      <c r="K641">
        <f>raw_data!H641</f>
        <v>8.25</v>
      </c>
      <c r="L641" s="13">
        <f>raw_data!I641</f>
        <v>14.42</v>
      </c>
      <c r="M641" s="13">
        <f>raw_data!J641</f>
        <v>7.2</v>
      </c>
    </row>
    <row r="642" spans="1:13" x14ac:dyDescent="0.2">
      <c r="A642" t="str">
        <f>raw_data!A642</f>
        <v>2018Q3</v>
      </c>
      <c r="B642" t="str">
        <f>raw_data!B642</f>
        <v>Queensland</v>
      </c>
      <c r="C642" t="str">
        <f>raw_data!C642</f>
        <v>Manufacturing</v>
      </c>
      <c r="D642">
        <f>raw_data!D642</f>
        <v>13.48</v>
      </c>
      <c r="E642">
        <f>raw_data!E642</f>
        <v>38.46</v>
      </c>
      <c r="F642">
        <f>raw_data!F642</f>
        <v>7.59</v>
      </c>
      <c r="G642">
        <f>raw_data!G642</f>
        <v>19.21</v>
      </c>
      <c r="H642">
        <f>(raw_data!D642*weights!$B$2)+(raw_data!E642*weights!$B$3)+(raw_data!F642*weights!$B$4)</f>
        <v>19.207000000000001</v>
      </c>
      <c r="I642" t="str">
        <f t="shared" si="18"/>
        <v>Low</v>
      </c>
      <c r="J642" t="str">
        <f t="shared" si="19"/>
        <v>2018 Q3</v>
      </c>
      <c r="K642">
        <f>raw_data!H642</f>
        <v>5.39</v>
      </c>
      <c r="L642" s="13">
        <f>raw_data!I642</f>
        <v>11.54</v>
      </c>
      <c r="M642" s="13">
        <f>raw_data!J642</f>
        <v>2.2799999999999998</v>
      </c>
    </row>
    <row r="643" spans="1:13" x14ac:dyDescent="0.2">
      <c r="A643" t="str">
        <f>raw_data!A643</f>
        <v>2018Q3</v>
      </c>
      <c r="B643" t="str">
        <f>raw_data!B643</f>
        <v>Queensland</v>
      </c>
      <c r="C643" t="str">
        <f>raw_data!C643</f>
        <v>Professional, Scientific and Technical Services</v>
      </c>
      <c r="D643">
        <f>raw_data!D643</f>
        <v>45.13</v>
      </c>
      <c r="E643">
        <f>raw_data!E643</f>
        <v>32.69</v>
      </c>
      <c r="F643">
        <f>raw_data!F643</f>
        <v>36.26</v>
      </c>
      <c r="G643">
        <f>raw_data!G643</f>
        <v>38.74</v>
      </c>
      <c r="H643">
        <f>(raw_data!D643*weights!$B$2)+(raw_data!E643*weights!$B$3)+(raw_data!F643*weights!$B$4)</f>
        <v>38.737000000000002</v>
      </c>
      <c r="I643" t="str">
        <f t="shared" ref="I643:I706" si="20">IF(H643&gt;=60,"Critical",IF(H643&gt;=45,"High",IF(H643&gt;=25,"Moderate","Low")))</f>
        <v>Moderate</v>
      </c>
      <c r="J643" t="str">
        <f t="shared" ref="J643:J706" si="21">LEFT(A643,4)&amp;" "&amp;RIGHT(A643,2)</f>
        <v>2018 Q3</v>
      </c>
      <c r="K643">
        <f>raw_data!H643</f>
        <v>18.05</v>
      </c>
      <c r="L643" s="13">
        <f>raw_data!I643</f>
        <v>9.81</v>
      </c>
      <c r="M643" s="13">
        <f>raw_data!J643</f>
        <v>10.88</v>
      </c>
    </row>
    <row r="644" spans="1:13" x14ac:dyDescent="0.2">
      <c r="A644" t="str">
        <f>raw_data!A644</f>
        <v>2018Q3</v>
      </c>
      <c r="B644" t="str">
        <f>raw_data!B644</f>
        <v>Victoria</v>
      </c>
      <c r="C644" t="str">
        <f>raw_data!C644</f>
        <v>Accommodation and Food Services</v>
      </c>
      <c r="D644">
        <f>raw_data!D644</f>
        <v>25.04</v>
      </c>
      <c r="E644">
        <f>raw_data!E644</f>
        <v>40.380000000000003</v>
      </c>
      <c r="F644">
        <f>raw_data!F644</f>
        <v>5.29</v>
      </c>
      <c r="G644">
        <f>raw_data!G644</f>
        <v>23.72</v>
      </c>
      <c r="H644">
        <f>(raw_data!D644*weights!$B$2)+(raw_data!E644*weights!$B$3)+(raw_data!F644*weights!$B$4)</f>
        <v>23.717000000000002</v>
      </c>
      <c r="I644" t="str">
        <f t="shared" si="20"/>
        <v>Low</v>
      </c>
      <c r="J644" t="str">
        <f t="shared" si="21"/>
        <v>2018 Q3</v>
      </c>
      <c r="K644">
        <f>raw_data!H644</f>
        <v>10.02</v>
      </c>
      <c r="L644" s="13">
        <f>raw_data!I644</f>
        <v>12.12</v>
      </c>
      <c r="M644" s="13">
        <f>raw_data!J644</f>
        <v>1.59</v>
      </c>
    </row>
    <row r="645" spans="1:13" x14ac:dyDescent="0.2">
      <c r="A645" t="str">
        <f>raw_data!A645</f>
        <v>2018Q3</v>
      </c>
      <c r="B645" t="str">
        <f>raw_data!B645</f>
        <v>Victoria</v>
      </c>
      <c r="C645" t="str">
        <f>raw_data!C645</f>
        <v>Construction</v>
      </c>
      <c r="D645">
        <f>raw_data!D645</f>
        <v>12.38</v>
      </c>
      <c r="E645">
        <f>raw_data!E645</f>
        <v>30.77</v>
      </c>
      <c r="F645">
        <f>raw_data!F645</f>
        <v>15.65</v>
      </c>
      <c r="G645">
        <f>raw_data!G645</f>
        <v>18.88</v>
      </c>
      <c r="H645">
        <f>(raw_data!D645*weights!$B$2)+(raw_data!E645*weights!$B$3)+(raw_data!F645*weights!$B$4)</f>
        <v>18.878</v>
      </c>
      <c r="I645" t="str">
        <f t="shared" si="20"/>
        <v>Low</v>
      </c>
      <c r="J645" t="str">
        <f t="shared" si="21"/>
        <v>2018 Q3</v>
      </c>
      <c r="K645">
        <f>raw_data!H645</f>
        <v>4.95</v>
      </c>
      <c r="L645" s="13">
        <f>raw_data!I645</f>
        <v>9.23</v>
      </c>
      <c r="M645" s="13">
        <f>raw_data!J645</f>
        <v>4.7</v>
      </c>
    </row>
    <row r="646" spans="1:13" x14ac:dyDescent="0.2">
      <c r="A646" t="str">
        <f>raw_data!A646</f>
        <v>2018Q3</v>
      </c>
      <c r="B646" t="str">
        <f>raw_data!B646</f>
        <v>Victoria</v>
      </c>
      <c r="C646" t="str">
        <f>raw_data!C646</f>
        <v>Education and Training</v>
      </c>
      <c r="D646">
        <f>raw_data!D646</f>
        <v>5.7</v>
      </c>
      <c r="E646">
        <f>raw_data!E646</f>
        <v>46.15</v>
      </c>
      <c r="F646">
        <f>raw_data!F646</f>
        <v>6.92</v>
      </c>
      <c r="G646">
        <f>raw_data!G646</f>
        <v>18.2</v>
      </c>
      <c r="H646">
        <f>(raw_data!D646*weights!$B$2)+(raw_data!E646*weights!$B$3)+(raw_data!F646*weights!$B$4)</f>
        <v>18.201000000000001</v>
      </c>
      <c r="I646" t="str">
        <f t="shared" si="20"/>
        <v>Low</v>
      </c>
      <c r="J646" t="str">
        <f t="shared" si="21"/>
        <v>2018 Q3</v>
      </c>
      <c r="K646">
        <f>raw_data!H646</f>
        <v>2.2799999999999998</v>
      </c>
      <c r="L646" s="13">
        <f>raw_data!I646</f>
        <v>13.85</v>
      </c>
      <c r="M646" s="13">
        <f>raw_data!J646</f>
        <v>2.08</v>
      </c>
    </row>
    <row r="647" spans="1:13" x14ac:dyDescent="0.2">
      <c r="A647" t="str">
        <f>raw_data!A647</f>
        <v>2018Q3</v>
      </c>
      <c r="B647" t="str">
        <f>raw_data!B647</f>
        <v>Victoria</v>
      </c>
      <c r="C647" t="str">
        <f>raw_data!C647</f>
        <v>Health Care and Social Assistance</v>
      </c>
      <c r="D647">
        <f>raw_data!D647</f>
        <v>15.11</v>
      </c>
      <c r="E647">
        <f>raw_data!E647</f>
        <v>48.08</v>
      </c>
      <c r="F647">
        <f>raw_data!F647</f>
        <v>15.2</v>
      </c>
      <c r="G647">
        <f>raw_data!G647</f>
        <v>25.03</v>
      </c>
      <c r="H647">
        <f>(raw_data!D647*weights!$B$2)+(raw_data!E647*weights!$B$3)+(raw_data!F647*weights!$B$4)</f>
        <v>25.027999999999999</v>
      </c>
      <c r="I647" t="str">
        <f t="shared" si="20"/>
        <v>Moderate</v>
      </c>
      <c r="J647" t="str">
        <f t="shared" si="21"/>
        <v>2018 Q3</v>
      </c>
      <c r="K647">
        <f>raw_data!H647</f>
        <v>6.04</v>
      </c>
      <c r="L647" s="13">
        <f>raw_data!I647</f>
        <v>14.42</v>
      </c>
      <c r="M647" s="13">
        <f>raw_data!J647</f>
        <v>4.5599999999999996</v>
      </c>
    </row>
    <row r="648" spans="1:13" x14ac:dyDescent="0.2">
      <c r="A648" t="str">
        <f>raw_data!A648</f>
        <v>2018Q3</v>
      </c>
      <c r="B648" t="str">
        <f>raw_data!B648</f>
        <v>Victoria</v>
      </c>
      <c r="C648" t="str">
        <f>raw_data!C648</f>
        <v>Manufacturing</v>
      </c>
      <c r="D648">
        <f>raw_data!D648</f>
        <v>8.09</v>
      </c>
      <c r="E648">
        <f>raw_data!E648</f>
        <v>38.46</v>
      </c>
      <c r="F648">
        <f>raw_data!F648</f>
        <v>3.45</v>
      </c>
      <c r="G648">
        <f>raw_data!G648</f>
        <v>15.81</v>
      </c>
      <c r="H648">
        <f>(raw_data!D648*weights!$B$2)+(raw_data!E648*weights!$B$3)+(raw_data!F648*weights!$B$4)</f>
        <v>15.809000000000001</v>
      </c>
      <c r="I648" t="str">
        <f t="shared" si="20"/>
        <v>Low</v>
      </c>
      <c r="J648" t="str">
        <f t="shared" si="21"/>
        <v>2018 Q3</v>
      </c>
      <c r="K648">
        <f>raw_data!H648</f>
        <v>3.24</v>
      </c>
      <c r="L648" s="13">
        <f>raw_data!I648</f>
        <v>11.54</v>
      </c>
      <c r="M648" s="13">
        <f>raw_data!J648</f>
        <v>1.03</v>
      </c>
    </row>
    <row r="649" spans="1:13" x14ac:dyDescent="0.2">
      <c r="A649" t="str">
        <f>raw_data!A649</f>
        <v>2018Q3</v>
      </c>
      <c r="B649" t="str">
        <f>raw_data!B649</f>
        <v>Victoria</v>
      </c>
      <c r="C649" t="str">
        <f>raw_data!C649</f>
        <v>Professional, Scientific and Technical Services</v>
      </c>
      <c r="D649">
        <f>raw_data!D649</f>
        <v>27.4</v>
      </c>
      <c r="E649">
        <f>raw_data!E649</f>
        <v>32.69</v>
      </c>
      <c r="F649">
        <f>raw_data!F649</f>
        <v>16.989999999999998</v>
      </c>
      <c r="G649">
        <f>raw_data!G649</f>
        <v>25.87</v>
      </c>
      <c r="H649">
        <f>(raw_data!D649*weights!$B$2)+(raw_data!E649*weights!$B$3)+(raw_data!F649*weights!$B$4)</f>
        <v>25.863999999999997</v>
      </c>
      <c r="I649" t="str">
        <f t="shared" si="20"/>
        <v>Moderate</v>
      </c>
      <c r="J649" t="str">
        <f t="shared" si="21"/>
        <v>2018 Q3</v>
      </c>
      <c r="K649">
        <f>raw_data!H649</f>
        <v>10.96</v>
      </c>
      <c r="L649" s="13">
        <f>raw_data!I649</f>
        <v>9.81</v>
      </c>
      <c r="M649" s="13">
        <f>raw_data!J649</f>
        <v>5.0999999999999996</v>
      </c>
    </row>
    <row r="650" spans="1:13" x14ac:dyDescent="0.2">
      <c r="A650" t="str">
        <f>raw_data!A650</f>
        <v>2018Q4</v>
      </c>
      <c r="B650" t="str">
        <f>raw_data!B650</f>
        <v>New South Wales</v>
      </c>
      <c r="C650" t="str">
        <f>raw_data!C650</f>
        <v>Accommodation and Food Services</v>
      </c>
      <c r="D650">
        <f>raw_data!D650</f>
        <v>17.22</v>
      </c>
      <c r="E650">
        <f>raw_data!E650</f>
        <v>40.380000000000003</v>
      </c>
      <c r="F650">
        <f>raw_data!F650</f>
        <v>5.3</v>
      </c>
      <c r="G650">
        <f>raw_data!G650</f>
        <v>20.59</v>
      </c>
      <c r="H650">
        <f>(raw_data!D650*weights!$B$2)+(raw_data!E650*weights!$B$3)+(raw_data!F650*weights!$B$4)</f>
        <v>20.592000000000002</v>
      </c>
      <c r="I650" t="str">
        <f t="shared" si="20"/>
        <v>Low</v>
      </c>
      <c r="J650" t="str">
        <f t="shared" si="21"/>
        <v>2018 Q4</v>
      </c>
      <c r="K650">
        <f>raw_data!H650</f>
        <v>6.89</v>
      </c>
      <c r="L650" s="13">
        <f>raw_data!I650</f>
        <v>12.12</v>
      </c>
      <c r="M650" s="13">
        <f>raw_data!J650</f>
        <v>1.59</v>
      </c>
    </row>
    <row r="651" spans="1:13" x14ac:dyDescent="0.2">
      <c r="A651" t="str">
        <f>raw_data!A651</f>
        <v>2018Q4</v>
      </c>
      <c r="B651" t="str">
        <f>raw_data!B651</f>
        <v>New South Wales</v>
      </c>
      <c r="C651" t="str">
        <f>raw_data!C651</f>
        <v>Construction</v>
      </c>
      <c r="D651">
        <f>raw_data!D651</f>
        <v>10.45</v>
      </c>
      <c r="E651">
        <f>raw_data!E651</f>
        <v>30.77</v>
      </c>
      <c r="F651">
        <f>raw_data!F651</f>
        <v>4.9000000000000004</v>
      </c>
      <c r="G651">
        <f>raw_data!G651</f>
        <v>14.88</v>
      </c>
      <c r="H651">
        <f>(raw_data!D651*weights!$B$2)+(raw_data!E651*weights!$B$3)+(raw_data!F651*weights!$B$4)</f>
        <v>14.881</v>
      </c>
      <c r="I651" t="str">
        <f t="shared" si="20"/>
        <v>Low</v>
      </c>
      <c r="J651" t="str">
        <f t="shared" si="21"/>
        <v>2018 Q4</v>
      </c>
      <c r="K651">
        <f>raw_data!H651</f>
        <v>4.18</v>
      </c>
      <c r="L651" s="13">
        <f>raw_data!I651</f>
        <v>9.23</v>
      </c>
      <c r="M651" s="13">
        <f>raw_data!J651</f>
        <v>1.47</v>
      </c>
    </row>
    <row r="652" spans="1:13" x14ac:dyDescent="0.2">
      <c r="A652" t="str">
        <f>raw_data!A652</f>
        <v>2018Q4</v>
      </c>
      <c r="B652" t="str">
        <f>raw_data!B652</f>
        <v>New South Wales</v>
      </c>
      <c r="C652" t="str">
        <f>raw_data!C652</f>
        <v>Education and Training</v>
      </c>
      <c r="D652">
        <f>raw_data!D652</f>
        <v>3.45</v>
      </c>
      <c r="E652">
        <f>raw_data!E652</f>
        <v>44.23</v>
      </c>
      <c r="F652">
        <f>raw_data!F652</f>
        <v>7.09</v>
      </c>
      <c r="G652">
        <f>raw_data!G652</f>
        <v>16.78</v>
      </c>
      <c r="H652">
        <f>(raw_data!D652*weights!$B$2)+(raw_data!E652*weights!$B$3)+(raw_data!F652*weights!$B$4)</f>
        <v>16.776</v>
      </c>
      <c r="I652" t="str">
        <f t="shared" si="20"/>
        <v>Low</v>
      </c>
      <c r="J652" t="str">
        <f t="shared" si="21"/>
        <v>2018 Q4</v>
      </c>
      <c r="K652">
        <f>raw_data!H652</f>
        <v>1.38</v>
      </c>
      <c r="L652" s="13">
        <f>raw_data!I652</f>
        <v>13.27</v>
      </c>
      <c r="M652" s="13">
        <f>raw_data!J652</f>
        <v>2.13</v>
      </c>
    </row>
    <row r="653" spans="1:13" x14ac:dyDescent="0.2">
      <c r="A653" t="str">
        <f>raw_data!A653</f>
        <v>2018Q4</v>
      </c>
      <c r="B653" t="str">
        <f>raw_data!B653</f>
        <v>New South Wales</v>
      </c>
      <c r="C653" t="str">
        <f>raw_data!C653</f>
        <v>Health Care and Social Assistance</v>
      </c>
      <c r="D653">
        <f>raw_data!D653</f>
        <v>13.29</v>
      </c>
      <c r="E653">
        <f>raw_data!E653</f>
        <v>48.08</v>
      </c>
      <c r="F653">
        <f>raw_data!F653</f>
        <v>13.11</v>
      </c>
      <c r="G653">
        <f>raw_data!G653</f>
        <v>23.67</v>
      </c>
      <c r="H653">
        <f>(raw_data!D653*weights!$B$2)+(raw_data!E653*weights!$B$3)+(raw_data!F653*weights!$B$4)</f>
        <v>23.672999999999998</v>
      </c>
      <c r="I653" t="str">
        <f t="shared" si="20"/>
        <v>Low</v>
      </c>
      <c r="J653" t="str">
        <f t="shared" si="21"/>
        <v>2018 Q4</v>
      </c>
      <c r="K653">
        <f>raw_data!H653</f>
        <v>5.32</v>
      </c>
      <c r="L653" s="13">
        <f>raw_data!I653</f>
        <v>14.42</v>
      </c>
      <c r="M653" s="13">
        <f>raw_data!J653</f>
        <v>3.93</v>
      </c>
    </row>
    <row r="654" spans="1:13" x14ac:dyDescent="0.2">
      <c r="A654" t="str">
        <f>raw_data!A654</f>
        <v>2018Q4</v>
      </c>
      <c r="B654" t="str">
        <f>raw_data!B654</f>
        <v>New South Wales</v>
      </c>
      <c r="C654" t="str">
        <f>raw_data!C654</f>
        <v>Manufacturing</v>
      </c>
      <c r="D654">
        <f>raw_data!D654</f>
        <v>10.9</v>
      </c>
      <c r="E654">
        <f>raw_data!E654</f>
        <v>36.54</v>
      </c>
      <c r="F654">
        <f>raw_data!F654</f>
        <v>5.71</v>
      </c>
      <c r="G654">
        <f>raw_data!G654</f>
        <v>17.04</v>
      </c>
      <c r="H654">
        <f>(raw_data!D654*weights!$B$2)+(raw_data!E654*weights!$B$3)+(raw_data!F654*weights!$B$4)</f>
        <v>17.035</v>
      </c>
      <c r="I654" t="str">
        <f t="shared" si="20"/>
        <v>Low</v>
      </c>
      <c r="J654" t="str">
        <f t="shared" si="21"/>
        <v>2018 Q4</v>
      </c>
      <c r="K654">
        <f>raw_data!H654</f>
        <v>4.3600000000000003</v>
      </c>
      <c r="L654" s="13">
        <f>raw_data!I654</f>
        <v>10.96</v>
      </c>
      <c r="M654" s="13">
        <f>raw_data!J654</f>
        <v>1.71</v>
      </c>
    </row>
    <row r="655" spans="1:13" x14ac:dyDescent="0.2">
      <c r="A655" t="str">
        <f>raw_data!A655</f>
        <v>2018Q4</v>
      </c>
      <c r="B655" t="str">
        <f>raw_data!B655</f>
        <v>New South Wales</v>
      </c>
      <c r="C655" t="str">
        <f>raw_data!C655</f>
        <v>Professional, Scientific and Technical Services</v>
      </c>
      <c r="D655">
        <f>raw_data!D655</f>
        <v>15.24</v>
      </c>
      <c r="E655">
        <f>raw_data!E655</f>
        <v>34.619999999999997</v>
      </c>
      <c r="F655">
        <f>raw_data!F655</f>
        <v>34.15</v>
      </c>
      <c r="G655">
        <f>raw_data!G655</f>
        <v>26.72</v>
      </c>
      <c r="H655">
        <f>(raw_data!D655*weights!$B$2)+(raw_data!E655*weights!$B$3)+(raw_data!F655*weights!$B$4)</f>
        <v>26.726999999999997</v>
      </c>
      <c r="I655" t="str">
        <f t="shared" si="20"/>
        <v>Moderate</v>
      </c>
      <c r="J655" t="str">
        <f t="shared" si="21"/>
        <v>2018 Q4</v>
      </c>
      <c r="K655">
        <f>raw_data!H655</f>
        <v>6.1</v>
      </c>
      <c r="L655" s="13">
        <f>raw_data!I655</f>
        <v>10.38</v>
      </c>
      <c r="M655" s="13">
        <f>raw_data!J655</f>
        <v>10.24</v>
      </c>
    </row>
    <row r="656" spans="1:13" x14ac:dyDescent="0.2">
      <c r="A656" t="str">
        <f>raw_data!A656</f>
        <v>2018Q4</v>
      </c>
      <c r="B656" t="str">
        <f>raw_data!B656</f>
        <v>Queensland</v>
      </c>
      <c r="C656" t="str">
        <f>raw_data!C656</f>
        <v>Accommodation and Food Services</v>
      </c>
      <c r="D656">
        <f>raw_data!D656</f>
        <v>24.87</v>
      </c>
      <c r="E656">
        <f>raw_data!E656</f>
        <v>40.380000000000003</v>
      </c>
      <c r="F656">
        <f>raw_data!F656</f>
        <v>12.73</v>
      </c>
      <c r="G656">
        <f>raw_data!G656</f>
        <v>25.88</v>
      </c>
      <c r="H656">
        <f>(raw_data!D656*weights!$B$2)+(raw_data!E656*weights!$B$3)+(raw_data!F656*weights!$B$4)</f>
        <v>25.881</v>
      </c>
      <c r="I656" t="str">
        <f t="shared" si="20"/>
        <v>Moderate</v>
      </c>
      <c r="J656" t="str">
        <f t="shared" si="21"/>
        <v>2018 Q4</v>
      </c>
      <c r="K656">
        <f>raw_data!H656</f>
        <v>9.9499999999999993</v>
      </c>
      <c r="L656" s="13">
        <f>raw_data!I656</f>
        <v>12.12</v>
      </c>
      <c r="M656" s="13">
        <f>raw_data!J656</f>
        <v>3.82</v>
      </c>
    </row>
    <row r="657" spans="1:13" x14ac:dyDescent="0.2">
      <c r="A657" t="str">
        <f>raw_data!A657</f>
        <v>2018Q4</v>
      </c>
      <c r="B657" t="str">
        <f>raw_data!B657</f>
        <v>Queensland</v>
      </c>
      <c r="C657" t="str">
        <f>raw_data!C657</f>
        <v>Construction</v>
      </c>
      <c r="D657">
        <f>raw_data!D657</f>
        <v>19.78</v>
      </c>
      <c r="E657">
        <f>raw_data!E657</f>
        <v>30.77</v>
      </c>
      <c r="F657">
        <f>raw_data!F657</f>
        <v>9.16</v>
      </c>
      <c r="G657">
        <f>raw_data!G657</f>
        <v>19.89</v>
      </c>
      <c r="H657">
        <f>(raw_data!D657*weights!$B$2)+(raw_data!E657*weights!$B$3)+(raw_data!F657*weights!$B$4)</f>
        <v>19.891000000000002</v>
      </c>
      <c r="I657" t="str">
        <f t="shared" si="20"/>
        <v>Low</v>
      </c>
      <c r="J657" t="str">
        <f t="shared" si="21"/>
        <v>2018 Q4</v>
      </c>
      <c r="K657">
        <f>raw_data!H657</f>
        <v>7.91</v>
      </c>
      <c r="L657" s="13">
        <f>raw_data!I657</f>
        <v>9.23</v>
      </c>
      <c r="M657" s="13">
        <f>raw_data!J657</f>
        <v>2.75</v>
      </c>
    </row>
    <row r="658" spans="1:13" x14ac:dyDescent="0.2">
      <c r="A658" t="str">
        <f>raw_data!A658</f>
        <v>2018Q4</v>
      </c>
      <c r="B658" t="str">
        <f>raw_data!B658</f>
        <v>Queensland</v>
      </c>
      <c r="C658" t="str">
        <f>raw_data!C658</f>
        <v>Education and Training</v>
      </c>
      <c r="D658">
        <f>raw_data!D658</f>
        <v>6.37</v>
      </c>
      <c r="E658">
        <f>raw_data!E658</f>
        <v>44.23</v>
      </c>
      <c r="F658">
        <f>raw_data!F658</f>
        <v>26.23</v>
      </c>
      <c r="G658">
        <f>raw_data!G658</f>
        <v>23.69</v>
      </c>
      <c r="H658">
        <f>(raw_data!D658*weights!$B$2)+(raw_data!E658*weights!$B$3)+(raw_data!F658*weights!$B$4)</f>
        <v>23.686</v>
      </c>
      <c r="I658" t="str">
        <f t="shared" si="20"/>
        <v>Low</v>
      </c>
      <c r="J658" t="str">
        <f t="shared" si="21"/>
        <v>2018 Q4</v>
      </c>
      <c r="K658">
        <f>raw_data!H658</f>
        <v>2.5499999999999998</v>
      </c>
      <c r="L658" s="13">
        <f>raw_data!I658</f>
        <v>13.27</v>
      </c>
      <c r="M658" s="13">
        <f>raw_data!J658</f>
        <v>7.87</v>
      </c>
    </row>
    <row r="659" spans="1:13" x14ac:dyDescent="0.2">
      <c r="A659" t="str">
        <f>raw_data!A659</f>
        <v>2018Q4</v>
      </c>
      <c r="B659" t="str">
        <f>raw_data!B659</f>
        <v>Queensland</v>
      </c>
      <c r="C659" t="str">
        <f>raw_data!C659</f>
        <v>Health Care and Social Assistance</v>
      </c>
      <c r="D659">
        <f>raw_data!D659</f>
        <v>21.93</v>
      </c>
      <c r="E659">
        <f>raw_data!E659</f>
        <v>48.08</v>
      </c>
      <c r="F659">
        <f>raw_data!F659</f>
        <v>35.79</v>
      </c>
      <c r="G659">
        <f>raw_data!G659</f>
        <v>33.93</v>
      </c>
      <c r="H659">
        <f>(raw_data!D659*weights!$B$2)+(raw_data!E659*weights!$B$3)+(raw_data!F659*weights!$B$4)</f>
        <v>33.933</v>
      </c>
      <c r="I659" t="str">
        <f t="shared" si="20"/>
        <v>Moderate</v>
      </c>
      <c r="J659" t="str">
        <f t="shared" si="21"/>
        <v>2018 Q4</v>
      </c>
      <c r="K659">
        <f>raw_data!H659</f>
        <v>8.77</v>
      </c>
      <c r="L659" s="13">
        <f>raw_data!I659</f>
        <v>14.42</v>
      </c>
      <c r="M659" s="13">
        <f>raw_data!J659</f>
        <v>10.74</v>
      </c>
    </row>
    <row r="660" spans="1:13" x14ac:dyDescent="0.2">
      <c r="A660" t="str">
        <f>raw_data!A660</f>
        <v>2018Q4</v>
      </c>
      <c r="B660" t="str">
        <f>raw_data!B660</f>
        <v>Queensland</v>
      </c>
      <c r="C660" t="str">
        <f>raw_data!C660</f>
        <v>Manufacturing</v>
      </c>
      <c r="D660">
        <f>raw_data!D660</f>
        <v>16.63</v>
      </c>
      <c r="E660">
        <f>raw_data!E660</f>
        <v>36.54</v>
      </c>
      <c r="F660">
        <f>raw_data!F660</f>
        <v>4.1100000000000003</v>
      </c>
      <c r="G660">
        <f>raw_data!G660</f>
        <v>18.850000000000001</v>
      </c>
      <c r="H660">
        <f>(raw_data!D660*weights!$B$2)+(raw_data!E660*weights!$B$3)+(raw_data!F660*weights!$B$4)</f>
        <v>18.847000000000001</v>
      </c>
      <c r="I660" t="str">
        <f t="shared" si="20"/>
        <v>Low</v>
      </c>
      <c r="J660" t="str">
        <f t="shared" si="21"/>
        <v>2018 Q4</v>
      </c>
      <c r="K660">
        <f>raw_data!H660</f>
        <v>6.65</v>
      </c>
      <c r="L660" s="13">
        <f>raw_data!I660</f>
        <v>10.96</v>
      </c>
      <c r="M660" s="13">
        <f>raw_data!J660</f>
        <v>1.23</v>
      </c>
    </row>
    <row r="661" spans="1:13" x14ac:dyDescent="0.2">
      <c r="A661" t="str">
        <f>raw_data!A661</f>
        <v>2018Q4</v>
      </c>
      <c r="B661" t="str">
        <f>raw_data!B661</f>
        <v>Queensland</v>
      </c>
      <c r="C661" t="str">
        <f>raw_data!C661</f>
        <v>Professional, Scientific and Technical Services</v>
      </c>
      <c r="D661">
        <f>raw_data!D661</f>
        <v>41.11</v>
      </c>
      <c r="E661">
        <f>raw_data!E661</f>
        <v>34.619999999999997</v>
      </c>
      <c r="F661">
        <f>raw_data!F661</f>
        <v>42.7</v>
      </c>
      <c r="G661">
        <f>raw_data!G661</f>
        <v>39.64</v>
      </c>
      <c r="H661">
        <f>(raw_data!D661*weights!$B$2)+(raw_data!E661*weights!$B$3)+(raw_data!F661*weights!$B$4)</f>
        <v>39.64</v>
      </c>
      <c r="I661" t="str">
        <f t="shared" si="20"/>
        <v>Moderate</v>
      </c>
      <c r="J661" t="str">
        <f t="shared" si="21"/>
        <v>2018 Q4</v>
      </c>
      <c r="K661">
        <f>raw_data!H661</f>
        <v>16.440000000000001</v>
      </c>
      <c r="L661" s="13">
        <f>raw_data!I661</f>
        <v>10.38</v>
      </c>
      <c r="M661" s="13">
        <f>raw_data!J661</f>
        <v>12.81</v>
      </c>
    </row>
    <row r="662" spans="1:13" x14ac:dyDescent="0.2">
      <c r="A662" t="str">
        <f>raw_data!A662</f>
        <v>2018Q4</v>
      </c>
      <c r="B662" t="str">
        <f>raw_data!B662</f>
        <v>Victoria</v>
      </c>
      <c r="C662" t="str">
        <f>raw_data!C662</f>
        <v>Accommodation and Food Services</v>
      </c>
      <c r="D662">
        <f>raw_data!D662</f>
        <v>21.32</v>
      </c>
      <c r="E662">
        <f>raw_data!E662</f>
        <v>40.380000000000003</v>
      </c>
      <c r="F662">
        <f>raw_data!F662</f>
        <v>6.16</v>
      </c>
      <c r="G662">
        <f>raw_data!G662</f>
        <v>22.49</v>
      </c>
      <c r="H662">
        <f>(raw_data!D662*weights!$B$2)+(raw_data!E662*weights!$B$3)+(raw_data!F662*weights!$B$4)</f>
        <v>22.490000000000002</v>
      </c>
      <c r="I662" t="str">
        <f t="shared" si="20"/>
        <v>Low</v>
      </c>
      <c r="J662" t="str">
        <f t="shared" si="21"/>
        <v>2018 Q4</v>
      </c>
      <c r="K662">
        <f>raw_data!H662</f>
        <v>8.5299999999999994</v>
      </c>
      <c r="L662" s="13">
        <f>raw_data!I662</f>
        <v>12.12</v>
      </c>
      <c r="M662" s="13">
        <f>raw_data!J662</f>
        <v>1.85</v>
      </c>
    </row>
    <row r="663" spans="1:13" x14ac:dyDescent="0.2">
      <c r="A663" t="str">
        <f>raw_data!A663</f>
        <v>2018Q4</v>
      </c>
      <c r="B663" t="str">
        <f>raw_data!B663</f>
        <v>Victoria</v>
      </c>
      <c r="C663" t="str">
        <f>raw_data!C663</f>
        <v>Construction</v>
      </c>
      <c r="D663">
        <f>raw_data!D663</f>
        <v>14.69</v>
      </c>
      <c r="E663">
        <f>raw_data!E663</f>
        <v>30.77</v>
      </c>
      <c r="F663">
        <f>raw_data!F663</f>
        <v>13.22</v>
      </c>
      <c r="G663">
        <f>raw_data!G663</f>
        <v>19.07</v>
      </c>
      <c r="H663">
        <f>(raw_data!D663*weights!$B$2)+(raw_data!E663*weights!$B$3)+(raw_data!F663*weights!$B$4)</f>
        <v>19.073</v>
      </c>
      <c r="I663" t="str">
        <f t="shared" si="20"/>
        <v>Low</v>
      </c>
      <c r="J663" t="str">
        <f t="shared" si="21"/>
        <v>2018 Q4</v>
      </c>
      <c r="K663">
        <f>raw_data!H663</f>
        <v>5.88</v>
      </c>
      <c r="L663" s="13">
        <f>raw_data!I663</f>
        <v>9.23</v>
      </c>
      <c r="M663" s="13">
        <f>raw_data!J663</f>
        <v>3.97</v>
      </c>
    </row>
    <row r="664" spans="1:13" x14ac:dyDescent="0.2">
      <c r="A664" t="str">
        <f>raw_data!A664</f>
        <v>2018Q4</v>
      </c>
      <c r="B664" t="str">
        <f>raw_data!B664</f>
        <v>Victoria</v>
      </c>
      <c r="C664" t="str">
        <f>raw_data!C664</f>
        <v>Education and Training</v>
      </c>
      <c r="D664">
        <f>raw_data!D664</f>
        <v>4.5599999999999996</v>
      </c>
      <c r="E664">
        <f>raw_data!E664</f>
        <v>44.23</v>
      </c>
      <c r="F664">
        <f>raw_data!F664</f>
        <v>5.77</v>
      </c>
      <c r="G664">
        <f>raw_data!G664</f>
        <v>16.82</v>
      </c>
      <c r="H664">
        <f>(raw_data!D664*weights!$B$2)+(raw_data!E664*weights!$B$3)+(raw_data!F664*weights!$B$4)</f>
        <v>16.823999999999998</v>
      </c>
      <c r="I664" t="str">
        <f t="shared" si="20"/>
        <v>Low</v>
      </c>
      <c r="J664" t="str">
        <f t="shared" si="21"/>
        <v>2018 Q4</v>
      </c>
      <c r="K664">
        <f>raw_data!H664</f>
        <v>1.82</v>
      </c>
      <c r="L664" s="13">
        <f>raw_data!I664</f>
        <v>13.27</v>
      </c>
      <c r="M664" s="13">
        <f>raw_data!J664</f>
        <v>1.73</v>
      </c>
    </row>
    <row r="665" spans="1:13" x14ac:dyDescent="0.2">
      <c r="A665" t="str">
        <f>raw_data!A665</f>
        <v>2018Q4</v>
      </c>
      <c r="B665" t="str">
        <f>raw_data!B665</f>
        <v>Victoria</v>
      </c>
      <c r="C665" t="str">
        <f>raw_data!C665</f>
        <v>Health Care and Social Assistance</v>
      </c>
      <c r="D665">
        <f>raw_data!D665</f>
        <v>16.309999999999999</v>
      </c>
      <c r="E665">
        <f>raw_data!E665</f>
        <v>48.08</v>
      </c>
      <c r="F665">
        <f>raw_data!F665</f>
        <v>18.649999999999999</v>
      </c>
      <c r="G665">
        <f>raw_data!G665</f>
        <v>26.54</v>
      </c>
      <c r="H665">
        <f>(raw_data!D665*weights!$B$2)+(raw_data!E665*weights!$B$3)+(raw_data!F665*weights!$B$4)</f>
        <v>26.542999999999999</v>
      </c>
      <c r="I665" t="str">
        <f t="shared" si="20"/>
        <v>Moderate</v>
      </c>
      <c r="J665" t="str">
        <f t="shared" si="21"/>
        <v>2018 Q4</v>
      </c>
      <c r="K665">
        <f>raw_data!H665</f>
        <v>6.52</v>
      </c>
      <c r="L665" s="13">
        <f>raw_data!I665</f>
        <v>14.42</v>
      </c>
      <c r="M665" s="13">
        <f>raw_data!J665</f>
        <v>5.6</v>
      </c>
    </row>
    <row r="666" spans="1:13" x14ac:dyDescent="0.2">
      <c r="A666" t="str">
        <f>raw_data!A666</f>
        <v>2018Q4</v>
      </c>
      <c r="B666" t="str">
        <f>raw_data!B666</f>
        <v>Victoria</v>
      </c>
      <c r="C666" t="str">
        <f>raw_data!C666</f>
        <v>Manufacturing</v>
      </c>
      <c r="D666">
        <f>raw_data!D666</f>
        <v>9.56</v>
      </c>
      <c r="E666">
        <f>raw_data!E666</f>
        <v>36.54</v>
      </c>
      <c r="F666">
        <f>raw_data!F666</f>
        <v>4.3899999999999997</v>
      </c>
      <c r="G666">
        <f>raw_data!G666</f>
        <v>16.100000000000001</v>
      </c>
      <c r="H666">
        <f>(raw_data!D666*weights!$B$2)+(raw_data!E666*weights!$B$3)+(raw_data!F666*weights!$B$4)</f>
        <v>16.102999999999998</v>
      </c>
      <c r="I666" t="str">
        <f t="shared" si="20"/>
        <v>Low</v>
      </c>
      <c r="J666" t="str">
        <f t="shared" si="21"/>
        <v>2018 Q4</v>
      </c>
      <c r="K666">
        <f>raw_data!H666</f>
        <v>3.82</v>
      </c>
      <c r="L666" s="13">
        <f>raw_data!I666</f>
        <v>10.96</v>
      </c>
      <c r="M666" s="13">
        <f>raw_data!J666</f>
        <v>1.32</v>
      </c>
    </row>
    <row r="667" spans="1:13" x14ac:dyDescent="0.2">
      <c r="A667" t="str">
        <f>raw_data!A667</f>
        <v>2018Q4</v>
      </c>
      <c r="B667" t="str">
        <f>raw_data!B667</f>
        <v>Victoria</v>
      </c>
      <c r="C667" t="str">
        <f>raw_data!C667</f>
        <v>Professional, Scientific and Technical Services</v>
      </c>
      <c r="D667">
        <f>raw_data!D667</f>
        <v>21.38</v>
      </c>
      <c r="E667">
        <f>raw_data!E667</f>
        <v>34.619999999999997</v>
      </c>
      <c r="F667">
        <f>raw_data!F667</f>
        <v>16.97</v>
      </c>
      <c r="G667">
        <f>raw_data!G667</f>
        <v>24.03</v>
      </c>
      <c r="H667">
        <f>(raw_data!D667*weights!$B$2)+(raw_data!E667*weights!$B$3)+(raw_data!F667*weights!$B$4)</f>
        <v>24.028999999999996</v>
      </c>
      <c r="I667" t="str">
        <f t="shared" si="20"/>
        <v>Low</v>
      </c>
      <c r="J667" t="str">
        <f t="shared" si="21"/>
        <v>2018 Q4</v>
      </c>
      <c r="K667">
        <f>raw_data!H667</f>
        <v>8.5500000000000007</v>
      </c>
      <c r="L667" s="13">
        <f>raw_data!I667</f>
        <v>10.38</v>
      </c>
      <c r="M667" s="13">
        <f>raw_data!J667</f>
        <v>5.09</v>
      </c>
    </row>
    <row r="668" spans="1:13" x14ac:dyDescent="0.2">
      <c r="A668" t="str">
        <f>raw_data!A668</f>
        <v>2019Q1</v>
      </c>
      <c r="B668" t="str">
        <f>raw_data!B668</f>
        <v>New South Wales</v>
      </c>
      <c r="C668" t="str">
        <f>raw_data!C668</f>
        <v>Accommodation and Food Services</v>
      </c>
      <c r="D668">
        <f>raw_data!D668</f>
        <v>18.010000000000002</v>
      </c>
      <c r="E668">
        <f>raw_data!E668</f>
        <v>38.46</v>
      </c>
      <c r="F668">
        <f>raw_data!F668</f>
        <v>3.16</v>
      </c>
      <c r="G668">
        <f>raw_data!G668</f>
        <v>19.690000000000001</v>
      </c>
      <c r="H668">
        <f>(raw_data!D668*weights!$B$2)+(raw_data!E668*weights!$B$3)+(raw_data!F668*weights!$B$4)</f>
        <v>19.690000000000001</v>
      </c>
      <c r="I668" t="str">
        <f t="shared" si="20"/>
        <v>Low</v>
      </c>
      <c r="J668" t="str">
        <f t="shared" si="21"/>
        <v>2019 Q1</v>
      </c>
      <c r="K668">
        <f>raw_data!H668</f>
        <v>7.2</v>
      </c>
      <c r="L668" s="13">
        <f>raw_data!I668</f>
        <v>11.54</v>
      </c>
      <c r="M668" s="13">
        <f>raw_data!J668</f>
        <v>0.95</v>
      </c>
    </row>
    <row r="669" spans="1:13" x14ac:dyDescent="0.2">
      <c r="A669" t="str">
        <f>raw_data!A669</f>
        <v>2019Q1</v>
      </c>
      <c r="B669" t="str">
        <f>raw_data!B669</f>
        <v>New South Wales</v>
      </c>
      <c r="C669" t="str">
        <f>raw_data!C669</f>
        <v>Construction</v>
      </c>
      <c r="D669">
        <f>raw_data!D669</f>
        <v>13.48</v>
      </c>
      <c r="E669">
        <f>raw_data!E669</f>
        <v>28.85</v>
      </c>
      <c r="F669">
        <f>raw_data!F669</f>
        <v>6.07</v>
      </c>
      <c r="G669">
        <f>raw_data!G669</f>
        <v>15.87</v>
      </c>
      <c r="H669">
        <f>(raw_data!D669*weights!$B$2)+(raw_data!E669*weights!$B$3)+(raw_data!F669*weights!$B$4)</f>
        <v>15.868</v>
      </c>
      <c r="I669" t="str">
        <f t="shared" si="20"/>
        <v>Low</v>
      </c>
      <c r="J669" t="str">
        <f t="shared" si="21"/>
        <v>2019 Q1</v>
      </c>
      <c r="K669">
        <f>raw_data!H669</f>
        <v>5.39</v>
      </c>
      <c r="L669" s="13">
        <f>raw_data!I669</f>
        <v>8.65</v>
      </c>
      <c r="M669" s="13">
        <f>raw_data!J669</f>
        <v>1.82</v>
      </c>
    </row>
    <row r="670" spans="1:13" x14ac:dyDescent="0.2">
      <c r="A670" t="str">
        <f>raw_data!A670</f>
        <v>2019Q1</v>
      </c>
      <c r="B670" t="str">
        <f>raw_data!B670</f>
        <v>New South Wales</v>
      </c>
      <c r="C670" t="str">
        <f>raw_data!C670</f>
        <v>Education and Training</v>
      </c>
      <c r="D670">
        <f>raw_data!D670</f>
        <v>5.03</v>
      </c>
      <c r="E670">
        <f>raw_data!E670</f>
        <v>40.380000000000003</v>
      </c>
      <c r="F670">
        <f>raw_data!F670</f>
        <v>4.1900000000000004</v>
      </c>
      <c r="G670">
        <f>raw_data!G670</f>
        <v>15.38</v>
      </c>
      <c r="H670">
        <f>(raw_data!D670*weights!$B$2)+(raw_data!E670*weights!$B$3)+(raw_data!F670*weights!$B$4)</f>
        <v>15.383000000000001</v>
      </c>
      <c r="I670" t="str">
        <f t="shared" si="20"/>
        <v>Low</v>
      </c>
      <c r="J670" t="str">
        <f t="shared" si="21"/>
        <v>2019 Q1</v>
      </c>
      <c r="K670">
        <f>raw_data!H670</f>
        <v>2.0099999999999998</v>
      </c>
      <c r="L670" s="13">
        <f>raw_data!I670</f>
        <v>12.12</v>
      </c>
      <c r="M670" s="13">
        <f>raw_data!J670</f>
        <v>1.26</v>
      </c>
    </row>
    <row r="671" spans="1:13" x14ac:dyDescent="0.2">
      <c r="A671" t="str">
        <f>raw_data!A671</f>
        <v>2019Q1</v>
      </c>
      <c r="B671" t="str">
        <f>raw_data!B671</f>
        <v>New South Wales</v>
      </c>
      <c r="C671" t="str">
        <f>raw_data!C671</f>
        <v>Health Care and Social Assistance</v>
      </c>
      <c r="D671">
        <f>raw_data!D671</f>
        <v>13.9</v>
      </c>
      <c r="E671">
        <f>raw_data!E671</f>
        <v>51.92</v>
      </c>
      <c r="F671">
        <f>raw_data!F671</f>
        <v>15.55</v>
      </c>
      <c r="G671">
        <f>raw_data!G671</f>
        <v>25.8</v>
      </c>
      <c r="H671">
        <f>(raw_data!D671*weights!$B$2)+(raw_data!E671*weights!$B$3)+(raw_data!F671*weights!$B$4)</f>
        <v>25.801000000000002</v>
      </c>
      <c r="I671" t="str">
        <f t="shared" si="20"/>
        <v>Moderate</v>
      </c>
      <c r="J671" t="str">
        <f t="shared" si="21"/>
        <v>2019 Q1</v>
      </c>
      <c r="K671">
        <f>raw_data!H671</f>
        <v>5.56</v>
      </c>
      <c r="L671" s="13">
        <f>raw_data!I671</f>
        <v>15.58</v>
      </c>
      <c r="M671" s="13">
        <f>raw_data!J671</f>
        <v>4.67</v>
      </c>
    </row>
    <row r="672" spans="1:13" x14ac:dyDescent="0.2">
      <c r="A672" t="str">
        <f>raw_data!A672</f>
        <v>2019Q1</v>
      </c>
      <c r="B672" t="str">
        <f>raw_data!B672</f>
        <v>New South Wales</v>
      </c>
      <c r="C672" t="str">
        <f>raw_data!C672</f>
        <v>Manufacturing</v>
      </c>
      <c r="D672">
        <f>raw_data!D672</f>
        <v>11.82</v>
      </c>
      <c r="E672">
        <f>raw_data!E672</f>
        <v>32.69</v>
      </c>
      <c r="F672">
        <f>raw_data!F672</f>
        <v>9.6300000000000008</v>
      </c>
      <c r="G672">
        <f>raw_data!G672</f>
        <v>17.43</v>
      </c>
      <c r="H672">
        <f>(raw_data!D672*weights!$B$2)+(raw_data!E672*weights!$B$3)+(raw_data!F672*weights!$B$4)</f>
        <v>17.423999999999999</v>
      </c>
      <c r="I672" t="str">
        <f t="shared" si="20"/>
        <v>Low</v>
      </c>
      <c r="J672" t="str">
        <f t="shared" si="21"/>
        <v>2019 Q1</v>
      </c>
      <c r="K672">
        <f>raw_data!H672</f>
        <v>4.7300000000000004</v>
      </c>
      <c r="L672" s="13">
        <f>raw_data!I672</f>
        <v>9.81</v>
      </c>
      <c r="M672" s="13">
        <f>raw_data!J672</f>
        <v>2.89</v>
      </c>
    </row>
    <row r="673" spans="1:13" x14ac:dyDescent="0.2">
      <c r="A673" t="str">
        <f>raw_data!A673</f>
        <v>2019Q1</v>
      </c>
      <c r="B673" t="str">
        <f>raw_data!B673</f>
        <v>New South Wales</v>
      </c>
      <c r="C673" t="str">
        <f>raw_data!C673</f>
        <v>Professional, Scientific and Technical Services</v>
      </c>
      <c r="D673">
        <f>raw_data!D673</f>
        <v>17.22</v>
      </c>
      <c r="E673">
        <f>raw_data!E673</f>
        <v>42.31</v>
      </c>
      <c r="F673">
        <f>raw_data!F673</f>
        <v>14.54</v>
      </c>
      <c r="G673">
        <f>raw_data!G673</f>
        <v>23.94</v>
      </c>
      <c r="H673">
        <f>(raw_data!D673*weights!$B$2)+(raw_data!E673*weights!$B$3)+(raw_data!F673*weights!$B$4)</f>
        <v>23.942999999999998</v>
      </c>
      <c r="I673" t="str">
        <f t="shared" si="20"/>
        <v>Low</v>
      </c>
      <c r="J673" t="str">
        <f t="shared" si="21"/>
        <v>2019 Q1</v>
      </c>
      <c r="K673">
        <f>raw_data!H673</f>
        <v>6.89</v>
      </c>
      <c r="L673" s="13">
        <f>raw_data!I673</f>
        <v>12.69</v>
      </c>
      <c r="M673" s="13">
        <f>raw_data!J673</f>
        <v>4.3600000000000003</v>
      </c>
    </row>
    <row r="674" spans="1:13" x14ac:dyDescent="0.2">
      <c r="A674" t="str">
        <f>raw_data!A674</f>
        <v>2019Q1</v>
      </c>
      <c r="B674" t="str">
        <f>raw_data!B674</f>
        <v>Queensland</v>
      </c>
      <c r="C674" t="str">
        <f>raw_data!C674</f>
        <v>Accommodation and Food Services</v>
      </c>
      <c r="D674">
        <f>raw_data!D674</f>
        <v>28.19</v>
      </c>
      <c r="E674">
        <f>raw_data!E674</f>
        <v>38.46</v>
      </c>
      <c r="F674">
        <f>raw_data!F674</f>
        <v>5.17</v>
      </c>
      <c r="G674">
        <f>raw_data!G674</f>
        <v>24.37</v>
      </c>
      <c r="H674">
        <f>(raw_data!D674*weights!$B$2)+(raw_data!E674*weights!$B$3)+(raw_data!F674*weights!$B$4)</f>
        <v>24.364999999999998</v>
      </c>
      <c r="I674" t="str">
        <f t="shared" si="20"/>
        <v>Low</v>
      </c>
      <c r="J674" t="str">
        <f t="shared" si="21"/>
        <v>2019 Q1</v>
      </c>
      <c r="K674">
        <f>raw_data!H674</f>
        <v>11.28</v>
      </c>
      <c r="L674" s="13">
        <f>raw_data!I674</f>
        <v>11.54</v>
      </c>
      <c r="M674" s="13">
        <f>raw_data!J674</f>
        <v>1.55</v>
      </c>
    </row>
    <row r="675" spans="1:13" x14ac:dyDescent="0.2">
      <c r="A675" t="str">
        <f>raw_data!A675</f>
        <v>2019Q1</v>
      </c>
      <c r="B675" t="str">
        <f>raw_data!B675</f>
        <v>Queensland</v>
      </c>
      <c r="C675" t="str">
        <f>raw_data!C675</f>
        <v>Construction</v>
      </c>
      <c r="D675">
        <f>raw_data!D675</f>
        <v>19.989999999999998</v>
      </c>
      <c r="E675">
        <f>raw_data!E675</f>
        <v>28.85</v>
      </c>
      <c r="F675">
        <f>raw_data!F675</f>
        <v>9.51</v>
      </c>
      <c r="G675">
        <f>raw_data!G675</f>
        <v>19.5</v>
      </c>
      <c r="H675">
        <f>(raw_data!D675*weights!$B$2)+(raw_data!E675*weights!$B$3)+(raw_data!F675*weights!$B$4)</f>
        <v>19.503999999999998</v>
      </c>
      <c r="I675" t="str">
        <f t="shared" si="20"/>
        <v>Low</v>
      </c>
      <c r="J675" t="str">
        <f t="shared" si="21"/>
        <v>2019 Q1</v>
      </c>
      <c r="K675">
        <f>raw_data!H675</f>
        <v>8</v>
      </c>
      <c r="L675" s="13">
        <f>raw_data!I675</f>
        <v>8.65</v>
      </c>
      <c r="M675" s="13">
        <f>raw_data!J675</f>
        <v>2.85</v>
      </c>
    </row>
    <row r="676" spans="1:13" x14ac:dyDescent="0.2">
      <c r="A676" t="str">
        <f>raw_data!A676</f>
        <v>2019Q1</v>
      </c>
      <c r="B676" t="str">
        <f>raw_data!B676</f>
        <v>Queensland</v>
      </c>
      <c r="C676" t="str">
        <f>raw_data!C676</f>
        <v>Education and Training</v>
      </c>
      <c r="D676">
        <f>raw_data!D676</f>
        <v>7.52</v>
      </c>
      <c r="E676">
        <f>raw_data!E676</f>
        <v>40.380000000000003</v>
      </c>
      <c r="F676">
        <f>raw_data!F676</f>
        <v>6.5</v>
      </c>
      <c r="G676">
        <f>raw_data!G676</f>
        <v>17.07</v>
      </c>
      <c r="H676">
        <f>(raw_data!D676*weights!$B$2)+(raw_data!E676*weights!$B$3)+(raw_data!F676*weights!$B$4)</f>
        <v>17.071999999999999</v>
      </c>
      <c r="I676" t="str">
        <f t="shared" si="20"/>
        <v>Low</v>
      </c>
      <c r="J676" t="str">
        <f t="shared" si="21"/>
        <v>2019 Q1</v>
      </c>
      <c r="K676">
        <f>raw_data!H676</f>
        <v>3.01</v>
      </c>
      <c r="L676" s="13">
        <f>raw_data!I676</f>
        <v>12.12</v>
      </c>
      <c r="M676" s="13">
        <f>raw_data!J676</f>
        <v>1.95</v>
      </c>
    </row>
    <row r="677" spans="1:13" x14ac:dyDescent="0.2">
      <c r="A677" t="str">
        <f>raw_data!A677</f>
        <v>2019Q1</v>
      </c>
      <c r="B677" t="str">
        <f>raw_data!B677</f>
        <v>Queensland</v>
      </c>
      <c r="C677" t="str">
        <f>raw_data!C677</f>
        <v>Health Care and Social Assistance</v>
      </c>
      <c r="D677">
        <f>raw_data!D677</f>
        <v>19.61</v>
      </c>
      <c r="E677">
        <f>raw_data!E677</f>
        <v>51.92</v>
      </c>
      <c r="F677">
        <f>raw_data!F677</f>
        <v>15.84</v>
      </c>
      <c r="G677">
        <f>raw_data!G677</f>
        <v>28.17</v>
      </c>
      <c r="H677">
        <f>(raw_data!D677*weights!$B$2)+(raw_data!E677*weights!$B$3)+(raw_data!F677*weights!$B$4)</f>
        <v>28.172000000000001</v>
      </c>
      <c r="I677" t="str">
        <f t="shared" si="20"/>
        <v>Moderate</v>
      </c>
      <c r="J677" t="str">
        <f t="shared" si="21"/>
        <v>2019 Q1</v>
      </c>
      <c r="K677">
        <f>raw_data!H677</f>
        <v>7.84</v>
      </c>
      <c r="L677" s="13">
        <f>raw_data!I677</f>
        <v>15.58</v>
      </c>
      <c r="M677" s="13">
        <f>raw_data!J677</f>
        <v>4.75</v>
      </c>
    </row>
    <row r="678" spans="1:13" x14ac:dyDescent="0.2">
      <c r="A678" t="str">
        <f>raw_data!A678</f>
        <v>2019Q1</v>
      </c>
      <c r="B678" t="str">
        <f>raw_data!B678</f>
        <v>Queensland</v>
      </c>
      <c r="C678" t="str">
        <f>raw_data!C678</f>
        <v>Manufacturing</v>
      </c>
      <c r="D678">
        <f>raw_data!D678</f>
        <v>21.2</v>
      </c>
      <c r="E678">
        <f>raw_data!E678</f>
        <v>32.69</v>
      </c>
      <c r="F678">
        <f>raw_data!F678</f>
        <v>8</v>
      </c>
      <c r="G678">
        <f>raw_data!G678</f>
        <v>20.69</v>
      </c>
      <c r="H678">
        <f>(raw_data!D678*weights!$B$2)+(raw_data!E678*weights!$B$3)+(raw_data!F678*weights!$B$4)</f>
        <v>20.686999999999998</v>
      </c>
      <c r="I678" t="str">
        <f t="shared" si="20"/>
        <v>Low</v>
      </c>
      <c r="J678" t="str">
        <f t="shared" si="21"/>
        <v>2019 Q1</v>
      </c>
      <c r="K678">
        <f>raw_data!H678</f>
        <v>8.48</v>
      </c>
      <c r="L678" s="13">
        <f>raw_data!I678</f>
        <v>9.81</v>
      </c>
      <c r="M678" s="13">
        <f>raw_data!J678</f>
        <v>2.4</v>
      </c>
    </row>
    <row r="679" spans="1:13" x14ac:dyDescent="0.2">
      <c r="A679" t="str">
        <f>raw_data!A679</f>
        <v>2019Q1</v>
      </c>
      <c r="B679" t="str">
        <f>raw_data!B679</f>
        <v>Queensland</v>
      </c>
      <c r="C679" t="str">
        <f>raw_data!C679</f>
        <v>Professional, Scientific and Technical Services</v>
      </c>
      <c r="D679">
        <f>raw_data!D679</f>
        <v>45.75</v>
      </c>
      <c r="E679">
        <f>raw_data!E679</f>
        <v>42.31</v>
      </c>
      <c r="F679">
        <f>raw_data!F679</f>
        <v>27</v>
      </c>
      <c r="G679">
        <f>raw_data!G679</f>
        <v>39.090000000000003</v>
      </c>
      <c r="H679">
        <f>(raw_data!D679*weights!$B$2)+(raw_data!E679*weights!$B$3)+(raw_data!F679*weights!$B$4)</f>
        <v>39.093000000000004</v>
      </c>
      <c r="I679" t="str">
        <f t="shared" si="20"/>
        <v>Moderate</v>
      </c>
      <c r="J679" t="str">
        <f t="shared" si="21"/>
        <v>2019 Q1</v>
      </c>
      <c r="K679">
        <f>raw_data!H679</f>
        <v>18.3</v>
      </c>
      <c r="L679" s="13">
        <f>raw_data!I679</f>
        <v>12.69</v>
      </c>
      <c r="M679" s="13">
        <f>raw_data!J679</f>
        <v>8.1</v>
      </c>
    </row>
    <row r="680" spans="1:13" x14ac:dyDescent="0.2">
      <c r="A680" t="str">
        <f>raw_data!A680</f>
        <v>2019Q1</v>
      </c>
      <c r="B680" t="str">
        <f>raw_data!B680</f>
        <v>Victoria</v>
      </c>
      <c r="C680" t="str">
        <f>raw_data!C680</f>
        <v>Accommodation and Food Services</v>
      </c>
      <c r="D680">
        <f>raw_data!D680</f>
        <v>25.72</v>
      </c>
      <c r="E680">
        <f>raw_data!E680</f>
        <v>38.46</v>
      </c>
      <c r="F680">
        <f>raw_data!F680</f>
        <v>5.01</v>
      </c>
      <c r="G680">
        <f>raw_data!G680</f>
        <v>23.33</v>
      </c>
      <c r="H680">
        <f>(raw_data!D680*weights!$B$2)+(raw_data!E680*weights!$B$3)+(raw_data!F680*weights!$B$4)</f>
        <v>23.329000000000001</v>
      </c>
      <c r="I680" t="str">
        <f t="shared" si="20"/>
        <v>Low</v>
      </c>
      <c r="J680" t="str">
        <f t="shared" si="21"/>
        <v>2019 Q1</v>
      </c>
      <c r="K680">
        <f>raw_data!H680</f>
        <v>10.29</v>
      </c>
      <c r="L680" s="13">
        <f>raw_data!I680</f>
        <v>11.54</v>
      </c>
      <c r="M680" s="13">
        <f>raw_data!J680</f>
        <v>1.5</v>
      </c>
    </row>
    <row r="681" spans="1:13" x14ac:dyDescent="0.2">
      <c r="A681" t="str">
        <f>raw_data!A681</f>
        <v>2019Q1</v>
      </c>
      <c r="B681" t="str">
        <f>raw_data!B681</f>
        <v>Victoria</v>
      </c>
      <c r="C681" t="str">
        <f>raw_data!C681</f>
        <v>Construction</v>
      </c>
      <c r="D681">
        <f>raw_data!D681</f>
        <v>16.420000000000002</v>
      </c>
      <c r="E681">
        <f>raw_data!E681</f>
        <v>28.85</v>
      </c>
      <c r="F681">
        <f>raw_data!F681</f>
        <v>7.59</v>
      </c>
      <c r="G681">
        <f>raw_data!G681</f>
        <v>17.5</v>
      </c>
      <c r="H681">
        <f>(raw_data!D681*weights!$B$2)+(raw_data!E681*weights!$B$3)+(raw_data!F681*weights!$B$4)</f>
        <v>17.5</v>
      </c>
      <c r="I681" t="str">
        <f t="shared" si="20"/>
        <v>Low</v>
      </c>
      <c r="J681" t="str">
        <f t="shared" si="21"/>
        <v>2019 Q1</v>
      </c>
      <c r="K681">
        <f>raw_data!H681</f>
        <v>6.57</v>
      </c>
      <c r="L681" s="13">
        <f>raw_data!I681</f>
        <v>8.65</v>
      </c>
      <c r="M681" s="13">
        <f>raw_data!J681</f>
        <v>2.2799999999999998</v>
      </c>
    </row>
    <row r="682" spans="1:13" x14ac:dyDescent="0.2">
      <c r="A682" t="str">
        <f>raw_data!A682</f>
        <v>2019Q1</v>
      </c>
      <c r="B682" t="str">
        <f>raw_data!B682</f>
        <v>Victoria</v>
      </c>
      <c r="C682" t="str">
        <f>raw_data!C682</f>
        <v>Education and Training</v>
      </c>
      <c r="D682">
        <f>raw_data!D682</f>
        <v>5.71</v>
      </c>
      <c r="E682">
        <f>raw_data!E682</f>
        <v>40.380000000000003</v>
      </c>
      <c r="F682">
        <f>raw_data!F682</f>
        <v>4.3099999999999996</v>
      </c>
      <c r="G682">
        <f>raw_data!G682</f>
        <v>15.69</v>
      </c>
      <c r="H682">
        <f>(raw_data!D682*weights!$B$2)+(raw_data!E682*weights!$B$3)+(raw_data!F682*weights!$B$4)</f>
        <v>15.691000000000001</v>
      </c>
      <c r="I682" t="str">
        <f t="shared" si="20"/>
        <v>Low</v>
      </c>
      <c r="J682" t="str">
        <f t="shared" si="21"/>
        <v>2019 Q1</v>
      </c>
      <c r="K682">
        <f>raw_data!H682</f>
        <v>2.2799999999999998</v>
      </c>
      <c r="L682" s="13">
        <f>raw_data!I682</f>
        <v>12.12</v>
      </c>
      <c r="M682" s="13">
        <f>raw_data!J682</f>
        <v>1.29</v>
      </c>
    </row>
    <row r="683" spans="1:13" x14ac:dyDescent="0.2">
      <c r="A683" t="str">
        <f>raw_data!A683</f>
        <v>2019Q1</v>
      </c>
      <c r="B683" t="str">
        <f>raw_data!B683</f>
        <v>Victoria</v>
      </c>
      <c r="C683" t="str">
        <f>raw_data!C683</f>
        <v>Health Care and Social Assistance</v>
      </c>
      <c r="D683">
        <f>raw_data!D683</f>
        <v>16.86</v>
      </c>
      <c r="E683">
        <f>raw_data!E683</f>
        <v>51.92</v>
      </c>
      <c r="F683">
        <f>raw_data!F683</f>
        <v>13.29</v>
      </c>
      <c r="G683">
        <f>raw_data!G683</f>
        <v>26.31</v>
      </c>
      <c r="H683">
        <f>(raw_data!D683*weights!$B$2)+(raw_data!E683*weights!$B$3)+(raw_data!F683*weights!$B$4)</f>
        <v>26.306999999999999</v>
      </c>
      <c r="I683" t="str">
        <f t="shared" si="20"/>
        <v>Moderate</v>
      </c>
      <c r="J683" t="str">
        <f t="shared" si="21"/>
        <v>2019 Q1</v>
      </c>
      <c r="K683">
        <f>raw_data!H683</f>
        <v>6.74</v>
      </c>
      <c r="L683" s="13">
        <f>raw_data!I683</f>
        <v>15.58</v>
      </c>
      <c r="M683" s="13">
        <f>raw_data!J683</f>
        <v>3.99</v>
      </c>
    </row>
    <row r="684" spans="1:13" x14ac:dyDescent="0.2">
      <c r="A684" t="str">
        <f>raw_data!A684</f>
        <v>2019Q1</v>
      </c>
      <c r="B684" t="str">
        <f>raw_data!B684</f>
        <v>Victoria</v>
      </c>
      <c r="C684" t="str">
        <f>raw_data!C684</f>
        <v>Manufacturing</v>
      </c>
      <c r="D684">
        <f>raw_data!D684</f>
        <v>10.75</v>
      </c>
      <c r="E684">
        <f>raw_data!E684</f>
        <v>32.69</v>
      </c>
      <c r="F684">
        <f>raw_data!F684</f>
        <v>4.59</v>
      </c>
      <c r="G684">
        <f>raw_data!G684</f>
        <v>15.49</v>
      </c>
      <c r="H684">
        <f>(raw_data!D684*weights!$B$2)+(raw_data!E684*weights!$B$3)+(raw_data!F684*weights!$B$4)</f>
        <v>15.484</v>
      </c>
      <c r="I684" t="str">
        <f t="shared" si="20"/>
        <v>Low</v>
      </c>
      <c r="J684" t="str">
        <f t="shared" si="21"/>
        <v>2019 Q1</v>
      </c>
      <c r="K684">
        <f>raw_data!H684</f>
        <v>4.3</v>
      </c>
      <c r="L684" s="13">
        <f>raw_data!I684</f>
        <v>9.81</v>
      </c>
      <c r="M684" s="13">
        <f>raw_data!J684</f>
        <v>1.38</v>
      </c>
    </row>
    <row r="685" spans="1:13" x14ac:dyDescent="0.2">
      <c r="A685" t="str">
        <f>raw_data!A685</f>
        <v>2019Q1</v>
      </c>
      <c r="B685" t="str">
        <f>raw_data!B685</f>
        <v>Victoria</v>
      </c>
      <c r="C685" t="str">
        <f>raw_data!C685</f>
        <v>Professional, Scientific and Technical Services</v>
      </c>
      <c r="D685">
        <f>raw_data!D685</f>
        <v>23.17</v>
      </c>
      <c r="E685">
        <f>raw_data!E685</f>
        <v>42.31</v>
      </c>
      <c r="F685">
        <f>raw_data!F685</f>
        <v>16.239999999999998</v>
      </c>
      <c r="G685">
        <f>raw_data!G685</f>
        <v>26.83</v>
      </c>
      <c r="H685">
        <f>(raw_data!D685*weights!$B$2)+(raw_data!E685*weights!$B$3)+(raw_data!F685*weights!$B$4)</f>
        <v>26.832999999999998</v>
      </c>
      <c r="I685" t="str">
        <f t="shared" si="20"/>
        <v>Moderate</v>
      </c>
      <c r="J685" t="str">
        <f t="shared" si="21"/>
        <v>2019 Q1</v>
      </c>
      <c r="K685">
        <f>raw_data!H685</f>
        <v>9.27</v>
      </c>
      <c r="L685" s="13">
        <f>raw_data!I685</f>
        <v>12.69</v>
      </c>
      <c r="M685" s="13">
        <f>raw_data!J685</f>
        <v>4.87</v>
      </c>
    </row>
    <row r="686" spans="1:13" x14ac:dyDescent="0.2">
      <c r="A686" t="str">
        <f>raw_data!A686</f>
        <v>2019Q2</v>
      </c>
      <c r="B686" t="str">
        <f>raw_data!B686</f>
        <v>New South Wales</v>
      </c>
      <c r="C686" t="str">
        <f>raw_data!C686</f>
        <v>Accommodation and Food Services</v>
      </c>
      <c r="D686">
        <f>raw_data!D686</f>
        <v>14.69</v>
      </c>
      <c r="E686">
        <f>raw_data!E686</f>
        <v>38.46</v>
      </c>
      <c r="F686">
        <f>raw_data!F686</f>
        <v>4.22</v>
      </c>
      <c r="G686">
        <f>raw_data!G686</f>
        <v>18.68</v>
      </c>
      <c r="H686">
        <f>(raw_data!D686*weights!$B$2)+(raw_data!E686*weights!$B$3)+(raw_data!F686*weights!$B$4)</f>
        <v>18.68</v>
      </c>
      <c r="I686" t="str">
        <f t="shared" si="20"/>
        <v>Low</v>
      </c>
      <c r="J686" t="str">
        <f t="shared" si="21"/>
        <v>2019 Q2</v>
      </c>
      <c r="K686">
        <f>raw_data!H686</f>
        <v>5.88</v>
      </c>
      <c r="L686" s="13">
        <f>raw_data!I686</f>
        <v>11.54</v>
      </c>
      <c r="M686" s="13">
        <f>raw_data!J686</f>
        <v>1.27</v>
      </c>
    </row>
    <row r="687" spans="1:13" x14ac:dyDescent="0.2">
      <c r="A687" t="str">
        <f>raw_data!A687</f>
        <v>2019Q2</v>
      </c>
      <c r="B687" t="str">
        <f>raw_data!B687</f>
        <v>New South Wales</v>
      </c>
      <c r="C687" t="str">
        <f>raw_data!C687</f>
        <v>Construction</v>
      </c>
      <c r="D687">
        <f>raw_data!D687</f>
        <v>10.119999999999999</v>
      </c>
      <c r="E687">
        <f>raw_data!E687</f>
        <v>30.77</v>
      </c>
      <c r="F687">
        <f>raw_data!F687</f>
        <v>4.5999999999999996</v>
      </c>
      <c r="G687">
        <f>raw_data!G687</f>
        <v>14.66</v>
      </c>
      <c r="H687">
        <f>(raw_data!D687*weights!$B$2)+(raw_data!E687*weights!$B$3)+(raw_data!F687*weights!$B$4)</f>
        <v>14.658999999999999</v>
      </c>
      <c r="I687" t="str">
        <f t="shared" si="20"/>
        <v>Low</v>
      </c>
      <c r="J687" t="str">
        <f t="shared" si="21"/>
        <v>2019 Q2</v>
      </c>
      <c r="K687">
        <f>raw_data!H687</f>
        <v>4.05</v>
      </c>
      <c r="L687" s="13">
        <f>raw_data!I687</f>
        <v>9.23</v>
      </c>
      <c r="M687" s="13">
        <f>raw_data!J687</f>
        <v>1.38</v>
      </c>
    </row>
    <row r="688" spans="1:13" x14ac:dyDescent="0.2">
      <c r="A688" t="str">
        <f>raw_data!A688</f>
        <v>2019Q2</v>
      </c>
      <c r="B688" t="str">
        <f>raw_data!B688</f>
        <v>New South Wales</v>
      </c>
      <c r="C688" t="str">
        <f>raw_data!C688</f>
        <v>Education and Training</v>
      </c>
      <c r="D688">
        <f>raw_data!D688</f>
        <v>4.22</v>
      </c>
      <c r="E688">
        <f>raw_data!E688</f>
        <v>40.380000000000003</v>
      </c>
      <c r="F688">
        <f>raw_data!F688</f>
        <v>8.01</v>
      </c>
      <c r="G688">
        <f>raw_data!G688</f>
        <v>16.21</v>
      </c>
      <c r="H688">
        <f>(raw_data!D688*weights!$B$2)+(raw_data!E688*weights!$B$3)+(raw_data!F688*weights!$B$4)</f>
        <v>16.205000000000002</v>
      </c>
      <c r="I688" t="str">
        <f t="shared" si="20"/>
        <v>Low</v>
      </c>
      <c r="J688" t="str">
        <f t="shared" si="21"/>
        <v>2019 Q2</v>
      </c>
      <c r="K688">
        <f>raw_data!H688</f>
        <v>1.69</v>
      </c>
      <c r="L688" s="13">
        <f>raw_data!I688</f>
        <v>12.12</v>
      </c>
      <c r="M688" s="13">
        <f>raw_data!J688</f>
        <v>2.4</v>
      </c>
    </row>
    <row r="689" spans="1:13" x14ac:dyDescent="0.2">
      <c r="A689" t="str">
        <f>raw_data!A689</f>
        <v>2019Q2</v>
      </c>
      <c r="B689" t="str">
        <f>raw_data!B689</f>
        <v>New South Wales</v>
      </c>
      <c r="C689" t="str">
        <f>raw_data!C689</f>
        <v>Health Care and Social Assistance</v>
      </c>
      <c r="D689">
        <f>raw_data!D689</f>
        <v>13.58</v>
      </c>
      <c r="E689">
        <f>raw_data!E689</f>
        <v>57.69</v>
      </c>
      <c r="F689">
        <f>raw_data!F689</f>
        <v>30.7</v>
      </c>
      <c r="G689">
        <f>raw_data!G689</f>
        <v>31.95</v>
      </c>
      <c r="H689">
        <f>(raw_data!D689*weights!$B$2)+(raw_data!E689*weights!$B$3)+(raw_data!F689*weights!$B$4)</f>
        <v>31.948999999999998</v>
      </c>
      <c r="I689" t="str">
        <f t="shared" si="20"/>
        <v>Moderate</v>
      </c>
      <c r="J689" t="str">
        <f t="shared" si="21"/>
        <v>2019 Q2</v>
      </c>
      <c r="K689">
        <f>raw_data!H689</f>
        <v>5.43</v>
      </c>
      <c r="L689" s="13">
        <f>raw_data!I689</f>
        <v>17.309999999999999</v>
      </c>
      <c r="M689" s="13">
        <f>raw_data!J689</f>
        <v>9.2100000000000009</v>
      </c>
    </row>
    <row r="690" spans="1:13" x14ac:dyDescent="0.2">
      <c r="A690" t="str">
        <f>raw_data!A690</f>
        <v>2019Q2</v>
      </c>
      <c r="B690" t="str">
        <f>raw_data!B690</f>
        <v>New South Wales</v>
      </c>
      <c r="C690" t="str">
        <f>raw_data!C690</f>
        <v>Manufacturing</v>
      </c>
      <c r="D690">
        <f>raw_data!D690</f>
        <v>9.8000000000000007</v>
      </c>
      <c r="E690">
        <f>raw_data!E690</f>
        <v>32.69</v>
      </c>
      <c r="F690">
        <f>raw_data!F690</f>
        <v>6.03</v>
      </c>
      <c r="G690">
        <f>raw_data!G690</f>
        <v>15.53</v>
      </c>
      <c r="H690">
        <f>(raw_data!D690*weights!$B$2)+(raw_data!E690*weights!$B$3)+(raw_data!F690*weights!$B$4)</f>
        <v>15.535999999999998</v>
      </c>
      <c r="I690" t="str">
        <f t="shared" si="20"/>
        <v>Low</v>
      </c>
      <c r="J690" t="str">
        <f t="shared" si="21"/>
        <v>2019 Q2</v>
      </c>
      <c r="K690">
        <f>raw_data!H690</f>
        <v>3.92</v>
      </c>
      <c r="L690" s="13">
        <f>raw_data!I690</f>
        <v>9.81</v>
      </c>
      <c r="M690" s="13">
        <f>raw_data!J690</f>
        <v>1.81</v>
      </c>
    </row>
    <row r="691" spans="1:13" x14ac:dyDescent="0.2">
      <c r="A691" t="str">
        <f>raw_data!A691</f>
        <v>2019Q2</v>
      </c>
      <c r="B691" t="str">
        <f>raw_data!B691</f>
        <v>New South Wales</v>
      </c>
      <c r="C691" t="str">
        <f>raw_data!C691</f>
        <v>Professional, Scientific and Technical Services</v>
      </c>
      <c r="D691">
        <f>raw_data!D691</f>
        <v>18.25</v>
      </c>
      <c r="E691">
        <f>raw_data!E691</f>
        <v>40.380000000000003</v>
      </c>
      <c r="F691">
        <f>raw_data!F691</f>
        <v>16.8</v>
      </c>
      <c r="G691">
        <f>raw_data!G691</f>
        <v>24.45</v>
      </c>
      <c r="H691">
        <f>(raw_data!D691*weights!$B$2)+(raw_data!E691*weights!$B$3)+(raw_data!F691*weights!$B$4)</f>
        <v>24.454000000000001</v>
      </c>
      <c r="I691" t="str">
        <f t="shared" si="20"/>
        <v>Low</v>
      </c>
      <c r="J691" t="str">
        <f t="shared" si="21"/>
        <v>2019 Q2</v>
      </c>
      <c r="K691">
        <f>raw_data!H691</f>
        <v>7.3</v>
      </c>
      <c r="L691" s="13">
        <f>raw_data!I691</f>
        <v>12.12</v>
      </c>
      <c r="M691" s="13">
        <f>raw_data!J691</f>
        <v>5.04</v>
      </c>
    </row>
    <row r="692" spans="1:13" x14ac:dyDescent="0.2">
      <c r="A692" t="str">
        <f>raw_data!A692</f>
        <v>2019Q2</v>
      </c>
      <c r="B692" t="str">
        <f>raw_data!B692</f>
        <v>Queensland</v>
      </c>
      <c r="C692" t="str">
        <f>raw_data!C692</f>
        <v>Accommodation and Food Services</v>
      </c>
      <c r="D692">
        <f>raw_data!D692</f>
        <v>22.53</v>
      </c>
      <c r="E692">
        <f>raw_data!E692</f>
        <v>38.46</v>
      </c>
      <c r="F692">
        <f>raw_data!F692</f>
        <v>3.59</v>
      </c>
      <c r="G692">
        <f>raw_data!G692</f>
        <v>21.63</v>
      </c>
      <c r="H692">
        <f>(raw_data!D692*weights!$B$2)+(raw_data!E692*weights!$B$3)+(raw_data!F692*weights!$B$4)</f>
        <v>21.627000000000002</v>
      </c>
      <c r="I692" t="str">
        <f t="shared" si="20"/>
        <v>Low</v>
      </c>
      <c r="J692" t="str">
        <f t="shared" si="21"/>
        <v>2019 Q2</v>
      </c>
      <c r="K692">
        <f>raw_data!H692</f>
        <v>9.01</v>
      </c>
      <c r="L692" s="13">
        <f>raw_data!I692</f>
        <v>11.54</v>
      </c>
      <c r="M692" s="13">
        <f>raw_data!J692</f>
        <v>1.08</v>
      </c>
    </row>
    <row r="693" spans="1:13" x14ac:dyDescent="0.2">
      <c r="A693" t="str">
        <f>raw_data!A693</f>
        <v>2019Q2</v>
      </c>
      <c r="B693" t="str">
        <f>raw_data!B693</f>
        <v>Queensland</v>
      </c>
      <c r="C693" t="str">
        <f>raw_data!C693</f>
        <v>Construction</v>
      </c>
      <c r="D693">
        <f>raw_data!D693</f>
        <v>16.68</v>
      </c>
      <c r="E693">
        <f>raw_data!E693</f>
        <v>30.77</v>
      </c>
      <c r="F693">
        <f>raw_data!F693</f>
        <v>7.08</v>
      </c>
      <c r="G693">
        <f>raw_data!G693</f>
        <v>18.02</v>
      </c>
      <c r="H693">
        <f>(raw_data!D693*weights!$B$2)+(raw_data!E693*weights!$B$3)+(raw_data!F693*weights!$B$4)</f>
        <v>18.027000000000001</v>
      </c>
      <c r="I693" t="str">
        <f t="shared" si="20"/>
        <v>Low</v>
      </c>
      <c r="J693" t="str">
        <f t="shared" si="21"/>
        <v>2019 Q2</v>
      </c>
      <c r="K693">
        <f>raw_data!H693</f>
        <v>6.67</v>
      </c>
      <c r="L693" s="13">
        <f>raw_data!I693</f>
        <v>9.23</v>
      </c>
      <c r="M693" s="13">
        <f>raw_data!J693</f>
        <v>2.12</v>
      </c>
    </row>
    <row r="694" spans="1:13" x14ac:dyDescent="0.2">
      <c r="A694" t="str">
        <f>raw_data!A694</f>
        <v>2019Q2</v>
      </c>
      <c r="B694" t="str">
        <f>raw_data!B694</f>
        <v>Queensland</v>
      </c>
      <c r="C694" t="str">
        <f>raw_data!C694</f>
        <v>Education and Training</v>
      </c>
      <c r="D694">
        <f>raw_data!D694</f>
        <v>7.23</v>
      </c>
      <c r="E694">
        <f>raw_data!E694</f>
        <v>40.380000000000003</v>
      </c>
      <c r="F694">
        <f>raw_data!F694</f>
        <v>9.64</v>
      </c>
      <c r="G694">
        <f>raw_data!G694</f>
        <v>17.899999999999999</v>
      </c>
      <c r="H694">
        <f>(raw_data!D694*weights!$B$2)+(raw_data!E694*weights!$B$3)+(raw_data!F694*weights!$B$4)</f>
        <v>17.898</v>
      </c>
      <c r="I694" t="str">
        <f t="shared" si="20"/>
        <v>Low</v>
      </c>
      <c r="J694" t="str">
        <f t="shared" si="21"/>
        <v>2019 Q2</v>
      </c>
      <c r="K694">
        <f>raw_data!H694</f>
        <v>2.89</v>
      </c>
      <c r="L694" s="13">
        <f>raw_data!I694</f>
        <v>12.12</v>
      </c>
      <c r="M694" s="13">
        <f>raw_data!J694</f>
        <v>2.89</v>
      </c>
    </row>
    <row r="695" spans="1:13" x14ac:dyDescent="0.2">
      <c r="A695" t="str">
        <f>raw_data!A695</f>
        <v>2019Q2</v>
      </c>
      <c r="B695" t="str">
        <f>raw_data!B695</f>
        <v>Queensland</v>
      </c>
      <c r="C695" t="str">
        <f>raw_data!C695</f>
        <v>Health Care and Social Assistance</v>
      </c>
      <c r="D695">
        <f>raw_data!D695</f>
        <v>21.29</v>
      </c>
      <c r="E695">
        <f>raw_data!E695</f>
        <v>57.69</v>
      </c>
      <c r="F695">
        <f>raw_data!F695</f>
        <v>17.52</v>
      </c>
      <c r="G695">
        <f>raw_data!G695</f>
        <v>31.08</v>
      </c>
      <c r="H695">
        <f>(raw_data!D695*weights!$B$2)+(raw_data!E695*weights!$B$3)+(raw_data!F695*weights!$B$4)</f>
        <v>31.079000000000001</v>
      </c>
      <c r="I695" t="str">
        <f t="shared" si="20"/>
        <v>Moderate</v>
      </c>
      <c r="J695" t="str">
        <f t="shared" si="21"/>
        <v>2019 Q2</v>
      </c>
      <c r="K695">
        <f>raw_data!H695</f>
        <v>8.52</v>
      </c>
      <c r="L695" s="13">
        <f>raw_data!I695</f>
        <v>17.309999999999999</v>
      </c>
      <c r="M695" s="13">
        <f>raw_data!J695</f>
        <v>5.25</v>
      </c>
    </row>
    <row r="696" spans="1:13" x14ac:dyDescent="0.2">
      <c r="A696" t="str">
        <f>raw_data!A696</f>
        <v>2019Q2</v>
      </c>
      <c r="B696" t="str">
        <f>raw_data!B696</f>
        <v>Queensland</v>
      </c>
      <c r="C696" t="str">
        <f>raw_data!C696</f>
        <v>Manufacturing</v>
      </c>
      <c r="D696">
        <f>raw_data!D696</f>
        <v>17.32</v>
      </c>
      <c r="E696">
        <f>raw_data!E696</f>
        <v>32.69</v>
      </c>
      <c r="F696">
        <f>raw_data!F696</f>
        <v>5.89</v>
      </c>
      <c r="G696">
        <f>raw_data!G696</f>
        <v>18.5</v>
      </c>
      <c r="H696">
        <f>(raw_data!D696*weights!$B$2)+(raw_data!E696*weights!$B$3)+(raw_data!F696*weights!$B$4)</f>
        <v>18.501999999999999</v>
      </c>
      <c r="I696" t="str">
        <f t="shared" si="20"/>
        <v>Low</v>
      </c>
      <c r="J696" t="str">
        <f t="shared" si="21"/>
        <v>2019 Q2</v>
      </c>
      <c r="K696">
        <f>raw_data!H696</f>
        <v>6.93</v>
      </c>
      <c r="L696" s="13">
        <f>raw_data!I696</f>
        <v>9.81</v>
      </c>
      <c r="M696" s="13">
        <f>raw_data!J696</f>
        <v>1.77</v>
      </c>
    </row>
    <row r="697" spans="1:13" x14ac:dyDescent="0.2">
      <c r="A697" t="str">
        <f>raw_data!A697</f>
        <v>2019Q2</v>
      </c>
      <c r="B697" t="str">
        <f>raw_data!B697</f>
        <v>Queensland</v>
      </c>
      <c r="C697" t="str">
        <f>raw_data!C697</f>
        <v>Professional, Scientific and Technical Services</v>
      </c>
      <c r="D697">
        <f>raw_data!D697</f>
        <v>45.38</v>
      </c>
      <c r="E697">
        <f>raw_data!E697</f>
        <v>40.380000000000003</v>
      </c>
      <c r="F697">
        <f>raw_data!F697</f>
        <v>37.93</v>
      </c>
      <c r="G697">
        <f>raw_data!G697</f>
        <v>41.65</v>
      </c>
      <c r="H697">
        <f>(raw_data!D697*weights!$B$2)+(raw_data!E697*weights!$B$3)+(raw_data!F697*weights!$B$4)</f>
        <v>41.645000000000003</v>
      </c>
      <c r="I697" t="str">
        <f t="shared" si="20"/>
        <v>Moderate</v>
      </c>
      <c r="J697" t="str">
        <f t="shared" si="21"/>
        <v>2019 Q2</v>
      </c>
      <c r="K697">
        <f>raw_data!H697</f>
        <v>18.149999999999999</v>
      </c>
      <c r="L697" s="13">
        <f>raw_data!I697</f>
        <v>12.12</v>
      </c>
      <c r="M697" s="13">
        <f>raw_data!J697</f>
        <v>11.38</v>
      </c>
    </row>
    <row r="698" spans="1:13" x14ac:dyDescent="0.2">
      <c r="A698" t="str">
        <f>raw_data!A698</f>
        <v>2019Q2</v>
      </c>
      <c r="B698" t="str">
        <f>raw_data!B698</f>
        <v>Victoria</v>
      </c>
      <c r="C698" t="str">
        <f>raw_data!C698</f>
        <v>Accommodation and Food Services</v>
      </c>
      <c r="D698">
        <f>raw_data!D698</f>
        <v>22.28</v>
      </c>
      <c r="E698">
        <f>raw_data!E698</f>
        <v>38.46</v>
      </c>
      <c r="F698">
        <f>raw_data!F698</f>
        <v>4.2</v>
      </c>
      <c r="G698">
        <f>raw_data!G698</f>
        <v>21.71</v>
      </c>
      <c r="H698">
        <f>(raw_data!D698*weights!$B$2)+(raw_data!E698*weights!$B$3)+(raw_data!F698*weights!$B$4)</f>
        <v>21.710000000000004</v>
      </c>
      <c r="I698" t="str">
        <f t="shared" si="20"/>
        <v>Low</v>
      </c>
      <c r="J698" t="str">
        <f t="shared" si="21"/>
        <v>2019 Q2</v>
      </c>
      <c r="K698">
        <f>raw_data!H698</f>
        <v>8.91</v>
      </c>
      <c r="L698" s="13">
        <f>raw_data!I698</f>
        <v>11.54</v>
      </c>
      <c r="M698" s="13">
        <f>raw_data!J698</f>
        <v>1.26</v>
      </c>
    </row>
    <row r="699" spans="1:13" x14ac:dyDescent="0.2">
      <c r="A699" t="str">
        <f>raw_data!A699</f>
        <v>2019Q2</v>
      </c>
      <c r="B699" t="str">
        <f>raw_data!B699</f>
        <v>Victoria</v>
      </c>
      <c r="C699" t="str">
        <f>raw_data!C699</f>
        <v>Construction</v>
      </c>
      <c r="D699">
        <f>raw_data!D699</f>
        <v>12.2</v>
      </c>
      <c r="E699">
        <f>raw_data!E699</f>
        <v>30.77</v>
      </c>
      <c r="F699">
        <f>raw_data!F699</f>
        <v>8.75</v>
      </c>
      <c r="G699">
        <f>raw_data!G699</f>
        <v>16.739999999999998</v>
      </c>
      <c r="H699">
        <f>(raw_data!D699*weights!$B$2)+(raw_data!E699*weights!$B$3)+(raw_data!F699*weights!$B$4)</f>
        <v>16.736000000000001</v>
      </c>
      <c r="I699" t="str">
        <f t="shared" si="20"/>
        <v>Low</v>
      </c>
      <c r="J699" t="str">
        <f t="shared" si="21"/>
        <v>2019 Q2</v>
      </c>
      <c r="K699">
        <f>raw_data!H699</f>
        <v>4.88</v>
      </c>
      <c r="L699" s="13">
        <f>raw_data!I699</f>
        <v>9.23</v>
      </c>
      <c r="M699" s="13">
        <f>raw_data!J699</f>
        <v>2.63</v>
      </c>
    </row>
    <row r="700" spans="1:13" x14ac:dyDescent="0.2">
      <c r="A700" t="str">
        <f>raw_data!A700</f>
        <v>2019Q2</v>
      </c>
      <c r="B700" t="str">
        <f>raw_data!B700</f>
        <v>Victoria</v>
      </c>
      <c r="C700" t="str">
        <f>raw_data!C700</f>
        <v>Education and Training</v>
      </c>
      <c r="D700">
        <f>raw_data!D700</f>
        <v>4.6900000000000004</v>
      </c>
      <c r="E700">
        <f>raw_data!E700</f>
        <v>40.380000000000003</v>
      </c>
      <c r="F700">
        <f>raw_data!F700</f>
        <v>7.36</v>
      </c>
      <c r="G700">
        <f>raw_data!G700</f>
        <v>16.2</v>
      </c>
      <c r="H700">
        <f>(raw_data!D700*weights!$B$2)+(raw_data!E700*weights!$B$3)+(raw_data!F700*weights!$B$4)</f>
        <v>16.198</v>
      </c>
      <c r="I700" t="str">
        <f t="shared" si="20"/>
        <v>Low</v>
      </c>
      <c r="J700" t="str">
        <f t="shared" si="21"/>
        <v>2019 Q2</v>
      </c>
      <c r="K700">
        <f>raw_data!H700</f>
        <v>1.87</v>
      </c>
      <c r="L700" s="13">
        <f>raw_data!I700</f>
        <v>12.12</v>
      </c>
      <c r="M700" s="13">
        <f>raw_data!J700</f>
        <v>2.21</v>
      </c>
    </row>
    <row r="701" spans="1:13" x14ac:dyDescent="0.2">
      <c r="A701" t="str">
        <f>raw_data!A701</f>
        <v>2019Q2</v>
      </c>
      <c r="B701" t="str">
        <f>raw_data!B701</f>
        <v>Victoria</v>
      </c>
      <c r="C701" t="str">
        <f>raw_data!C701</f>
        <v>Health Care and Social Assistance</v>
      </c>
      <c r="D701">
        <f>raw_data!D701</f>
        <v>18</v>
      </c>
      <c r="E701">
        <f>raw_data!E701</f>
        <v>57.69</v>
      </c>
      <c r="F701">
        <f>raw_data!F701</f>
        <v>22.36</v>
      </c>
      <c r="G701">
        <f>raw_data!G701</f>
        <v>31.22</v>
      </c>
      <c r="H701">
        <f>(raw_data!D701*weights!$B$2)+(raw_data!E701*weights!$B$3)+(raw_data!F701*weights!$B$4)</f>
        <v>31.214999999999996</v>
      </c>
      <c r="I701" t="str">
        <f t="shared" si="20"/>
        <v>Moderate</v>
      </c>
      <c r="J701" t="str">
        <f t="shared" si="21"/>
        <v>2019 Q2</v>
      </c>
      <c r="K701">
        <f>raw_data!H701</f>
        <v>7.2</v>
      </c>
      <c r="L701" s="13">
        <f>raw_data!I701</f>
        <v>17.309999999999999</v>
      </c>
      <c r="M701" s="13">
        <f>raw_data!J701</f>
        <v>6.71</v>
      </c>
    </row>
    <row r="702" spans="1:13" x14ac:dyDescent="0.2">
      <c r="A702" t="str">
        <f>raw_data!A702</f>
        <v>2019Q2</v>
      </c>
      <c r="B702" t="str">
        <f>raw_data!B702</f>
        <v>Victoria</v>
      </c>
      <c r="C702" t="str">
        <f>raw_data!C702</f>
        <v>Manufacturing</v>
      </c>
      <c r="D702">
        <f>raw_data!D702</f>
        <v>9.98</v>
      </c>
      <c r="E702">
        <f>raw_data!E702</f>
        <v>32.69</v>
      </c>
      <c r="F702">
        <f>raw_data!F702</f>
        <v>4.71</v>
      </c>
      <c r="G702">
        <f>raw_data!G702</f>
        <v>15.21</v>
      </c>
      <c r="H702">
        <f>(raw_data!D702*weights!$B$2)+(raw_data!E702*weights!$B$3)+(raw_data!F702*weights!$B$4)</f>
        <v>15.212</v>
      </c>
      <c r="I702" t="str">
        <f t="shared" si="20"/>
        <v>Low</v>
      </c>
      <c r="J702" t="str">
        <f t="shared" si="21"/>
        <v>2019 Q2</v>
      </c>
      <c r="K702">
        <f>raw_data!H702</f>
        <v>3.99</v>
      </c>
      <c r="L702" s="13">
        <f>raw_data!I702</f>
        <v>9.81</v>
      </c>
      <c r="M702" s="13">
        <f>raw_data!J702</f>
        <v>1.41</v>
      </c>
    </row>
    <row r="703" spans="1:13" x14ac:dyDescent="0.2">
      <c r="A703" t="str">
        <f>raw_data!A703</f>
        <v>2019Q2</v>
      </c>
      <c r="B703" t="str">
        <f>raw_data!B703</f>
        <v>Victoria</v>
      </c>
      <c r="C703" t="str">
        <f>raw_data!C703</f>
        <v>Professional, Scientific and Technical Services</v>
      </c>
      <c r="D703">
        <f>raw_data!D703</f>
        <v>22.49</v>
      </c>
      <c r="E703">
        <f>raw_data!E703</f>
        <v>40.380000000000003</v>
      </c>
      <c r="F703">
        <f>raw_data!F703</f>
        <v>18.649999999999999</v>
      </c>
      <c r="G703">
        <f>raw_data!G703</f>
        <v>26.71</v>
      </c>
      <c r="H703">
        <f>(raw_data!D703*weights!$B$2)+(raw_data!E703*weights!$B$3)+(raw_data!F703*weights!$B$4)</f>
        <v>26.704999999999998</v>
      </c>
      <c r="I703" t="str">
        <f t="shared" si="20"/>
        <v>Moderate</v>
      </c>
      <c r="J703" t="str">
        <f t="shared" si="21"/>
        <v>2019 Q2</v>
      </c>
      <c r="K703">
        <f>raw_data!H703</f>
        <v>9</v>
      </c>
      <c r="L703" s="13">
        <f>raw_data!I703</f>
        <v>12.12</v>
      </c>
      <c r="M703" s="13">
        <f>raw_data!J703</f>
        <v>5.59</v>
      </c>
    </row>
    <row r="704" spans="1:13" x14ac:dyDescent="0.2">
      <c r="A704" t="str">
        <f>raw_data!A704</f>
        <v>2019Q3</v>
      </c>
      <c r="B704" t="str">
        <f>raw_data!B704</f>
        <v>New South Wales</v>
      </c>
      <c r="C704" t="str">
        <f>raw_data!C704</f>
        <v>Accommodation and Food Services</v>
      </c>
      <c r="D704">
        <f>raw_data!D704</f>
        <v>15.73</v>
      </c>
      <c r="E704">
        <f>raw_data!E704</f>
        <v>32.69</v>
      </c>
      <c r="F704">
        <f>raw_data!F704</f>
        <v>4.4000000000000004</v>
      </c>
      <c r="G704">
        <f>raw_data!G704</f>
        <v>17.420000000000002</v>
      </c>
      <c r="H704">
        <f>(raw_data!D704*weights!$B$2)+(raw_data!E704*weights!$B$3)+(raw_data!F704*weights!$B$4)</f>
        <v>17.419</v>
      </c>
      <c r="I704" t="str">
        <f t="shared" si="20"/>
        <v>Low</v>
      </c>
      <c r="J704" t="str">
        <f t="shared" si="21"/>
        <v>2019 Q3</v>
      </c>
      <c r="K704">
        <f>raw_data!H704</f>
        <v>6.29</v>
      </c>
      <c r="L704" s="13">
        <f>raw_data!I704</f>
        <v>9.81</v>
      </c>
      <c r="M704" s="13">
        <f>raw_data!J704</f>
        <v>1.32</v>
      </c>
    </row>
    <row r="705" spans="1:13" x14ac:dyDescent="0.2">
      <c r="A705" t="str">
        <f>raw_data!A705</f>
        <v>2019Q3</v>
      </c>
      <c r="B705" t="str">
        <f>raw_data!B705</f>
        <v>New South Wales</v>
      </c>
      <c r="C705" t="str">
        <f>raw_data!C705</f>
        <v>Construction</v>
      </c>
      <c r="D705">
        <f>raw_data!D705</f>
        <v>9.6300000000000008</v>
      </c>
      <c r="E705">
        <f>raw_data!E705</f>
        <v>30.77</v>
      </c>
      <c r="F705">
        <f>raw_data!F705</f>
        <v>5.67</v>
      </c>
      <c r="G705">
        <f>raw_data!G705</f>
        <v>14.78</v>
      </c>
      <c r="H705">
        <f>(raw_data!D705*weights!$B$2)+(raw_data!E705*weights!$B$3)+(raw_data!F705*weights!$B$4)</f>
        <v>14.784000000000001</v>
      </c>
      <c r="I705" t="str">
        <f t="shared" si="20"/>
        <v>Low</v>
      </c>
      <c r="J705" t="str">
        <f t="shared" si="21"/>
        <v>2019 Q3</v>
      </c>
      <c r="K705">
        <f>raw_data!H705</f>
        <v>3.85</v>
      </c>
      <c r="L705" s="13">
        <f>raw_data!I705</f>
        <v>9.23</v>
      </c>
      <c r="M705" s="13">
        <f>raw_data!J705</f>
        <v>1.7</v>
      </c>
    </row>
    <row r="706" spans="1:13" x14ac:dyDescent="0.2">
      <c r="A706" t="str">
        <f>raw_data!A706</f>
        <v>2019Q3</v>
      </c>
      <c r="B706" t="str">
        <f>raw_data!B706</f>
        <v>New South Wales</v>
      </c>
      <c r="C706" t="str">
        <f>raw_data!C706</f>
        <v>Education and Training</v>
      </c>
      <c r="D706">
        <f>raw_data!D706</f>
        <v>3.52</v>
      </c>
      <c r="E706">
        <f>raw_data!E706</f>
        <v>34.619999999999997</v>
      </c>
      <c r="F706">
        <f>raw_data!F706</f>
        <v>16.329999999999998</v>
      </c>
      <c r="G706">
        <f>raw_data!G706</f>
        <v>16.690000000000001</v>
      </c>
      <c r="H706">
        <f>(raw_data!D706*weights!$B$2)+(raw_data!E706*weights!$B$3)+(raw_data!F706*weights!$B$4)</f>
        <v>16.692999999999998</v>
      </c>
      <c r="I706" t="str">
        <f t="shared" si="20"/>
        <v>Low</v>
      </c>
      <c r="J706" t="str">
        <f t="shared" si="21"/>
        <v>2019 Q3</v>
      </c>
      <c r="K706">
        <f>raw_data!H706</f>
        <v>1.41</v>
      </c>
      <c r="L706" s="13">
        <f>raw_data!I706</f>
        <v>10.38</v>
      </c>
      <c r="M706" s="13">
        <f>raw_data!J706</f>
        <v>4.9000000000000004</v>
      </c>
    </row>
    <row r="707" spans="1:13" x14ac:dyDescent="0.2">
      <c r="A707" t="str">
        <f>raw_data!A707</f>
        <v>2019Q3</v>
      </c>
      <c r="B707" t="str">
        <f>raw_data!B707</f>
        <v>New South Wales</v>
      </c>
      <c r="C707" t="str">
        <f>raw_data!C707</f>
        <v>Health Care and Social Assistance</v>
      </c>
      <c r="D707">
        <f>raw_data!D707</f>
        <v>11.42</v>
      </c>
      <c r="E707">
        <f>raw_data!E707</f>
        <v>55.77</v>
      </c>
      <c r="F707">
        <f>raw_data!F707</f>
        <v>13.91</v>
      </c>
      <c r="G707">
        <f>raw_data!G707</f>
        <v>25.47</v>
      </c>
      <c r="H707">
        <f>(raw_data!D707*weights!$B$2)+(raw_data!E707*weights!$B$3)+(raw_data!F707*weights!$B$4)</f>
        <v>25.472000000000001</v>
      </c>
      <c r="I707" t="str">
        <f t="shared" ref="I707:I770" si="22">IF(H707&gt;=60,"Critical",IF(H707&gt;=45,"High",IF(H707&gt;=25,"Moderate","Low")))</f>
        <v>Moderate</v>
      </c>
      <c r="J707" t="str">
        <f t="shared" ref="J707:J770" si="23">LEFT(A707,4)&amp;" "&amp;RIGHT(A707,2)</f>
        <v>2019 Q3</v>
      </c>
      <c r="K707">
        <f>raw_data!H707</f>
        <v>4.57</v>
      </c>
      <c r="L707" s="13">
        <f>raw_data!I707</f>
        <v>16.73</v>
      </c>
      <c r="M707" s="13">
        <f>raw_data!J707</f>
        <v>4.17</v>
      </c>
    </row>
    <row r="708" spans="1:13" x14ac:dyDescent="0.2">
      <c r="A708" t="str">
        <f>raw_data!A708</f>
        <v>2019Q3</v>
      </c>
      <c r="B708" t="str">
        <f>raw_data!B708</f>
        <v>New South Wales</v>
      </c>
      <c r="C708" t="str">
        <f>raw_data!C708</f>
        <v>Manufacturing</v>
      </c>
      <c r="D708">
        <f>raw_data!D708</f>
        <v>11.29</v>
      </c>
      <c r="E708">
        <f>raw_data!E708</f>
        <v>28.85</v>
      </c>
      <c r="F708">
        <f>raw_data!F708</f>
        <v>8.17</v>
      </c>
      <c r="G708">
        <f>raw_data!G708</f>
        <v>15.62</v>
      </c>
      <c r="H708">
        <f>(raw_data!D708*weights!$B$2)+(raw_data!E708*weights!$B$3)+(raw_data!F708*weights!$B$4)</f>
        <v>15.622</v>
      </c>
      <c r="I708" t="str">
        <f t="shared" si="22"/>
        <v>Low</v>
      </c>
      <c r="J708" t="str">
        <f t="shared" si="23"/>
        <v>2019 Q3</v>
      </c>
      <c r="K708">
        <f>raw_data!H708</f>
        <v>4.5199999999999996</v>
      </c>
      <c r="L708" s="13">
        <f>raw_data!I708</f>
        <v>8.65</v>
      </c>
      <c r="M708" s="13">
        <f>raw_data!J708</f>
        <v>2.4500000000000002</v>
      </c>
    </row>
    <row r="709" spans="1:13" x14ac:dyDescent="0.2">
      <c r="A709" t="str">
        <f>raw_data!A709</f>
        <v>2019Q3</v>
      </c>
      <c r="B709" t="str">
        <f>raw_data!B709</f>
        <v>New South Wales</v>
      </c>
      <c r="C709" t="str">
        <f>raw_data!C709</f>
        <v>Professional, Scientific and Technical Services</v>
      </c>
      <c r="D709">
        <f>raw_data!D709</f>
        <v>15.57</v>
      </c>
      <c r="E709">
        <f>raw_data!E709</f>
        <v>42.31</v>
      </c>
      <c r="F709">
        <f>raw_data!F709</f>
        <v>14.74</v>
      </c>
      <c r="G709">
        <f>raw_data!G709</f>
        <v>23.34</v>
      </c>
      <c r="H709">
        <f>(raw_data!D709*weights!$B$2)+(raw_data!E709*weights!$B$3)+(raw_data!F709*weights!$B$4)</f>
        <v>23.343</v>
      </c>
      <c r="I709" t="str">
        <f t="shared" si="22"/>
        <v>Low</v>
      </c>
      <c r="J709" t="str">
        <f t="shared" si="23"/>
        <v>2019 Q3</v>
      </c>
      <c r="K709">
        <f>raw_data!H709</f>
        <v>6.23</v>
      </c>
      <c r="L709" s="13">
        <f>raw_data!I709</f>
        <v>12.69</v>
      </c>
      <c r="M709" s="13">
        <f>raw_data!J709</f>
        <v>4.42</v>
      </c>
    </row>
    <row r="710" spans="1:13" x14ac:dyDescent="0.2">
      <c r="A710" t="str">
        <f>raw_data!A710</f>
        <v>2019Q3</v>
      </c>
      <c r="B710" t="str">
        <f>raw_data!B710</f>
        <v>Queensland</v>
      </c>
      <c r="C710" t="str">
        <f>raw_data!C710</f>
        <v>Accommodation and Food Services</v>
      </c>
      <c r="D710">
        <f>raw_data!D710</f>
        <v>23.66</v>
      </c>
      <c r="E710">
        <f>raw_data!E710</f>
        <v>32.69</v>
      </c>
      <c r="F710">
        <f>raw_data!F710</f>
        <v>5.56</v>
      </c>
      <c r="G710">
        <f>raw_data!G710</f>
        <v>20.94</v>
      </c>
      <c r="H710">
        <f>(raw_data!D710*weights!$B$2)+(raw_data!E710*weights!$B$3)+(raw_data!F710*weights!$B$4)</f>
        <v>20.939</v>
      </c>
      <c r="I710" t="str">
        <f t="shared" si="22"/>
        <v>Low</v>
      </c>
      <c r="J710" t="str">
        <f t="shared" si="23"/>
        <v>2019 Q3</v>
      </c>
      <c r="K710">
        <f>raw_data!H710</f>
        <v>9.4700000000000006</v>
      </c>
      <c r="L710" s="13">
        <f>raw_data!I710</f>
        <v>9.81</v>
      </c>
      <c r="M710" s="13">
        <f>raw_data!J710</f>
        <v>1.67</v>
      </c>
    </row>
    <row r="711" spans="1:13" x14ac:dyDescent="0.2">
      <c r="A711" t="str">
        <f>raw_data!A711</f>
        <v>2019Q3</v>
      </c>
      <c r="B711" t="str">
        <f>raw_data!B711</f>
        <v>Queensland</v>
      </c>
      <c r="C711" t="str">
        <f>raw_data!C711</f>
        <v>Construction</v>
      </c>
      <c r="D711">
        <f>raw_data!D711</f>
        <v>14.96</v>
      </c>
      <c r="E711">
        <f>raw_data!E711</f>
        <v>30.77</v>
      </c>
      <c r="F711">
        <f>raw_data!F711</f>
        <v>7.24</v>
      </c>
      <c r="G711">
        <f>raw_data!G711</f>
        <v>17.39</v>
      </c>
      <c r="H711">
        <f>(raw_data!D711*weights!$B$2)+(raw_data!E711*weights!$B$3)+(raw_data!F711*weights!$B$4)</f>
        <v>17.387</v>
      </c>
      <c r="I711" t="str">
        <f t="shared" si="22"/>
        <v>Low</v>
      </c>
      <c r="J711" t="str">
        <f t="shared" si="23"/>
        <v>2019 Q3</v>
      </c>
      <c r="K711">
        <f>raw_data!H711</f>
        <v>5.98</v>
      </c>
      <c r="L711" s="13">
        <f>raw_data!I711</f>
        <v>9.23</v>
      </c>
      <c r="M711" s="13">
        <f>raw_data!J711</f>
        <v>2.17</v>
      </c>
    </row>
    <row r="712" spans="1:13" x14ac:dyDescent="0.2">
      <c r="A712" t="str">
        <f>raw_data!A712</f>
        <v>2019Q3</v>
      </c>
      <c r="B712" t="str">
        <f>raw_data!B712</f>
        <v>Queensland</v>
      </c>
      <c r="C712" t="str">
        <f>raw_data!C712</f>
        <v>Education and Training</v>
      </c>
      <c r="D712">
        <f>raw_data!D712</f>
        <v>6.59</v>
      </c>
      <c r="E712">
        <f>raw_data!E712</f>
        <v>34.619999999999997</v>
      </c>
      <c r="F712">
        <f>raw_data!F712</f>
        <v>10.99</v>
      </c>
      <c r="G712">
        <f>raw_data!G712</f>
        <v>16.32</v>
      </c>
      <c r="H712">
        <f>(raw_data!D712*weights!$B$2)+(raw_data!E712*weights!$B$3)+(raw_data!F712*weights!$B$4)</f>
        <v>16.318999999999999</v>
      </c>
      <c r="I712" t="str">
        <f t="shared" si="22"/>
        <v>Low</v>
      </c>
      <c r="J712" t="str">
        <f t="shared" si="23"/>
        <v>2019 Q3</v>
      </c>
      <c r="K712">
        <f>raw_data!H712</f>
        <v>2.64</v>
      </c>
      <c r="L712" s="13">
        <f>raw_data!I712</f>
        <v>10.38</v>
      </c>
      <c r="M712" s="13">
        <f>raw_data!J712</f>
        <v>3.3</v>
      </c>
    </row>
    <row r="713" spans="1:13" x14ac:dyDescent="0.2">
      <c r="A713" t="str">
        <f>raw_data!A713</f>
        <v>2019Q3</v>
      </c>
      <c r="B713" t="str">
        <f>raw_data!B713</f>
        <v>Queensland</v>
      </c>
      <c r="C713" t="str">
        <f>raw_data!C713</f>
        <v>Health Care and Social Assistance</v>
      </c>
      <c r="D713">
        <f>raw_data!D713</f>
        <v>19.09</v>
      </c>
      <c r="E713">
        <f>raw_data!E713</f>
        <v>55.77</v>
      </c>
      <c r="F713">
        <f>raw_data!F713</f>
        <v>14.14</v>
      </c>
      <c r="G713">
        <f>raw_data!G713</f>
        <v>28.61</v>
      </c>
      <c r="H713">
        <f>(raw_data!D713*weights!$B$2)+(raw_data!E713*weights!$B$3)+(raw_data!F713*weights!$B$4)</f>
        <v>28.609000000000002</v>
      </c>
      <c r="I713" t="str">
        <f t="shared" si="22"/>
        <v>Moderate</v>
      </c>
      <c r="J713" t="str">
        <f t="shared" si="23"/>
        <v>2019 Q3</v>
      </c>
      <c r="K713">
        <f>raw_data!H713</f>
        <v>7.64</v>
      </c>
      <c r="L713" s="13">
        <f>raw_data!I713</f>
        <v>16.73</v>
      </c>
      <c r="M713" s="13">
        <f>raw_data!J713</f>
        <v>4.24</v>
      </c>
    </row>
    <row r="714" spans="1:13" x14ac:dyDescent="0.2">
      <c r="A714" t="str">
        <f>raw_data!A714</f>
        <v>2019Q3</v>
      </c>
      <c r="B714" t="str">
        <f>raw_data!B714</f>
        <v>Queensland</v>
      </c>
      <c r="C714" t="str">
        <f>raw_data!C714</f>
        <v>Manufacturing</v>
      </c>
      <c r="D714">
        <f>raw_data!D714</f>
        <v>17.95</v>
      </c>
      <c r="E714">
        <f>raw_data!E714</f>
        <v>28.85</v>
      </c>
      <c r="F714">
        <f>raw_data!F714</f>
        <v>6.46</v>
      </c>
      <c r="G714">
        <f>raw_data!G714</f>
        <v>17.77</v>
      </c>
      <c r="H714">
        <f>(raw_data!D714*weights!$B$2)+(raw_data!E714*weights!$B$3)+(raw_data!F714*weights!$B$4)</f>
        <v>17.773</v>
      </c>
      <c r="I714" t="str">
        <f t="shared" si="22"/>
        <v>Low</v>
      </c>
      <c r="J714" t="str">
        <f t="shared" si="23"/>
        <v>2019 Q3</v>
      </c>
      <c r="K714">
        <f>raw_data!H714</f>
        <v>7.18</v>
      </c>
      <c r="L714" s="13">
        <f>raw_data!I714</f>
        <v>8.65</v>
      </c>
      <c r="M714" s="13">
        <f>raw_data!J714</f>
        <v>1.94</v>
      </c>
    </row>
    <row r="715" spans="1:13" x14ac:dyDescent="0.2">
      <c r="A715" t="str">
        <f>raw_data!A715</f>
        <v>2019Q3</v>
      </c>
      <c r="B715" t="str">
        <f>raw_data!B715</f>
        <v>Queensland</v>
      </c>
      <c r="C715" t="str">
        <f>raw_data!C715</f>
        <v>Professional, Scientific and Technical Services</v>
      </c>
      <c r="D715">
        <f>raw_data!D715</f>
        <v>38.229999999999997</v>
      </c>
      <c r="E715">
        <f>raw_data!E715</f>
        <v>42.31</v>
      </c>
      <c r="F715">
        <f>raw_data!F715</f>
        <v>22.85</v>
      </c>
      <c r="G715">
        <f>raw_data!G715</f>
        <v>34.840000000000003</v>
      </c>
      <c r="H715">
        <f>(raw_data!D715*weights!$B$2)+(raw_data!E715*weights!$B$3)+(raw_data!F715*weights!$B$4)</f>
        <v>34.840000000000003</v>
      </c>
      <c r="I715" t="str">
        <f t="shared" si="22"/>
        <v>Moderate</v>
      </c>
      <c r="J715" t="str">
        <f t="shared" si="23"/>
        <v>2019 Q3</v>
      </c>
      <c r="K715">
        <f>raw_data!H715</f>
        <v>15.29</v>
      </c>
      <c r="L715" s="13">
        <f>raw_data!I715</f>
        <v>12.69</v>
      </c>
      <c r="M715" s="13">
        <f>raw_data!J715</f>
        <v>6.86</v>
      </c>
    </row>
    <row r="716" spans="1:13" x14ac:dyDescent="0.2">
      <c r="A716" t="str">
        <f>raw_data!A716</f>
        <v>2019Q3</v>
      </c>
      <c r="B716" t="str">
        <f>raw_data!B716</f>
        <v>Victoria</v>
      </c>
      <c r="C716" t="str">
        <f>raw_data!C716</f>
        <v>Accommodation and Food Services</v>
      </c>
      <c r="D716">
        <f>raw_data!D716</f>
        <v>21.7</v>
      </c>
      <c r="E716">
        <f>raw_data!E716</f>
        <v>32.69</v>
      </c>
      <c r="F716">
        <f>raw_data!F716</f>
        <v>4.6500000000000004</v>
      </c>
      <c r="G716">
        <f>raw_data!G716</f>
        <v>19.88</v>
      </c>
      <c r="H716">
        <f>(raw_data!D716*weights!$B$2)+(raw_data!E716*weights!$B$3)+(raw_data!F716*weights!$B$4)</f>
        <v>19.881999999999998</v>
      </c>
      <c r="I716" t="str">
        <f t="shared" si="22"/>
        <v>Low</v>
      </c>
      <c r="J716" t="str">
        <f t="shared" si="23"/>
        <v>2019 Q3</v>
      </c>
      <c r="K716">
        <f>raw_data!H716</f>
        <v>8.68</v>
      </c>
      <c r="L716" s="13">
        <f>raw_data!I716</f>
        <v>9.81</v>
      </c>
      <c r="M716" s="13">
        <f>raw_data!J716</f>
        <v>1.4</v>
      </c>
    </row>
    <row r="717" spans="1:13" x14ac:dyDescent="0.2">
      <c r="A717" t="str">
        <f>raw_data!A717</f>
        <v>2019Q3</v>
      </c>
      <c r="B717" t="str">
        <f>raw_data!B717</f>
        <v>Victoria</v>
      </c>
      <c r="C717" t="str">
        <f>raw_data!C717</f>
        <v>Construction</v>
      </c>
      <c r="D717">
        <f>raw_data!D717</f>
        <v>11.8</v>
      </c>
      <c r="E717">
        <f>raw_data!E717</f>
        <v>30.77</v>
      </c>
      <c r="F717">
        <f>raw_data!F717</f>
        <v>10.02</v>
      </c>
      <c r="G717">
        <f>raw_data!G717</f>
        <v>16.96</v>
      </c>
      <c r="H717">
        <f>(raw_data!D717*weights!$B$2)+(raw_data!E717*weights!$B$3)+(raw_data!F717*weights!$B$4)</f>
        <v>16.957000000000001</v>
      </c>
      <c r="I717" t="str">
        <f t="shared" si="22"/>
        <v>Low</v>
      </c>
      <c r="J717" t="str">
        <f t="shared" si="23"/>
        <v>2019 Q3</v>
      </c>
      <c r="K717">
        <f>raw_data!H717</f>
        <v>4.72</v>
      </c>
      <c r="L717" s="13">
        <f>raw_data!I717</f>
        <v>9.23</v>
      </c>
      <c r="M717" s="13">
        <f>raw_data!J717</f>
        <v>3</v>
      </c>
    </row>
    <row r="718" spans="1:13" x14ac:dyDescent="0.2">
      <c r="A718" t="str">
        <f>raw_data!A718</f>
        <v>2019Q3</v>
      </c>
      <c r="B718" t="str">
        <f>raw_data!B718</f>
        <v>Victoria</v>
      </c>
      <c r="C718" t="str">
        <f>raw_data!C718</f>
        <v>Education and Training</v>
      </c>
      <c r="D718">
        <f>raw_data!D718</f>
        <v>3.92</v>
      </c>
      <c r="E718">
        <f>raw_data!E718</f>
        <v>34.619999999999997</v>
      </c>
      <c r="F718">
        <f>raw_data!F718</f>
        <v>8.58</v>
      </c>
      <c r="G718">
        <f>raw_data!G718</f>
        <v>14.53</v>
      </c>
      <c r="H718">
        <f>(raw_data!D718*weights!$B$2)+(raw_data!E718*weights!$B$3)+(raw_data!F718*weights!$B$4)</f>
        <v>14.527999999999999</v>
      </c>
      <c r="I718" t="str">
        <f t="shared" si="22"/>
        <v>Low</v>
      </c>
      <c r="J718" t="str">
        <f t="shared" si="23"/>
        <v>2019 Q3</v>
      </c>
      <c r="K718">
        <f>raw_data!H718</f>
        <v>1.57</v>
      </c>
      <c r="L718" s="13">
        <f>raw_data!I718</f>
        <v>10.38</v>
      </c>
      <c r="M718" s="13">
        <f>raw_data!J718</f>
        <v>2.57</v>
      </c>
    </row>
    <row r="719" spans="1:13" x14ac:dyDescent="0.2">
      <c r="A719" t="str">
        <f>raw_data!A719</f>
        <v>2019Q3</v>
      </c>
      <c r="B719" t="str">
        <f>raw_data!B719</f>
        <v>Victoria</v>
      </c>
      <c r="C719" t="str">
        <f>raw_data!C719</f>
        <v>Health Care and Social Assistance</v>
      </c>
      <c r="D719">
        <f>raw_data!D719</f>
        <v>15.83</v>
      </c>
      <c r="E719">
        <f>raw_data!E719</f>
        <v>55.77</v>
      </c>
      <c r="F719">
        <f>raw_data!F719</f>
        <v>13.21</v>
      </c>
      <c r="G719">
        <f>raw_data!G719</f>
        <v>27.02</v>
      </c>
      <c r="H719">
        <f>(raw_data!D719*weights!$B$2)+(raw_data!E719*weights!$B$3)+(raw_data!F719*weights!$B$4)</f>
        <v>27.026000000000003</v>
      </c>
      <c r="I719" t="str">
        <f t="shared" si="22"/>
        <v>Moderate</v>
      </c>
      <c r="J719" t="str">
        <f t="shared" si="23"/>
        <v>2019 Q3</v>
      </c>
      <c r="K719">
        <f>raw_data!H719</f>
        <v>6.33</v>
      </c>
      <c r="L719" s="13">
        <f>raw_data!I719</f>
        <v>16.73</v>
      </c>
      <c r="M719" s="13">
        <f>raw_data!J719</f>
        <v>3.96</v>
      </c>
    </row>
    <row r="720" spans="1:13" x14ac:dyDescent="0.2">
      <c r="A720" t="str">
        <f>raw_data!A720</f>
        <v>2019Q3</v>
      </c>
      <c r="B720" t="str">
        <f>raw_data!B720</f>
        <v>Victoria</v>
      </c>
      <c r="C720" t="str">
        <f>raw_data!C720</f>
        <v>Manufacturing</v>
      </c>
      <c r="D720">
        <f>raw_data!D720</f>
        <v>10</v>
      </c>
      <c r="E720">
        <f>raw_data!E720</f>
        <v>28.85</v>
      </c>
      <c r="F720">
        <f>raw_data!F720</f>
        <v>6.88</v>
      </c>
      <c r="G720">
        <f>raw_data!G720</f>
        <v>14.72</v>
      </c>
      <c r="H720">
        <f>(raw_data!D720*weights!$B$2)+(raw_data!E720*weights!$B$3)+(raw_data!F720*weights!$B$4)</f>
        <v>14.718999999999999</v>
      </c>
      <c r="I720" t="str">
        <f t="shared" si="22"/>
        <v>Low</v>
      </c>
      <c r="J720" t="str">
        <f t="shared" si="23"/>
        <v>2019 Q3</v>
      </c>
      <c r="K720">
        <f>raw_data!H720</f>
        <v>4</v>
      </c>
      <c r="L720" s="13">
        <f>raw_data!I720</f>
        <v>8.65</v>
      </c>
      <c r="M720" s="13">
        <f>raw_data!J720</f>
        <v>2.0699999999999998</v>
      </c>
    </row>
    <row r="721" spans="1:13" x14ac:dyDescent="0.2">
      <c r="A721" t="str">
        <f>raw_data!A721</f>
        <v>2019Q3</v>
      </c>
      <c r="B721" t="str">
        <f>raw_data!B721</f>
        <v>Victoria</v>
      </c>
      <c r="C721" t="str">
        <f>raw_data!C721</f>
        <v>Professional, Scientific and Technical Services</v>
      </c>
      <c r="D721">
        <f>raw_data!D721</f>
        <v>18.39</v>
      </c>
      <c r="E721">
        <f>raw_data!E721</f>
        <v>42.31</v>
      </c>
      <c r="F721">
        <f>raw_data!F721</f>
        <v>14.87</v>
      </c>
      <c r="G721">
        <f>raw_data!G721</f>
        <v>24.51</v>
      </c>
      <c r="H721">
        <f>(raw_data!D721*weights!$B$2)+(raw_data!E721*weights!$B$3)+(raw_data!F721*weights!$B$4)</f>
        <v>24.509999999999998</v>
      </c>
      <c r="I721" t="str">
        <f t="shared" si="22"/>
        <v>Low</v>
      </c>
      <c r="J721" t="str">
        <f t="shared" si="23"/>
        <v>2019 Q3</v>
      </c>
      <c r="K721">
        <f>raw_data!H721</f>
        <v>7.36</v>
      </c>
      <c r="L721" s="13">
        <f>raw_data!I721</f>
        <v>12.69</v>
      </c>
      <c r="M721" s="13">
        <f>raw_data!J721</f>
        <v>4.46</v>
      </c>
    </row>
    <row r="722" spans="1:13" x14ac:dyDescent="0.2">
      <c r="A722" t="str">
        <f>raw_data!A722</f>
        <v>2019Q4</v>
      </c>
      <c r="B722" t="str">
        <f>raw_data!B722</f>
        <v>New South Wales</v>
      </c>
      <c r="C722" t="str">
        <f>raw_data!C722</f>
        <v>Accommodation and Food Services</v>
      </c>
      <c r="D722">
        <f>raw_data!D722</f>
        <v>14.88</v>
      </c>
      <c r="E722">
        <f>raw_data!E722</f>
        <v>36.54</v>
      </c>
      <c r="F722">
        <f>raw_data!F722</f>
        <v>4.04</v>
      </c>
      <c r="G722">
        <f>raw_data!G722</f>
        <v>18.13</v>
      </c>
      <c r="H722">
        <f>(raw_data!D722*weights!$B$2)+(raw_data!E722*weights!$B$3)+(raw_data!F722*weights!$B$4)</f>
        <v>18.126000000000001</v>
      </c>
      <c r="I722" t="str">
        <f t="shared" si="22"/>
        <v>Low</v>
      </c>
      <c r="J722" t="str">
        <f t="shared" si="23"/>
        <v>2019 Q4</v>
      </c>
      <c r="K722">
        <f>raw_data!H722</f>
        <v>5.95</v>
      </c>
      <c r="L722" s="13">
        <f>raw_data!I722</f>
        <v>10.96</v>
      </c>
      <c r="M722" s="13">
        <f>raw_data!J722</f>
        <v>1.21</v>
      </c>
    </row>
    <row r="723" spans="1:13" x14ac:dyDescent="0.2">
      <c r="A723" t="str">
        <f>raw_data!A723</f>
        <v>2019Q4</v>
      </c>
      <c r="B723" t="str">
        <f>raw_data!B723</f>
        <v>New South Wales</v>
      </c>
      <c r="C723" t="str">
        <f>raw_data!C723</f>
        <v>Construction</v>
      </c>
      <c r="D723">
        <f>raw_data!D723</f>
        <v>11.09</v>
      </c>
      <c r="E723">
        <f>raw_data!E723</f>
        <v>28.85</v>
      </c>
      <c r="F723">
        <f>raw_data!F723</f>
        <v>3.62</v>
      </c>
      <c r="G723">
        <f>raw_data!G723</f>
        <v>14.18</v>
      </c>
      <c r="H723">
        <f>(raw_data!D723*weights!$B$2)+(raw_data!E723*weights!$B$3)+(raw_data!F723*weights!$B$4)</f>
        <v>14.177</v>
      </c>
      <c r="I723" t="str">
        <f t="shared" si="22"/>
        <v>Low</v>
      </c>
      <c r="J723" t="str">
        <f t="shared" si="23"/>
        <v>2019 Q4</v>
      </c>
      <c r="K723">
        <f>raw_data!H723</f>
        <v>4.4400000000000004</v>
      </c>
      <c r="L723" s="13">
        <f>raw_data!I723</f>
        <v>8.65</v>
      </c>
      <c r="M723" s="13">
        <f>raw_data!J723</f>
        <v>1.0900000000000001</v>
      </c>
    </row>
    <row r="724" spans="1:13" x14ac:dyDescent="0.2">
      <c r="A724" t="str">
        <f>raw_data!A724</f>
        <v>2019Q4</v>
      </c>
      <c r="B724" t="str">
        <f>raw_data!B724</f>
        <v>New South Wales</v>
      </c>
      <c r="C724" t="str">
        <f>raw_data!C724</f>
        <v>Education and Training</v>
      </c>
      <c r="D724">
        <f>raw_data!D724</f>
        <v>4.09</v>
      </c>
      <c r="E724">
        <f>raw_data!E724</f>
        <v>30.77</v>
      </c>
      <c r="F724">
        <f>raw_data!F724</f>
        <v>5.87</v>
      </c>
      <c r="G724">
        <f>raw_data!G724</f>
        <v>12.63</v>
      </c>
      <c r="H724">
        <f>(raw_data!D724*weights!$B$2)+(raw_data!E724*weights!$B$3)+(raw_data!F724*weights!$B$4)</f>
        <v>12.628</v>
      </c>
      <c r="I724" t="str">
        <f t="shared" si="22"/>
        <v>Low</v>
      </c>
      <c r="J724" t="str">
        <f t="shared" si="23"/>
        <v>2019 Q4</v>
      </c>
      <c r="K724">
        <f>raw_data!H724</f>
        <v>1.64</v>
      </c>
      <c r="L724" s="13">
        <f>raw_data!I724</f>
        <v>9.23</v>
      </c>
      <c r="M724" s="13">
        <f>raw_data!J724</f>
        <v>1.76</v>
      </c>
    </row>
    <row r="725" spans="1:13" x14ac:dyDescent="0.2">
      <c r="A725" t="str">
        <f>raw_data!A725</f>
        <v>2019Q4</v>
      </c>
      <c r="B725" t="str">
        <f>raw_data!B725</f>
        <v>New South Wales</v>
      </c>
      <c r="C725" t="str">
        <f>raw_data!C725</f>
        <v>Health Care and Social Assistance</v>
      </c>
      <c r="D725">
        <f>raw_data!D725</f>
        <v>11.77</v>
      </c>
      <c r="E725">
        <f>raw_data!E725</f>
        <v>53.85</v>
      </c>
      <c r="F725">
        <f>raw_data!F725</f>
        <v>13.98</v>
      </c>
      <c r="G725">
        <f>raw_data!G725</f>
        <v>25.05</v>
      </c>
      <c r="H725">
        <f>(raw_data!D725*weights!$B$2)+(raw_data!E725*weights!$B$3)+(raw_data!F725*weights!$B$4)</f>
        <v>25.056999999999999</v>
      </c>
      <c r="I725" t="str">
        <f t="shared" si="22"/>
        <v>Moderate</v>
      </c>
      <c r="J725" t="str">
        <f t="shared" si="23"/>
        <v>2019 Q4</v>
      </c>
      <c r="K725">
        <f>raw_data!H725</f>
        <v>4.71</v>
      </c>
      <c r="L725" s="13">
        <f>raw_data!I725</f>
        <v>16.149999999999999</v>
      </c>
      <c r="M725" s="13">
        <f>raw_data!J725</f>
        <v>4.1900000000000004</v>
      </c>
    </row>
    <row r="726" spans="1:13" x14ac:dyDescent="0.2">
      <c r="A726" t="str">
        <f>raw_data!A726</f>
        <v>2019Q4</v>
      </c>
      <c r="B726" t="str">
        <f>raw_data!B726</f>
        <v>New South Wales</v>
      </c>
      <c r="C726" t="str">
        <f>raw_data!C726</f>
        <v>Manufacturing</v>
      </c>
      <c r="D726">
        <f>raw_data!D726</f>
        <v>9.5299999999999994</v>
      </c>
      <c r="E726">
        <f>raw_data!E726</f>
        <v>28.85</v>
      </c>
      <c r="F726">
        <f>raw_data!F726</f>
        <v>4.7699999999999996</v>
      </c>
      <c r="G726">
        <f>raw_data!G726</f>
        <v>13.9</v>
      </c>
      <c r="H726">
        <f>(raw_data!D726*weights!$B$2)+(raw_data!E726*weights!$B$3)+(raw_data!F726*weights!$B$4)</f>
        <v>13.897999999999998</v>
      </c>
      <c r="I726" t="str">
        <f t="shared" si="22"/>
        <v>Low</v>
      </c>
      <c r="J726" t="str">
        <f t="shared" si="23"/>
        <v>2019 Q4</v>
      </c>
      <c r="K726">
        <f>raw_data!H726</f>
        <v>3.81</v>
      </c>
      <c r="L726" s="13">
        <f>raw_data!I726</f>
        <v>8.65</v>
      </c>
      <c r="M726" s="13">
        <f>raw_data!J726</f>
        <v>1.43</v>
      </c>
    </row>
    <row r="727" spans="1:13" x14ac:dyDescent="0.2">
      <c r="A727" t="str">
        <f>raw_data!A727</f>
        <v>2019Q4</v>
      </c>
      <c r="B727" t="str">
        <f>raw_data!B727</f>
        <v>New South Wales</v>
      </c>
      <c r="C727" t="str">
        <f>raw_data!C727</f>
        <v>Professional, Scientific and Technical Services</v>
      </c>
      <c r="D727">
        <f>raw_data!D727</f>
        <v>14.38</v>
      </c>
      <c r="E727">
        <f>raw_data!E727</f>
        <v>38.46</v>
      </c>
      <c r="F727">
        <f>raw_data!F727</f>
        <v>28.5</v>
      </c>
      <c r="G727">
        <f>raw_data!G727</f>
        <v>25.84</v>
      </c>
      <c r="H727">
        <f>(raw_data!D727*weights!$B$2)+(raw_data!E727*weights!$B$3)+(raw_data!F727*weights!$B$4)</f>
        <v>25.839999999999996</v>
      </c>
      <c r="I727" t="str">
        <f t="shared" si="22"/>
        <v>Moderate</v>
      </c>
      <c r="J727" t="str">
        <f t="shared" si="23"/>
        <v>2019 Q4</v>
      </c>
      <c r="K727">
        <f>raw_data!H727</f>
        <v>5.75</v>
      </c>
      <c r="L727" s="13">
        <f>raw_data!I727</f>
        <v>11.54</v>
      </c>
      <c r="M727" s="13">
        <f>raw_data!J727</f>
        <v>8.5500000000000007</v>
      </c>
    </row>
    <row r="728" spans="1:13" x14ac:dyDescent="0.2">
      <c r="A728" t="str">
        <f>raw_data!A728</f>
        <v>2019Q4</v>
      </c>
      <c r="B728" t="str">
        <f>raw_data!B728</f>
        <v>Queensland</v>
      </c>
      <c r="C728" t="str">
        <f>raw_data!C728</f>
        <v>Accommodation and Food Services</v>
      </c>
      <c r="D728">
        <f>raw_data!D728</f>
        <v>20.58</v>
      </c>
      <c r="E728">
        <f>raw_data!E728</f>
        <v>36.54</v>
      </c>
      <c r="F728">
        <f>raw_data!F728</f>
        <v>5.31</v>
      </c>
      <c r="G728">
        <f>raw_data!G728</f>
        <v>20.79</v>
      </c>
      <c r="H728">
        <f>(raw_data!D728*weights!$B$2)+(raw_data!E728*weights!$B$3)+(raw_data!F728*weights!$B$4)</f>
        <v>20.786999999999999</v>
      </c>
      <c r="I728" t="str">
        <f t="shared" si="22"/>
        <v>Low</v>
      </c>
      <c r="J728" t="str">
        <f t="shared" si="23"/>
        <v>2019 Q4</v>
      </c>
      <c r="K728">
        <f>raw_data!H728</f>
        <v>8.23</v>
      </c>
      <c r="L728" s="13">
        <f>raw_data!I728</f>
        <v>10.96</v>
      </c>
      <c r="M728" s="13">
        <f>raw_data!J728</f>
        <v>1.59</v>
      </c>
    </row>
    <row r="729" spans="1:13" x14ac:dyDescent="0.2">
      <c r="A729" t="str">
        <f>raw_data!A729</f>
        <v>2019Q4</v>
      </c>
      <c r="B729" t="str">
        <f>raw_data!B729</f>
        <v>Queensland</v>
      </c>
      <c r="C729" t="str">
        <f>raw_data!C729</f>
        <v>Construction</v>
      </c>
      <c r="D729">
        <f>raw_data!D729</f>
        <v>16.93</v>
      </c>
      <c r="E729">
        <f>raw_data!E729</f>
        <v>28.85</v>
      </c>
      <c r="F729">
        <f>raw_data!F729</f>
        <v>6.05</v>
      </c>
      <c r="G729">
        <f>raw_data!G729</f>
        <v>17.239999999999998</v>
      </c>
      <c r="H729">
        <f>(raw_data!D729*weights!$B$2)+(raw_data!E729*weights!$B$3)+(raw_data!F729*weights!$B$4)</f>
        <v>17.242000000000001</v>
      </c>
      <c r="I729" t="str">
        <f t="shared" si="22"/>
        <v>Low</v>
      </c>
      <c r="J729" t="str">
        <f t="shared" si="23"/>
        <v>2019 Q4</v>
      </c>
      <c r="K729">
        <f>raw_data!H729</f>
        <v>6.77</v>
      </c>
      <c r="L729" s="13">
        <f>raw_data!I729</f>
        <v>8.65</v>
      </c>
      <c r="M729" s="13">
        <f>raw_data!J729</f>
        <v>1.82</v>
      </c>
    </row>
    <row r="730" spans="1:13" x14ac:dyDescent="0.2">
      <c r="A730" t="str">
        <f>raw_data!A730</f>
        <v>2019Q4</v>
      </c>
      <c r="B730" t="str">
        <f>raw_data!B730</f>
        <v>Queensland</v>
      </c>
      <c r="C730" t="str">
        <f>raw_data!C730</f>
        <v>Education and Training</v>
      </c>
      <c r="D730">
        <f>raw_data!D730</f>
        <v>7.82</v>
      </c>
      <c r="E730">
        <f>raw_data!E730</f>
        <v>30.77</v>
      </c>
      <c r="F730">
        <f>raw_data!F730</f>
        <v>6.82</v>
      </c>
      <c r="G730">
        <f>raw_data!G730</f>
        <v>14.41</v>
      </c>
      <c r="H730">
        <f>(raw_data!D730*weights!$B$2)+(raw_data!E730*weights!$B$3)+(raw_data!F730*weights!$B$4)</f>
        <v>14.404999999999999</v>
      </c>
      <c r="I730" t="str">
        <f t="shared" si="22"/>
        <v>Low</v>
      </c>
      <c r="J730" t="str">
        <f t="shared" si="23"/>
        <v>2019 Q4</v>
      </c>
      <c r="K730">
        <f>raw_data!H730</f>
        <v>3.13</v>
      </c>
      <c r="L730" s="13">
        <f>raw_data!I730</f>
        <v>9.23</v>
      </c>
      <c r="M730" s="13">
        <f>raw_data!J730</f>
        <v>2.0499999999999998</v>
      </c>
    </row>
    <row r="731" spans="1:13" x14ac:dyDescent="0.2">
      <c r="A731" t="str">
        <f>raw_data!A731</f>
        <v>2019Q4</v>
      </c>
      <c r="B731" t="str">
        <f>raw_data!B731</f>
        <v>Queensland</v>
      </c>
      <c r="C731" t="str">
        <f>raw_data!C731</f>
        <v>Health Care and Social Assistance</v>
      </c>
      <c r="D731">
        <f>raw_data!D731</f>
        <v>19.66</v>
      </c>
      <c r="E731">
        <f>raw_data!E731</f>
        <v>53.85</v>
      </c>
      <c r="F731">
        <f>raw_data!F731</f>
        <v>21.06</v>
      </c>
      <c r="G731">
        <f>raw_data!G731</f>
        <v>30.34</v>
      </c>
      <c r="H731">
        <f>(raw_data!D731*weights!$B$2)+(raw_data!E731*weights!$B$3)+(raw_data!F731*weights!$B$4)</f>
        <v>30.337000000000003</v>
      </c>
      <c r="I731" t="str">
        <f t="shared" si="22"/>
        <v>Moderate</v>
      </c>
      <c r="J731" t="str">
        <f t="shared" si="23"/>
        <v>2019 Q4</v>
      </c>
      <c r="K731">
        <f>raw_data!H731</f>
        <v>7.87</v>
      </c>
      <c r="L731" s="13">
        <f>raw_data!I731</f>
        <v>16.149999999999999</v>
      </c>
      <c r="M731" s="13">
        <f>raw_data!J731</f>
        <v>6.32</v>
      </c>
    </row>
    <row r="732" spans="1:13" x14ac:dyDescent="0.2">
      <c r="A732" t="str">
        <f>raw_data!A732</f>
        <v>2019Q4</v>
      </c>
      <c r="B732" t="str">
        <f>raw_data!B732</f>
        <v>Queensland</v>
      </c>
      <c r="C732" t="str">
        <f>raw_data!C732</f>
        <v>Manufacturing</v>
      </c>
      <c r="D732">
        <f>raw_data!D732</f>
        <v>16.53</v>
      </c>
      <c r="E732">
        <f>raw_data!E732</f>
        <v>28.85</v>
      </c>
      <c r="F732">
        <f>raw_data!F732</f>
        <v>13.72</v>
      </c>
      <c r="G732">
        <f>raw_data!G732</f>
        <v>19.38</v>
      </c>
      <c r="H732">
        <f>(raw_data!D732*weights!$B$2)+(raw_data!E732*weights!$B$3)+(raw_data!F732*weights!$B$4)</f>
        <v>19.382999999999999</v>
      </c>
      <c r="I732" t="str">
        <f t="shared" si="22"/>
        <v>Low</v>
      </c>
      <c r="J732" t="str">
        <f t="shared" si="23"/>
        <v>2019 Q4</v>
      </c>
      <c r="K732">
        <f>raw_data!H732</f>
        <v>6.61</v>
      </c>
      <c r="L732" s="13">
        <f>raw_data!I732</f>
        <v>8.65</v>
      </c>
      <c r="M732" s="13">
        <f>raw_data!J732</f>
        <v>4.12</v>
      </c>
    </row>
    <row r="733" spans="1:13" x14ac:dyDescent="0.2">
      <c r="A733" t="str">
        <f>raw_data!A733</f>
        <v>2019Q4</v>
      </c>
      <c r="B733" t="str">
        <f>raw_data!B733</f>
        <v>Queensland</v>
      </c>
      <c r="C733" t="str">
        <f>raw_data!C733</f>
        <v>Professional, Scientific and Technical Services</v>
      </c>
      <c r="D733">
        <f>raw_data!D733</f>
        <v>33.07</v>
      </c>
      <c r="E733">
        <f>raw_data!E733</f>
        <v>38.46</v>
      </c>
      <c r="F733">
        <f>raw_data!F733</f>
        <v>28.21</v>
      </c>
      <c r="G733">
        <f>raw_data!G733</f>
        <v>33.229999999999997</v>
      </c>
      <c r="H733">
        <f>(raw_data!D733*weights!$B$2)+(raw_data!E733*weights!$B$3)+(raw_data!F733*weights!$B$4)</f>
        <v>33.228999999999999</v>
      </c>
      <c r="I733" t="str">
        <f t="shared" si="22"/>
        <v>Moderate</v>
      </c>
      <c r="J733" t="str">
        <f t="shared" si="23"/>
        <v>2019 Q4</v>
      </c>
      <c r="K733">
        <f>raw_data!H733</f>
        <v>13.23</v>
      </c>
      <c r="L733" s="13">
        <f>raw_data!I733</f>
        <v>11.54</v>
      </c>
      <c r="M733" s="13">
        <f>raw_data!J733</f>
        <v>8.4600000000000009</v>
      </c>
    </row>
    <row r="734" spans="1:13" x14ac:dyDescent="0.2">
      <c r="A734" t="str">
        <f>raw_data!A734</f>
        <v>2019Q4</v>
      </c>
      <c r="B734" t="str">
        <f>raw_data!B734</f>
        <v>Victoria</v>
      </c>
      <c r="C734" t="str">
        <f>raw_data!C734</f>
        <v>Accommodation and Food Services</v>
      </c>
      <c r="D734">
        <f>raw_data!D734</f>
        <v>21.15</v>
      </c>
      <c r="E734">
        <f>raw_data!E734</f>
        <v>36.54</v>
      </c>
      <c r="F734">
        <f>raw_data!F734</f>
        <v>4.63</v>
      </c>
      <c r="G734">
        <f>raw_data!G734</f>
        <v>20.81</v>
      </c>
      <c r="H734">
        <f>(raw_data!D734*weights!$B$2)+(raw_data!E734*weights!$B$3)+(raw_data!F734*weights!$B$4)</f>
        <v>20.810999999999996</v>
      </c>
      <c r="I734" t="str">
        <f t="shared" si="22"/>
        <v>Low</v>
      </c>
      <c r="J734" t="str">
        <f t="shared" si="23"/>
        <v>2019 Q4</v>
      </c>
      <c r="K734">
        <f>raw_data!H734</f>
        <v>8.4600000000000009</v>
      </c>
      <c r="L734" s="13">
        <f>raw_data!I734</f>
        <v>10.96</v>
      </c>
      <c r="M734" s="13">
        <f>raw_data!J734</f>
        <v>1.39</v>
      </c>
    </row>
    <row r="735" spans="1:13" x14ac:dyDescent="0.2">
      <c r="A735" t="str">
        <f>raw_data!A735</f>
        <v>2019Q4</v>
      </c>
      <c r="B735" t="str">
        <f>raw_data!B735</f>
        <v>Victoria</v>
      </c>
      <c r="C735" t="str">
        <f>raw_data!C735</f>
        <v>Construction</v>
      </c>
      <c r="D735">
        <f>raw_data!D735</f>
        <v>12.08</v>
      </c>
      <c r="E735">
        <f>raw_data!E735</f>
        <v>28.85</v>
      </c>
      <c r="F735">
        <f>raw_data!F735</f>
        <v>11.53</v>
      </c>
      <c r="G735">
        <f>raw_data!G735</f>
        <v>16.940000000000001</v>
      </c>
      <c r="H735">
        <f>(raw_data!D735*weights!$B$2)+(raw_data!E735*weights!$B$3)+(raw_data!F735*weights!$B$4)</f>
        <v>16.945999999999998</v>
      </c>
      <c r="I735" t="str">
        <f t="shared" si="22"/>
        <v>Low</v>
      </c>
      <c r="J735" t="str">
        <f t="shared" si="23"/>
        <v>2019 Q4</v>
      </c>
      <c r="K735">
        <f>raw_data!H735</f>
        <v>4.83</v>
      </c>
      <c r="L735" s="13">
        <f>raw_data!I735</f>
        <v>8.65</v>
      </c>
      <c r="M735" s="13">
        <f>raw_data!J735</f>
        <v>3.46</v>
      </c>
    </row>
    <row r="736" spans="1:13" x14ac:dyDescent="0.2">
      <c r="A736" t="str">
        <f>raw_data!A736</f>
        <v>2019Q4</v>
      </c>
      <c r="B736" t="str">
        <f>raw_data!B736</f>
        <v>Victoria</v>
      </c>
      <c r="C736" t="str">
        <f>raw_data!C736</f>
        <v>Education and Training</v>
      </c>
      <c r="D736">
        <f>raw_data!D736</f>
        <v>4.84</v>
      </c>
      <c r="E736">
        <f>raw_data!E736</f>
        <v>30.77</v>
      </c>
      <c r="F736">
        <f>raw_data!F736</f>
        <v>6.67</v>
      </c>
      <c r="G736">
        <f>raw_data!G736</f>
        <v>13.17</v>
      </c>
      <c r="H736">
        <f>(raw_data!D736*weights!$B$2)+(raw_data!E736*weights!$B$3)+(raw_data!F736*weights!$B$4)</f>
        <v>13.167999999999999</v>
      </c>
      <c r="I736" t="str">
        <f t="shared" si="22"/>
        <v>Low</v>
      </c>
      <c r="J736" t="str">
        <f t="shared" si="23"/>
        <v>2019 Q4</v>
      </c>
      <c r="K736">
        <f>raw_data!H736</f>
        <v>1.94</v>
      </c>
      <c r="L736" s="13">
        <f>raw_data!I736</f>
        <v>9.23</v>
      </c>
      <c r="M736" s="13">
        <f>raw_data!J736</f>
        <v>2</v>
      </c>
    </row>
    <row r="737" spans="1:13" x14ac:dyDescent="0.2">
      <c r="A737" t="str">
        <f>raw_data!A737</f>
        <v>2019Q4</v>
      </c>
      <c r="B737" t="str">
        <f>raw_data!B737</f>
        <v>Victoria</v>
      </c>
      <c r="C737" t="str">
        <f>raw_data!C737</f>
        <v>Health Care and Social Assistance</v>
      </c>
      <c r="D737">
        <f>raw_data!D737</f>
        <v>14.88</v>
      </c>
      <c r="E737">
        <f>raw_data!E737</f>
        <v>53.85</v>
      </c>
      <c r="F737">
        <f>raw_data!F737</f>
        <v>19.5</v>
      </c>
      <c r="G737">
        <f>raw_data!G737</f>
        <v>27.95</v>
      </c>
      <c r="H737">
        <f>(raw_data!D737*weights!$B$2)+(raw_data!E737*weights!$B$3)+(raw_data!F737*weights!$B$4)</f>
        <v>27.957000000000001</v>
      </c>
      <c r="I737" t="str">
        <f t="shared" si="22"/>
        <v>Moderate</v>
      </c>
      <c r="J737" t="str">
        <f t="shared" si="23"/>
        <v>2019 Q4</v>
      </c>
      <c r="K737">
        <f>raw_data!H737</f>
        <v>5.95</v>
      </c>
      <c r="L737" s="13">
        <f>raw_data!I737</f>
        <v>16.149999999999999</v>
      </c>
      <c r="M737" s="13">
        <f>raw_data!J737</f>
        <v>5.85</v>
      </c>
    </row>
    <row r="738" spans="1:13" x14ac:dyDescent="0.2">
      <c r="A738" t="str">
        <f>raw_data!A738</f>
        <v>2019Q4</v>
      </c>
      <c r="B738" t="str">
        <f>raw_data!B738</f>
        <v>Victoria</v>
      </c>
      <c r="C738" t="str">
        <f>raw_data!C738</f>
        <v>Manufacturing</v>
      </c>
      <c r="D738">
        <f>raw_data!D738</f>
        <v>8.25</v>
      </c>
      <c r="E738">
        <f>raw_data!E738</f>
        <v>28.85</v>
      </c>
      <c r="F738">
        <f>raw_data!F738</f>
        <v>8.69</v>
      </c>
      <c r="G738">
        <f>raw_data!G738</f>
        <v>14.56</v>
      </c>
      <c r="H738">
        <f>(raw_data!D738*weights!$B$2)+(raw_data!E738*weights!$B$3)+(raw_data!F738*weights!$B$4)</f>
        <v>14.561999999999999</v>
      </c>
      <c r="I738" t="str">
        <f t="shared" si="22"/>
        <v>Low</v>
      </c>
      <c r="J738" t="str">
        <f t="shared" si="23"/>
        <v>2019 Q4</v>
      </c>
      <c r="K738">
        <f>raw_data!H738</f>
        <v>3.3</v>
      </c>
      <c r="L738" s="13">
        <f>raw_data!I738</f>
        <v>8.65</v>
      </c>
      <c r="M738" s="13">
        <f>raw_data!J738</f>
        <v>2.61</v>
      </c>
    </row>
    <row r="739" spans="1:13" x14ac:dyDescent="0.2">
      <c r="A739" t="str">
        <f>raw_data!A739</f>
        <v>2019Q4</v>
      </c>
      <c r="B739" t="str">
        <f>raw_data!B739</f>
        <v>Victoria</v>
      </c>
      <c r="C739" t="str">
        <f>raw_data!C739</f>
        <v>Professional, Scientific and Technical Services</v>
      </c>
      <c r="D739">
        <f>raw_data!D739</f>
        <v>19.850000000000001</v>
      </c>
      <c r="E739">
        <f>raw_data!E739</f>
        <v>38.46</v>
      </c>
      <c r="F739">
        <f>raw_data!F739</f>
        <v>13.87</v>
      </c>
      <c r="G739">
        <f>raw_data!G739</f>
        <v>23.64</v>
      </c>
      <c r="H739">
        <f>(raw_data!D739*weights!$B$2)+(raw_data!E739*weights!$B$3)+(raw_data!F739*weights!$B$4)</f>
        <v>23.639000000000003</v>
      </c>
      <c r="I739" t="str">
        <f t="shared" si="22"/>
        <v>Low</v>
      </c>
      <c r="J739" t="str">
        <f t="shared" si="23"/>
        <v>2019 Q4</v>
      </c>
      <c r="K739">
        <f>raw_data!H739</f>
        <v>7.94</v>
      </c>
      <c r="L739" s="13">
        <f>raw_data!I739</f>
        <v>11.54</v>
      </c>
      <c r="M739" s="13">
        <f>raw_data!J739</f>
        <v>4.16</v>
      </c>
    </row>
    <row r="740" spans="1:13" x14ac:dyDescent="0.2">
      <c r="A740" t="str">
        <f>raw_data!A740</f>
        <v>2020Q1</v>
      </c>
      <c r="B740" t="str">
        <f>raw_data!B740</f>
        <v>New South Wales</v>
      </c>
      <c r="C740" t="str">
        <f>raw_data!C740</f>
        <v>Accommodation and Food Services</v>
      </c>
      <c r="D740">
        <f>raw_data!D740</f>
        <v>15.7</v>
      </c>
      <c r="E740">
        <f>raw_data!E740</f>
        <v>36.54</v>
      </c>
      <c r="F740">
        <f>raw_data!F740</f>
        <v>3.12</v>
      </c>
      <c r="G740">
        <f>raw_data!G740</f>
        <v>18.18</v>
      </c>
      <c r="H740">
        <f>(raw_data!D740*weights!$B$2)+(raw_data!E740*weights!$B$3)+(raw_data!F740*weights!$B$4)</f>
        <v>18.178000000000001</v>
      </c>
      <c r="I740" t="str">
        <f t="shared" si="22"/>
        <v>Low</v>
      </c>
      <c r="J740" t="str">
        <f t="shared" si="23"/>
        <v>2020 Q1</v>
      </c>
      <c r="K740">
        <f>raw_data!H740</f>
        <v>6.28</v>
      </c>
      <c r="L740" s="13">
        <f>raw_data!I740</f>
        <v>10.96</v>
      </c>
      <c r="M740" s="13">
        <f>raw_data!J740</f>
        <v>0.94</v>
      </c>
    </row>
    <row r="741" spans="1:13" x14ac:dyDescent="0.2">
      <c r="A741" t="str">
        <f>raw_data!A741</f>
        <v>2020Q1</v>
      </c>
      <c r="B741" t="str">
        <f>raw_data!B741</f>
        <v>New South Wales</v>
      </c>
      <c r="C741" t="str">
        <f>raw_data!C741</f>
        <v>Construction</v>
      </c>
      <c r="D741">
        <f>raw_data!D741</f>
        <v>10.59</v>
      </c>
      <c r="E741">
        <f>raw_data!E741</f>
        <v>28.85</v>
      </c>
      <c r="F741">
        <f>raw_data!F741</f>
        <v>3.94</v>
      </c>
      <c r="G741">
        <f>raw_data!G741</f>
        <v>14.07</v>
      </c>
      <c r="H741">
        <f>(raw_data!D741*weights!$B$2)+(raw_data!E741*weights!$B$3)+(raw_data!F741*weights!$B$4)</f>
        <v>14.072999999999999</v>
      </c>
      <c r="I741" t="str">
        <f t="shared" si="22"/>
        <v>Low</v>
      </c>
      <c r="J741" t="str">
        <f t="shared" si="23"/>
        <v>2020 Q1</v>
      </c>
      <c r="K741">
        <f>raw_data!H741</f>
        <v>4.2300000000000004</v>
      </c>
      <c r="L741" s="13">
        <f>raw_data!I741</f>
        <v>8.65</v>
      </c>
      <c r="M741" s="13">
        <f>raw_data!J741</f>
        <v>1.18</v>
      </c>
    </row>
    <row r="742" spans="1:13" x14ac:dyDescent="0.2">
      <c r="A742" t="str">
        <f>raw_data!A742</f>
        <v>2020Q1</v>
      </c>
      <c r="B742" t="str">
        <f>raw_data!B742</f>
        <v>New South Wales</v>
      </c>
      <c r="C742" t="str">
        <f>raw_data!C742</f>
        <v>Education and Training</v>
      </c>
      <c r="D742">
        <f>raw_data!D742</f>
        <v>4.67</v>
      </c>
      <c r="E742">
        <f>raw_data!E742</f>
        <v>36.54</v>
      </c>
      <c r="F742">
        <f>raw_data!F742</f>
        <v>2.82</v>
      </c>
      <c r="G742">
        <f>raw_data!G742</f>
        <v>13.67</v>
      </c>
      <c r="H742">
        <f>(raw_data!D742*weights!$B$2)+(raw_data!E742*weights!$B$3)+(raw_data!F742*weights!$B$4)</f>
        <v>13.676</v>
      </c>
      <c r="I742" t="str">
        <f t="shared" si="22"/>
        <v>Low</v>
      </c>
      <c r="J742" t="str">
        <f t="shared" si="23"/>
        <v>2020 Q1</v>
      </c>
      <c r="K742">
        <f>raw_data!H742</f>
        <v>1.87</v>
      </c>
      <c r="L742" s="13">
        <f>raw_data!I742</f>
        <v>10.96</v>
      </c>
      <c r="M742" s="13">
        <f>raw_data!J742</f>
        <v>0.85</v>
      </c>
    </row>
    <row r="743" spans="1:13" x14ac:dyDescent="0.2">
      <c r="A743" t="str">
        <f>raw_data!A743</f>
        <v>2020Q1</v>
      </c>
      <c r="B743" t="str">
        <f>raw_data!B743</f>
        <v>New South Wales</v>
      </c>
      <c r="C743" t="str">
        <f>raw_data!C743</f>
        <v>Health Care and Social Assistance</v>
      </c>
      <c r="D743">
        <f>raw_data!D743</f>
        <v>12.37</v>
      </c>
      <c r="E743">
        <f>raw_data!E743</f>
        <v>51.92</v>
      </c>
      <c r="F743">
        <f>raw_data!F743</f>
        <v>13.99</v>
      </c>
      <c r="G743">
        <f>raw_data!G743</f>
        <v>24.72</v>
      </c>
      <c r="H743">
        <f>(raw_data!D743*weights!$B$2)+(raw_data!E743*weights!$B$3)+(raw_data!F743*weights!$B$4)</f>
        <v>24.721</v>
      </c>
      <c r="I743" t="str">
        <f t="shared" si="22"/>
        <v>Low</v>
      </c>
      <c r="J743" t="str">
        <f t="shared" si="23"/>
        <v>2020 Q1</v>
      </c>
      <c r="K743">
        <f>raw_data!H743</f>
        <v>4.95</v>
      </c>
      <c r="L743" s="13">
        <f>raw_data!I743</f>
        <v>15.58</v>
      </c>
      <c r="M743" s="13">
        <f>raw_data!J743</f>
        <v>4.2</v>
      </c>
    </row>
    <row r="744" spans="1:13" x14ac:dyDescent="0.2">
      <c r="A744" t="str">
        <f>raw_data!A744</f>
        <v>2020Q1</v>
      </c>
      <c r="B744" t="str">
        <f>raw_data!B744</f>
        <v>New South Wales</v>
      </c>
      <c r="C744" t="str">
        <f>raw_data!C744</f>
        <v>Manufacturing</v>
      </c>
      <c r="D744">
        <f>raw_data!D744</f>
        <v>10.28</v>
      </c>
      <c r="E744">
        <f>raw_data!E744</f>
        <v>32.69</v>
      </c>
      <c r="F744">
        <f>raw_data!F744</f>
        <v>8.59</v>
      </c>
      <c r="G744">
        <f>raw_data!G744</f>
        <v>16.5</v>
      </c>
      <c r="H744">
        <f>(raw_data!D744*weights!$B$2)+(raw_data!E744*weights!$B$3)+(raw_data!F744*weights!$B$4)</f>
        <v>16.495999999999999</v>
      </c>
      <c r="I744" t="str">
        <f t="shared" si="22"/>
        <v>Low</v>
      </c>
      <c r="J744" t="str">
        <f t="shared" si="23"/>
        <v>2020 Q1</v>
      </c>
      <c r="K744">
        <f>raw_data!H744</f>
        <v>4.1100000000000003</v>
      </c>
      <c r="L744" s="13">
        <f>raw_data!I744</f>
        <v>9.81</v>
      </c>
      <c r="M744" s="13">
        <f>raw_data!J744</f>
        <v>2.58</v>
      </c>
    </row>
    <row r="745" spans="1:13" x14ac:dyDescent="0.2">
      <c r="A745" t="str">
        <f>raw_data!A745</f>
        <v>2020Q1</v>
      </c>
      <c r="B745" t="str">
        <f>raw_data!B745</f>
        <v>New South Wales</v>
      </c>
      <c r="C745" t="str">
        <f>raw_data!C745</f>
        <v>Professional, Scientific and Technical Services</v>
      </c>
      <c r="D745">
        <f>raw_data!D745</f>
        <v>15.93</v>
      </c>
      <c r="E745">
        <f>raw_data!E745</f>
        <v>36.54</v>
      </c>
      <c r="F745">
        <f>raw_data!F745</f>
        <v>13.36</v>
      </c>
      <c r="G745">
        <f>raw_data!G745</f>
        <v>21.34</v>
      </c>
      <c r="H745">
        <f>(raw_data!D745*weights!$B$2)+(raw_data!E745*weights!$B$3)+(raw_data!F745*weights!$B$4)</f>
        <v>21.341999999999999</v>
      </c>
      <c r="I745" t="str">
        <f t="shared" si="22"/>
        <v>Low</v>
      </c>
      <c r="J745" t="str">
        <f t="shared" si="23"/>
        <v>2020 Q1</v>
      </c>
      <c r="K745">
        <f>raw_data!H745</f>
        <v>6.37</v>
      </c>
      <c r="L745" s="13">
        <f>raw_data!I745</f>
        <v>10.96</v>
      </c>
      <c r="M745" s="13">
        <f>raw_data!J745</f>
        <v>4.01</v>
      </c>
    </row>
    <row r="746" spans="1:13" x14ac:dyDescent="0.2">
      <c r="A746" t="str">
        <f>raw_data!A746</f>
        <v>2020Q1</v>
      </c>
      <c r="B746" t="str">
        <f>raw_data!B746</f>
        <v>Queensland</v>
      </c>
      <c r="C746" t="str">
        <f>raw_data!C746</f>
        <v>Accommodation and Food Services</v>
      </c>
      <c r="D746">
        <f>raw_data!D746</f>
        <v>21.68</v>
      </c>
      <c r="E746">
        <f>raw_data!E746</f>
        <v>36.54</v>
      </c>
      <c r="F746">
        <f>raw_data!F746</f>
        <v>3.98</v>
      </c>
      <c r="G746">
        <f>raw_data!G746</f>
        <v>20.83</v>
      </c>
      <c r="H746">
        <f>(raw_data!D746*weights!$B$2)+(raw_data!E746*weights!$B$3)+(raw_data!F746*weights!$B$4)</f>
        <v>20.827999999999999</v>
      </c>
      <c r="I746" t="str">
        <f t="shared" si="22"/>
        <v>Low</v>
      </c>
      <c r="J746" t="str">
        <f t="shared" si="23"/>
        <v>2020 Q1</v>
      </c>
      <c r="K746">
        <f>raw_data!H746</f>
        <v>8.67</v>
      </c>
      <c r="L746" s="13">
        <f>raw_data!I746</f>
        <v>10.96</v>
      </c>
      <c r="M746" s="13">
        <f>raw_data!J746</f>
        <v>1.19</v>
      </c>
    </row>
    <row r="747" spans="1:13" x14ac:dyDescent="0.2">
      <c r="A747" t="str">
        <f>raw_data!A747</f>
        <v>2020Q1</v>
      </c>
      <c r="B747" t="str">
        <f>raw_data!B747</f>
        <v>Queensland</v>
      </c>
      <c r="C747" t="str">
        <f>raw_data!C747</f>
        <v>Construction</v>
      </c>
      <c r="D747">
        <f>raw_data!D747</f>
        <v>16.670000000000002</v>
      </c>
      <c r="E747">
        <f>raw_data!E747</f>
        <v>28.85</v>
      </c>
      <c r="F747">
        <f>raw_data!F747</f>
        <v>5.72</v>
      </c>
      <c r="G747">
        <f>raw_data!G747</f>
        <v>17.04</v>
      </c>
      <c r="H747">
        <f>(raw_data!D747*weights!$B$2)+(raw_data!E747*weights!$B$3)+(raw_data!F747*weights!$B$4)</f>
        <v>17.039000000000001</v>
      </c>
      <c r="I747" t="str">
        <f t="shared" si="22"/>
        <v>Low</v>
      </c>
      <c r="J747" t="str">
        <f t="shared" si="23"/>
        <v>2020 Q1</v>
      </c>
      <c r="K747">
        <f>raw_data!H747</f>
        <v>6.67</v>
      </c>
      <c r="L747" s="13">
        <f>raw_data!I747</f>
        <v>8.65</v>
      </c>
      <c r="M747" s="13">
        <f>raw_data!J747</f>
        <v>1.72</v>
      </c>
    </row>
    <row r="748" spans="1:13" x14ac:dyDescent="0.2">
      <c r="A748" t="str">
        <f>raw_data!A748</f>
        <v>2020Q1</v>
      </c>
      <c r="B748" t="str">
        <f>raw_data!B748</f>
        <v>Queensland</v>
      </c>
      <c r="C748" t="str">
        <f>raw_data!C748</f>
        <v>Education and Training</v>
      </c>
      <c r="D748">
        <f>raw_data!D748</f>
        <v>7.41</v>
      </c>
      <c r="E748">
        <f>raw_data!E748</f>
        <v>36.54</v>
      </c>
      <c r="F748">
        <f>raw_data!F748</f>
        <v>5.81</v>
      </c>
      <c r="G748">
        <f>raw_data!G748</f>
        <v>15.67</v>
      </c>
      <c r="H748">
        <f>(raw_data!D748*weights!$B$2)+(raw_data!E748*weights!$B$3)+(raw_data!F748*weights!$B$4)</f>
        <v>15.669</v>
      </c>
      <c r="I748" t="str">
        <f t="shared" si="22"/>
        <v>Low</v>
      </c>
      <c r="J748" t="str">
        <f t="shared" si="23"/>
        <v>2020 Q1</v>
      </c>
      <c r="K748">
        <f>raw_data!H748</f>
        <v>2.97</v>
      </c>
      <c r="L748" s="13">
        <f>raw_data!I748</f>
        <v>10.96</v>
      </c>
      <c r="M748" s="13">
        <f>raw_data!J748</f>
        <v>1.74</v>
      </c>
    </row>
    <row r="749" spans="1:13" x14ac:dyDescent="0.2">
      <c r="A749" t="str">
        <f>raw_data!A749</f>
        <v>2020Q1</v>
      </c>
      <c r="B749" t="str">
        <f>raw_data!B749</f>
        <v>Queensland</v>
      </c>
      <c r="C749" t="str">
        <f>raw_data!C749</f>
        <v>Health Care and Social Assistance</v>
      </c>
      <c r="D749">
        <f>raw_data!D749</f>
        <v>21.45</v>
      </c>
      <c r="E749">
        <f>raw_data!E749</f>
        <v>51.92</v>
      </c>
      <c r="F749">
        <f>raw_data!F749</f>
        <v>18.97</v>
      </c>
      <c r="G749">
        <f>raw_data!G749</f>
        <v>29.85</v>
      </c>
      <c r="H749">
        <f>(raw_data!D749*weights!$B$2)+(raw_data!E749*weights!$B$3)+(raw_data!F749*weights!$B$4)</f>
        <v>29.846999999999998</v>
      </c>
      <c r="I749" t="str">
        <f t="shared" si="22"/>
        <v>Moderate</v>
      </c>
      <c r="J749" t="str">
        <f t="shared" si="23"/>
        <v>2020 Q1</v>
      </c>
      <c r="K749">
        <f>raw_data!H749</f>
        <v>8.58</v>
      </c>
      <c r="L749" s="13">
        <f>raw_data!I749</f>
        <v>15.58</v>
      </c>
      <c r="M749" s="13">
        <f>raw_data!J749</f>
        <v>5.69</v>
      </c>
    </row>
    <row r="750" spans="1:13" x14ac:dyDescent="0.2">
      <c r="A750" t="str">
        <f>raw_data!A750</f>
        <v>2020Q1</v>
      </c>
      <c r="B750" t="str">
        <f>raw_data!B750</f>
        <v>Queensland</v>
      </c>
      <c r="C750" t="str">
        <f>raw_data!C750</f>
        <v>Manufacturing</v>
      </c>
      <c r="D750">
        <f>raw_data!D750</f>
        <v>19.66</v>
      </c>
      <c r="E750">
        <f>raw_data!E750</f>
        <v>32.69</v>
      </c>
      <c r="F750">
        <f>raw_data!F750</f>
        <v>13.22</v>
      </c>
      <c r="G750">
        <f>raw_data!G750</f>
        <v>21.64</v>
      </c>
      <c r="H750">
        <f>(raw_data!D750*weights!$B$2)+(raw_data!E750*weights!$B$3)+(raw_data!F750*weights!$B$4)</f>
        <v>21.637</v>
      </c>
      <c r="I750" t="str">
        <f t="shared" si="22"/>
        <v>Low</v>
      </c>
      <c r="J750" t="str">
        <f t="shared" si="23"/>
        <v>2020 Q1</v>
      </c>
      <c r="K750">
        <f>raw_data!H750</f>
        <v>7.86</v>
      </c>
      <c r="L750" s="13">
        <f>raw_data!I750</f>
        <v>9.81</v>
      </c>
      <c r="M750" s="13">
        <f>raw_data!J750</f>
        <v>3.97</v>
      </c>
    </row>
    <row r="751" spans="1:13" x14ac:dyDescent="0.2">
      <c r="A751" t="str">
        <f>raw_data!A751</f>
        <v>2020Q1</v>
      </c>
      <c r="B751" t="str">
        <f>raw_data!B751</f>
        <v>Queensland</v>
      </c>
      <c r="C751" t="str">
        <f>raw_data!C751</f>
        <v>Professional, Scientific and Technical Services</v>
      </c>
      <c r="D751">
        <f>raw_data!D751</f>
        <v>34.729999999999997</v>
      </c>
      <c r="E751">
        <f>raw_data!E751</f>
        <v>36.54</v>
      </c>
      <c r="F751">
        <f>raw_data!F751</f>
        <v>30.33</v>
      </c>
      <c r="G751">
        <f>raw_data!G751</f>
        <v>33.950000000000003</v>
      </c>
      <c r="H751">
        <f>(raw_data!D751*weights!$B$2)+(raw_data!E751*weights!$B$3)+(raw_data!F751*weights!$B$4)</f>
        <v>33.952999999999996</v>
      </c>
      <c r="I751" t="str">
        <f t="shared" si="22"/>
        <v>Moderate</v>
      </c>
      <c r="J751" t="str">
        <f t="shared" si="23"/>
        <v>2020 Q1</v>
      </c>
      <c r="K751">
        <f>raw_data!H751</f>
        <v>13.89</v>
      </c>
      <c r="L751" s="13">
        <f>raw_data!I751</f>
        <v>10.96</v>
      </c>
      <c r="M751" s="13">
        <f>raw_data!J751</f>
        <v>9.1</v>
      </c>
    </row>
    <row r="752" spans="1:13" x14ac:dyDescent="0.2">
      <c r="A752" t="str">
        <f>raw_data!A752</f>
        <v>2020Q1</v>
      </c>
      <c r="B752" t="str">
        <f>raw_data!B752</f>
        <v>Victoria</v>
      </c>
      <c r="C752" t="str">
        <f>raw_data!C752</f>
        <v>Accommodation and Food Services</v>
      </c>
      <c r="D752">
        <f>raw_data!D752</f>
        <v>19.73</v>
      </c>
      <c r="E752">
        <f>raw_data!E752</f>
        <v>36.54</v>
      </c>
      <c r="F752">
        <f>raw_data!F752</f>
        <v>3.28</v>
      </c>
      <c r="G752">
        <f>raw_data!G752</f>
        <v>19.84</v>
      </c>
      <c r="H752">
        <f>(raw_data!D752*weights!$B$2)+(raw_data!E752*weights!$B$3)+(raw_data!F752*weights!$B$4)</f>
        <v>19.837999999999997</v>
      </c>
      <c r="I752" t="str">
        <f t="shared" si="22"/>
        <v>Low</v>
      </c>
      <c r="J752" t="str">
        <f t="shared" si="23"/>
        <v>2020 Q1</v>
      </c>
      <c r="K752">
        <f>raw_data!H752</f>
        <v>7.89</v>
      </c>
      <c r="L752" s="13">
        <f>raw_data!I752</f>
        <v>10.96</v>
      </c>
      <c r="M752" s="13">
        <f>raw_data!J752</f>
        <v>0.98</v>
      </c>
    </row>
    <row r="753" spans="1:13" x14ac:dyDescent="0.2">
      <c r="A753" t="str">
        <f>raw_data!A753</f>
        <v>2020Q1</v>
      </c>
      <c r="B753" t="str">
        <f>raw_data!B753</f>
        <v>Victoria</v>
      </c>
      <c r="C753" t="str">
        <f>raw_data!C753</f>
        <v>Construction</v>
      </c>
      <c r="D753">
        <f>raw_data!D753</f>
        <v>13.24</v>
      </c>
      <c r="E753">
        <f>raw_data!E753</f>
        <v>28.85</v>
      </c>
      <c r="F753">
        <f>raw_data!F753</f>
        <v>7.97</v>
      </c>
      <c r="G753">
        <f>raw_data!G753</f>
        <v>16.34</v>
      </c>
      <c r="H753">
        <f>(raw_data!D753*weights!$B$2)+(raw_data!E753*weights!$B$3)+(raw_data!F753*weights!$B$4)</f>
        <v>16.341999999999999</v>
      </c>
      <c r="I753" t="str">
        <f t="shared" si="22"/>
        <v>Low</v>
      </c>
      <c r="J753" t="str">
        <f t="shared" si="23"/>
        <v>2020 Q1</v>
      </c>
      <c r="K753">
        <f>raw_data!H753</f>
        <v>5.29</v>
      </c>
      <c r="L753" s="13">
        <f>raw_data!I753</f>
        <v>8.65</v>
      </c>
      <c r="M753" s="13">
        <f>raw_data!J753</f>
        <v>2.39</v>
      </c>
    </row>
    <row r="754" spans="1:13" x14ac:dyDescent="0.2">
      <c r="A754" t="str">
        <f>raw_data!A754</f>
        <v>2020Q1</v>
      </c>
      <c r="B754" t="str">
        <f>raw_data!B754</f>
        <v>Victoria</v>
      </c>
      <c r="C754" t="str">
        <f>raw_data!C754</f>
        <v>Education and Training</v>
      </c>
      <c r="D754">
        <f>raw_data!D754</f>
        <v>5.26</v>
      </c>
      <c r="E754">
        <f>raw_data!E754</f>
        <v>36.54</v>
      </c>
      <c r="F754">
        <f>raw_data!F754</f>
        <v>5.04</v>
      </c>
      <c r="G754">
        <f>raw_data!G754</f>
        <v>14.58</v>
      </c>
      <c r="H754">
        <f>(raw_data!D754*weights!$B$2)+(raw_data!E754*weights!$B$3)+(raw_data!F754*weights!$B$4)</f>
        <v>14.577999999999999</v>
      </c>
      <c r="I754" t="str">
        <f t="shared" si="22"/>
        <v>Low</v>
      </c>
      <c r="J754" t="str">
        <f t="shared" si="23"/>
        <v>2020 Q1</v>
      </c>
      <c r="K754">
        <f>raw_data!H754</f>
        <v>2.1</v>
      </c>
      <c r="L754" s="13">
        <f>raw_data!I754</f>
        <v>10.96</v>
      </c>
      <c r="M754" s="13">
        <f>raw_data!J754</f>
        <v>1.51</v>
      </c>
    </row>
    <row r="755" spans="1:13" x14ac:dyDescent="0.2">
      <c r="A755" t="str">
        <f>raw_data!A755</f>
        <v>2020Q1</v>
      </c>
      <c r="B755" t="str">
        <f>raw_data!B755</f>
        <v>Victoria</v>
      </c>
      <c r="C755" t="str">
        <f>raw_data!C755</f>
        <v>Health Care and Social Assistance</v>
      </c>
      <c r="D755">
        <f>raw_data!D755</f>
        <v>15.4</v>
      </c>
      <c r="E755">
        <f>raw_data!E755</f>
        <v>51.92</v>
      </c>
      <c r="F755">
        <f>raw_data!F755</f>
        <v>22.87</v>
      </c>
      <c r="G755">
        <f>raw_data!G755</f>
        <v>28.6</v>
      </c>
      <c r="H755">
        <f>(raw_data!D755*weights!$B$2)+(raw_data!E755*weights!$B$3)+(raw_data!F755*weights!$B$4)</f>
        <v>28.597000000000001</v>
      </c>
      <c r="I755" t="str">
        <f t="shared" si="22"/>
        <v>Moderate</v>
      </c>
      <c r="J755" t="str">
        <f t="shared" si="23"/>
        <v>2020 Q1</v>
      </c>
      <c r="K755">
        <f>raw_data!H755</f>
        <v>6.16</v>
      </c>
      <c r="L755" s="13">
        <f>raw_data!I755</f>
        <v>15.58</v>
      </c>
      <c r="M755" s="13">
        <f>raw_data!J755</f>
        <v>6.86</v>
      </c>
    </row>
    <row r="756" spans="1:13" x14ac:dyDescent="0.2">
      <c r="A756" t="str">
        <f>raw_data!A756</f>
        <v>2020Q1</v>
      </c>
      <c r="B756" t="str">
        <f>raw_data!B756</f>
        <v>Victoria</v>
      </c>
      <c r="C756" t="str">
        <f>raw_data!C756</f>
        <v>Manufacturing</v>
      </c>
      <c r="D756">
        <f>raw_data!D756</f>
        <v>9.77</v>
      </c>
      <c r="E756">
        <f>raw_data!E756</f>
        <v>32.69</v>
      </c>
      <c r="F756">
        <f>raw_data!F756</f>
        <v>4.71</v>
      </c>
      <c r="G756">
        <f>raw_data!G756</f>
        <v>15.13</v>
      </c>
      <c r="H756">
        <f>(raw_data!D756*weights!$B$2)+(raw_data!E756*weights!$B$3)+(raw_data!F756*weights!$B$4)</f>
        <v>15.127999999999998</v>
      </c>
      <c r="I756" t="str">
        <f t="shared" si="22"/>
        <v>Low</v>
      </c>
      <c r="J756" t="str">
        <f t="shared" si="23"/>
        <v>2020 Q1</v>
      </c>
      <c r="K756">
        <f>raw_data!H756</f>
        <v>3.91</v>
      </c>
      <c r="L756" s="13">
        <f>raw_data!I756</f>
        <v>9.81</v>
      </c>
      <c r="M756" s="13">
        <f>raw_data!J756</f>
        <v>1.41</v>
      </c>
    </row>
    <row r="757" spans="1:13" x14ac:dyDescent="0.2">
      <c r="A757" t="str">
        <f>raw_data!A757</f>
        <v>2020Q1</v>
      </c>
      <c r="B757" t="str">
        <f>raw_data!B757</f>
        <v>Victoria</v>
      </c>
      <c r="C757" t="str">
        <f>raw_data!C757</f>
        <v>Professional, Scientific and Technical Services</v>
      </c>
      <c r="D757">
        <f>raw_data!D757</f>
        <v>21.88</v>
      </c>
      <c r="E757">
        <f>raw_data!E757</f>
        <v>36.54</v>
      </c>
      <c r="F757">
        <f>raw_data!F757</f>
        <v>12.28</v>
      </c>
      <c r="G757">
        <f>raw_data!G757</f>
        <v>23.4</v>
      </c>
      <c r="H757">
        <f>(raw_data!D757*weights!$B$2)+(raw_data!E757*weights!$B$3)+(raw_data!F757*weights!$B$4)</f>
        <v>23.398</v>
      </c>
      <c r="I757" t="str">
        <f t="shared" si="22"/>
        <v>Low</v>
      </c>
      <c r="J757" t="str">
        <f t="shared" si="23"/>
        <v>2020 Q1</v>
      </c>
      <c r="K757">
        <f>raw_data!H757</f>
        <v>8.75</v>
      </c>
      <c r="L757" s="13">
        <f>raw_data!I757</f>
        <v>10.96</v>
      </c>
      <c r="M757" s="13">
        <f>raw_data!J757</f>
        <v>3.68</v>
      </c>
    </row>
    <row r="758" spans="1:13" x14ac:dyDescent="0.2">
      <c r="A758" t="str">
        <f>raw_data!A758</f>
        <v>2020Q2</v>
      </c>
      <c r="B758" t="str">
        <f>raw_data!B758</f>
        <v>New South Wales</v>
      </c>
      <c r="C758" t="str">
        <f>raw_data!C758</f>
        <v>Accommodation and Food Services</v>
      </c>
      <c r="D758">
        <f>raw_data!D758</f>
        <v>6.08</v>
      </c>
      <c r="E758">
        <f>raw_data!E758</f>
        <v>30.77</v>
      </c>
      <c r="F758">
        <f>raw_data!F758</f>
        <v>0</v>
      </c>
      <c r="G758">
        <f>raw_data!G758</f>
        <v>11.66</v>
      </c>
      <c r="H758">
        <f>(raw_data!D758*weights!$B$2)+(raw_data!E758*weights!$B$3)+(raw_data!F758*weights!$B$4)</f>
        <v>11.663</v>
      </c>
      <c r="I758" t="str">
        <f t="shared" si="22"/>
        <v>Low</v>
      </c>
      <c r="J758" t="str">
        <f t="shared" si="23"/>
        <v>2020 Q2</v>
      </c>
      <c r="K758">
        <f>raw_data!H758</f>
        <v>2.4300000000000002</v>
      </c>
      <c r="L758" s="13">
        <f>raw_data!I758</f>
        <v>9.23</v>
      </c>
      <c r="M758" s="13">
        <f>raw_data!J758</f>
        <v>0</v>
      </c>
    </row>
    <row r="759" spans="1:13" x14ac:dyDescent="0.2">
      <c r="A759" t="str">
        <f>raw_data!A759</f>
        <v>2020Q2</v>
      </c>
      <c r="B759" t="str">
        <f>raw_data!B759</f>
        <v>New South Wales</v>
      </c>
      <c r="C759" t="str">
        <f>raw_data!C759</f>
        <v>Construction</v>
      </c>
      <c r="D759">
        <f>raw_data!D759</f>
        <v>3.78</v>
      </c>
      <c r="E759">
        <f>raw_data!E759</f>
        <v>9.6199999999999992</v>
      </c>
      <c r="F759">
        <f>raw_data!F759</f>
        <v>2.11</v>
      </c>
      <c r="G759">
        <f>raw_data!G759</f>
        <v>5.03</v>
      </c>
      <c r="H759">
        <f>(raw_data!D759*weights!$B$2)+(raw_data!E759*weights!$B$3)+(raw_data!F759*weights!$B$4)</f>
        <v>5.0309999999999997</v>
      </c>
      <c r="I759" t="str">
        <f t="shared" si="22"/>
        <v>Low</v>
      </c>
      <c r="J759" t="str">
        <f t="shared" si="23"/>
        <v>2020 Q2</v>
      </c>
      <c r="K759">
        <f>raw_data!H759</f>
        <v>1.51</v>
      </c>
      <c r="L759" s="13">
        <f>raw_data!I759</f>
        <v>2.88</v>
      </c>
      <c r="M759" s="13">
        <f>raw_data!J759</f>
        <v>0.63</v>
      </c>
    </row>
    <row r="760" spans="1:13" x14ac:dyDescent="0.2">
      <c r="A760" t="str">
        <f>raw_data!A760</f>
        <v>2020Q2</v>
      </c>
      <c r="B760" t="str">
        <f>raw_data!B760</f>
        <v>New South Wales</v>
      </c>
      <c r="C760" t="str">
        <f>raw_data!C760</f>
        <v>Education and Training</v>
      </c>
      <c r="D760">
        <f>raw_data!D760</f>
        <v>1.01</v>
      </c>
      <c r="E760">
        <f>raw_data!E760</f>
        <v>38.46</v>
      </c>
      <c r="F760">
        <f>raw_data!F760</f>
        <v>1.36</v>
      </c>
      <c r="G760">
        <f>raw_data!G760</f>
        <v>12.35</v>
      </c>
      <c r="H760">
        <f>(raw_data!D760*weights!$B$2)+(raw_data!E760*weights!$B$3)+(raw_data!F760*weights!$B$4)</f>
        <v>12.35</v>
      </c>
      <c r="I760" t="str">
        <f t="shared" si="22"/>
        <v>Low</v>
      </c>
      <c r="J760" t="str">
        <f t="shared" si="23"/>
        <v>2020 Q2</v>
      </c>
      <c r="K760">
        <f>raw_data!H760</f>
        <v>0.41</v>
      </c>
      <c r="L760" s="13">
        <f>raw_data!I760</f>
        <v>11.54</v>
      </c>
      <c r="M760" s="13">
        <f>raw_data!J760</f>
        <v>0.41</v>
      </c>
    </row>
    <row r="761" spans="1:13" x14ac:dyDescent="0.2">
      <c r="A761" t="str">
        <f>raw_data!A761</f>
        <v>2020Q2</v>
      </c>
      <c r="B761" t="str">
        <f>raw_data!B761</f>
        <v>New South Wales</v>
      </c>
      <c r="C761" t="str">
        <f>raw_data!C761</f>
        <v>Health Care and Social Assistance</v>
      </c>
      <c r="D761">
        <f>raw_data!D761</f>
        <v>8.3699999999999992</v>
      </c>
      <c r="E761">
        <f>raw_data!E761</f>
        <v>40.380000000000003</v>
      </c>
      <c r="F761">
        <f>raw_data!F761</f>
        <v>10.95</v>
      </c>
      <c r="G761">
        <f>raw_data!G761</f>
        <v>18.75</v>
      </c>
      <c r="H761">
        <f>(raw_data!D761*weights!$B$2)+(raw_data!E761*weights!$B$3)+(raw_data!F761*weights!$B$4)</f>
        <v>18.747</v>
      </c>
      <c r="I761" t="str">
        <f t="shared" si="22"/>
        <v>Low</v>
      </c>
      <c r="J761" t="str">
        <f t="shared" si="23"/>
        <v>2020 Q2</v>
      </c>
      <c r="K761">
        <f>raw_data!H761</f>
        <v>3.35</v>
      </c>
      <c r="L761" s="13">
        <f>raw_data!I761</f>
        <v>12.12</v>
      </c>
      <c r="M761" s="13">
        <f>raw_data!J761</f>
        <v>3.29</v>
      </c>
    </row>
    <row r="762" spans="1:13" x14ac:dyDescent="0.2">
      <c r="A762" t="str">
        <f>raw_data!A762</f>
        <v>2020Q2</v>
      </c>
      <c r="B762" t="str">
        <f>raw_data!B762</f>
        <v>New South Wales</v>
      </c>
      <c r="C762" t="str">
        <f>raw_data!C762</f>
        <v>Manufacturing</v>
      </c>
      <c r="D762">
        <f>raw_data!D762</f>
        <v>6.51</v>
      </c>
      <c r="E762">
        <f>raw_data!E762</f>
        <v>26.92</v>
      </c>
      <c r="F762">
        <f>raw_data!F762</f>
        <v>1.88</v>
      </c>
      <c r="G762">
        <f>raw_data!G762</f>
        <v>11.24</v>
      </c>
      <c r="H762">
        <f>(raw_data!D762*weights!$B$2)+(raw_data!E762*weights!$B$3)+(raw_data!F762*weights!$B$4)</f>
        <v>11.244</v>
      </c>
      <c r="I762" t="str">
        <f t="shared" si="22"/>
        <v>Low</v>
      </c>
      <c r="J762" t="str">
        <f t="shared" si="23"/>
        <v>2020 Q2</v>
      </c>
      <c r="K762">
        <f>raw_data!H762</f>
        <v>2.6</v>
      </c>
      <c r="L762" s="13">
        <f>raw_data!I762</f>
        <v>8.08</v>
      </c>
      <c r="M762" s="13">
        <f>raw_data!J762</f>
        <v>0.56000000000000005</v>
      </c>
    </row>
    <row r="763" spans="1:13" x14ac:dyDescent="0.2">
      <c r="A763" t="str">
        <f>raw_data!A763</f>
        <v>2020Q2</v>
      </c>
      <c r="B763" t="str">
        <f>raw_data!B763</f>
        <v>New South Wales</v>
      </c>
      <c r="C763" t="str">
        <f>raw_data!C763</f>
        <v>Professional, Scientific and Technical Services</v>
      </c>
      <c r="D763">
        <f>raw_data!D763</f>
        <v>7.64</v>
      </c>
      <c r="E763">
        <f>raw_data!E763</f>
        <v>19.23</v>
      </c>
      <c r="F763">
        <f>raw_data!F763</f>
        <v>3.22</v>
      </c>
      <c r="G763">
        <f>raw_data!G763</f>
        <v>9.7899999999999991</v>
      </c>
      <c r="H763">
        <f>(raw_data!D763*weights!$B$2)+(raw_data!E763*weights!$B$3)+(raw_data!F763*weights!$B$4)</f>
        <v>9.7909999999999986</v>
      </c>
      <c r="I763" t="str">
        <f t="shared" si="22"/>
        <v>Low</v>
      </c>
      <c r="J763" t="str">
        <f t="shared" si="23"/>
        <v>2020 Q2</v>
      </c>
      <c r="K763">
        <f>raw_data!H763</f>
        <v>3.06</v>
      </c>
      <c r="L763" s="13">
        <f>raw_data!I763</f>
        <v>5.77</v>
      </c>
      <c r="M763" s="13">
        <f>raw_data!J763</f>
        <v>0.97</v>
      </c>
    </row>
    <row r="764" spans="1:13" x14ac:dyDescent="0.2">
      <c r="A764" t="str">
        <f>raw_data!A764</f>
        <v>2020Q2</v>
      </c>
      <c r="B764" t="str">
        <f>raw_data!B764</f>
        <v>Queensland</v>
      </c>
      <c r="C764" t="str">
        <f>raw_data!C764</f>
        <v>Accommodation and Food Services</v>
      </c>
      <c r="D764">
        <f>raw_data!D764</f>
        <v>8.6199999999999992</v>
      </c>
      <c r="E764">
        <f>raw_data!E764</f>
        <v>30.77</v>
      </c>
      <c r="F764">
        <f>raw_data!F764</f>
        <v>0.28999999999999998</v>
      </c>
      <c r="G764">
        <f>raw_data!G764</f>
        <v>12.77</v>
      </c>
      <c r="H764">
        <f>(raw_data!D764*weights!$B$2)+(raw_data!E764*weights!$B$3)+(raw_data!F764*weights!$B$4)</f>
        <v>12.766</v>
      </c>
      <c r="I764" t="str">
        <f t="shared" si="22"/>
        <v>Low</v>
      </c>
      <c r="J764" t="str">
        <f t="shared" si="23"/>
        <v>2020 Q2</v>
      </c>
      <c r="K764">
        <f>raw_data!H764</f>
        <v>3.45</v>
      </c>
      <c r="L764" s="13">
        <f>raw_data!I764</f>
        <v>9.23</v>
      </c>
      <c r="M764" s="13">
        <f>raw_data!J764</f>
        <v>0.09</v>
      </c>
    </row>
    <row r="765" spans="1:13" x14ac:dyDescent="0.2">
      <c r="A765" t="str">
        <f>raw_data!A765</f>
        <v>2020Q2</v>
      </c>
      <c r="B765" t="str">
        <f>raw_data!B765</f>
        <v>Queensland</v>
      </c>
      <c r="C765" t="str">
        <f>raw_data!C765</f>
        <v>Construction</v>
      </c>
      <c r="D765">
        <f>raw_data!D765</f>
        <v>8.08</v>
      </c>
      <c r="E765">
        <f>raw_data!E765</f>
        <v>9.6199999999999992</v>
      </c>
      <c r="F765">
        <f>raw_data!F765</f>
        <v>2.36</v>
      </c>
      <c r="G765">
        <f>raw_data!G765</f>
        <v>6.83</v>
      </c>
      <c r="H765">
        <f>(raw_data!D765*weights!$B$2)+(raw_data!E765*weights!$B$3)+(raw_data!F765*weights!$B$4)</f>
        <v>6.8260000000000005</v>
      </c>
      <c r="I765" t="str">
        <f t="shared" si="22"/>
        <v>Low</v>
      </c>
      <c r="J765" t="str">
        <f t="shared" si="23"/>
        <v>2020 Q2</v>
      </c>
      <c r="K765">
        <f>raw_data!H765</f>
        <v>3.23</v>
      </c>
      <c r="L765" s="13">
        <f>raw_data!I765</f>
        <v>2.88</v>
      </c>
      <c r="M765" s="13">
        <f>raw_data!J765</f>
        <v>0.71</v>
      </c>
    </row>
    <row r="766" spans="1:13" x14ac:dyDescent="0.2">
      <c r="A766" t="str">
        <f>raw_data!A766</f>
        <v>2020Q2</v>
      </c>
      <c r="B766" t="str">
        <f>raw_data!B766</f>
        <v>Queensland</v>
      </c>
      <c r="C766" t="str">
        <f>raw_data!C766</f>
        <v>Education and Training</v>
      </c>
      <c r="D766">
        <f>raw_data!D766</f>
        <v>2.4700000000000002</v>
      </c>
      <c r="E766">
        <f>raw_data!E766</f>
        <v>38.46</v>
      </c>
      <c r="F766">
        <f>raw_data!F766</f>
        <v>2.0299999999999998</v>
      </c>
      <c r="G766">
        <f>raw_data!G766</f>
        <v>13.14</v>
      </c>
      <c r="H766">
        <f>(raw_data!D766*weights!$B$2)+(raw_data!E766*weights!$B$3)+(raw_data!F766*weights!$B$4)</f>
        <v>13.135</v>
      </c>
      <c r="I766" t="str">
        <f t="shared" si="22"/>
        <v>Low</v>
      </c>
      <c r="J766" t="str">
        <f t="shared" si="23"/>
        <v>2020 Q2</v>
      </c>
      <c r="K766">
        <f>raw_data!H766</f>
        <v>0.99</v>
      </c>
      <c r="L766" s="13">
        <f>raw_data!I766</f>
        <v>11.54</v>
      </c>
      <c r="M766" s="13">
        <f>raw_data!J766</f>
        <v>0.61</v>
      </c>
    </row>
    <row r="767" spans="1:13" x14ac:dyDescent="0.2">
      <c r="A767" t="str">
        <f>raw_data!A767</f>
        <v>2020Q2</v>
      </c>
      <c r="B767" t="str">
        <f>raw_data!B767</f>
        <v>Queensland</v>
      </c>
      <c r="C767" t="str">
        <f>raw_data!C767</f>
        <v>Health Care and Social Assistance</v>
      </c>
      <c r="D767">
        <f>raw_data!D767</f>
        <v>13.95</v>
      </c>
      <c r="E767">
        <f>raw_data!E767</f>
        <v>40.380000000000003</v>
      </c>
      <c r="F767">
        <f>raw_data!F767</f>
        <v>16.34</v>
      </c>
      <c r="G767">
        <f>raw_data!G767</f>
        <v>22.6</v>
      </c>
      <c r="H767">
        <f>(raw_data!D767*weights!$B$2)+(raw_data!E767*weights!$B$3)+(raw_data!F767*weights!$B$4)</f>
        <v>22.596000000000004</v>
      </c>
      <c r="I767" t="str">
        <f t="shared" si="22"/>
        <v>Low</v>
      </c>
      <c r="J767" t="str">
        <f t="shared" si="23"/>
        <v>2020 Q2</v>
      </c>
      <c r="K767">
        <f>raw_data!H767</f>
        <v>5.58</v>
      </c>
      <c r="L767" s="13">
        <f>raw_data!I767</f>
        <v>12.12</v>
      </c>
      <c r="M767" s="13">
        <f>raw_data!J767</f>
        <v>4.9000000000000004</v>
      </c>
    </row>
    <row r="768" spans="1:13" x14ac:dyDescent="0.2">
      <c r="A768" t="str">
        <f>raw_data!A768</f>
        <v>2020Q2</v>
      </c>
      <c r="B768" t="str">
        <f>raw_data!B768</f>
        <v>Queensland</v>
      </c>
      <c r="C768" t="str">
        <f>raw_data!C768</f>
        <v>Manufacturing</v>
      </c>
      <c r="D768">
        <f>raw_data!D768</f>
        <v>9.85</v>
      </c>
      <c r="E768">
        <f>raw_data!E768</f>
        <v>26.92</v>
      </c>
      <c r="F768">
        <f>raw_data!F768</f>
        <v>3.35</v>
      </c>
      <c r="G768">
        <f>raw_data!G768</f>
        <v>13.02</v>
      </c>
      <c r="H768">
        <f>(raw_data!D768*weights!$B$2)+(raw_data!E768*weights!$B$3)+(raw_data!F768*weights!$B$4)</f>
        <v>13.021000000000001</v>
      </c>
      <c r="I768" t="str">
        <f t="shared" si="22"/>
        <v>Low</v>
      </c>
      <c r="J768" t="str">
        <f t="shared" si="23"/>
        <v>2020 Q2</v>
      </c>
      <c r="K768">
        <f>raw_data!H768</f>
        <v>3.94</v>
      </c>
      <c r="L768" s="13">
        <f>raw_data!I768</f>
        <v>8.08</v>
      </c>
      <c r="M768" s="13">
        <f>raw_data!J768</f>
        <v>1</v>
      </c>
    </row>
    <row r="769" spans="1:13" x14ac:dyDescent="0.2">
      <c r="A769" t="str">
        <f>raw_data!A769</f>
        <v>2020Q2</v>
      </c>
      <c r="B769" t="str">
        <f>raw_data!B769</f>
        <v>Queensland</v>
      </c>
      <c r="C769" t="str">
        <f>raw_data!C769</f>
        <v>Professional, Scientific and Technical Services</v>
      </c>
      <c r="D769">
        <f>raw_data!D769</f>
        <v>17.52</v>
      </c>
      <c r="E769">
        <f>raw_data!E769</f>
        <v>19.23</v>
      </c>
      <c r="F769">
        <f>raw_data!F769</f>
        <v>11.34</v>
      </c>
      <c r="G769">
        <f>raw_data!G769</f>
        <v>16.18</v>
      </c>
      <c r="H769">
        <f>(raw_data!D769*weights!$B$2)+(raw_data!E769*weights!$B$3)+(raw_data!F769*weights!$B$4)</f>
        <v>16.179000000000002</v>
      </c>
      <c r="I769" t="str">
        <f t="shared" si="22"/>
        <v>Low</v>
      </c>
      <c r="J769" t="str">
        <f t="shared" si="23"/>
        <v>2020 Q2</v>
      </c>
      <c r="K769">
        <f>raw_data!H769</f>
        <v>7.01</v>
      </c>
      <c r="L769" s="13">
        <f>raw_data!I769</f>
        <v>5.77</v>
      </c>
      <c r="M769" s="13">
        <f>raw_data!J769</f>
        <v>3.4</v>
      </c>
    </row>
    <row r="770" spans="1:13" x14ac:dyDescent="0.2">
      <c r="A770" t="str">
        <f>raw_data!A770</f>
        <v>2020Q2</v>
      </c>
      <c r="B770" t="str">
        <f>raw_data!B770</f>
        <v>Victoria</v>
      </c>
      <c r="C770" t="str">
        <f>raw_data!C770</f>
        <v>Accommodation and Food Services</v>
      </c>
      <c r="D770">
        <f>raw_data!D770</f>
        <v>8.6</v>
      </c>
      <c r="E770">
        <f>raw_data!E770</f>
        <v>30.77</v>
      </c>
      <c r="F770">
        <f>raw_data!F770</f>
        <v>0.3</v>
      </c>
      <c r="G770">
        <f>raw_data!G770</f>
        <v>12.76</v>
      </c>
      <c r="H770">
        <f>(raw_data!D770*weights!$B$2)+(raw_data!E770*weights!$B$3)+(raw_data!F770*weights!$B$4)</f>
        <v>12.760999999999999</v>
      </c>
      <c r="I770" t="str">
        <f t="shared" si="22"/>
        <v>Low</v>
      </c>
      <c r="J770" t="str">
        <f t="shared" si="23"/>
        <v>2020 Q2</v>
      </c>
      <c r="K770">
        <f>raw_data!H770</f>
        <v>3.44</v>
      </c>
      <c r="L770" s="13">
        <f>raw_data!I770</f>
        <v>9.23</v>
      </c>
      <c r="M770" s="13">
        <f>raw_data!J770</f>
        <v>0.09</v>
      </c>
    </row>
    <row r="771" spans="1:13" x14ac:dyDescent="0.2">
      <c r="A771" t="str">
        <f>raw_data!A771</f>
        <v>2020Q2</v>
      </c>
      <c r="B771" t="str">
        <f>raw_data!B771</f>
        <v>Victoria</v>
      </c>
      <c r="C771" t="str">
        <f>raw_data!C771</f>
        <v>Construction</v>
      </c>
      <c r="D771">
        <f>raw_data!D771</f>
        <v>5.73</v>
      </c>
      <c r="E771">
        <f>raw_data!E771</f>
        <v>9.6199999999999992</v>
      </c>
      <c r="F771">
        <f>raw_data!F771</f>
        <v>2.15</v>
      </c>
      <c r="G771">
        <f>raw_data!G771</f>
        <v>5.82</v>
      </c>
      <c r="H771">
        <f>(raw_data!D771*weights!$B$2)+(raw_data!E771*weights!$B$3)+(raw_data!F771*weights!$B$4)</f>
        <v>5.8229999999999995</v>
      </c>
      <c r="I771" t="str">
        <f t="shared" ref="I771:I834" si="24">IF(H771&gt;=60,"Critical",IF(H771&gt;=45,"High",IF(H771&gt;=25,"Moderate","Low")))</f>
        <v>Low</v>
      </c>
      <c r="J771" t="str">
        <f t="shared" ref="J771:J834" si="25">LEFT(A771,4)&amp;" "&amp;RIGHT(A771,2)</f>
        <v>2020 Q2</v>
      </c>
      <c r="K771">
        <f>raw_data!H771</f>
        <v>2.29</v>
      </c>
      <c r="L771" s="13">
        <f>raw_data!I771</f>
        <v>2.88</v>
      </c>
      <c r="M771" s="13">
        <f>raw_data!J771</f>
        <v>0.65</v>
      </c>
    </row>
    <row r="772" spans="1:13" x14ac:dyDescent="0.2">
      <c r="A772" t="str">
        <f>raw_data!A772</f>
        <v>2020Q2</v>
      </c>
      <c r="B772" t="str">
        <f>raw_data!B772</f>
        <v>Victoria</v>
      </c>
      <c r="C772" t="str">
        <f>raw_data!C772</f>
        <v>Education and Training</v>
      </c>
      <c r="D772">
        <f>raw_data!D772</f>
        <v>1.67</v>
      </c>
      <c r="E772">
        <f>raw_data!E772</f>
        <v>38.46</v>
      </c>
      <c r="F772">
        <f>raw_data!F772</f>
        <v>1.22</v>
      </c>
      <c r="G772">
        <f>raw_data!G772</f>
        <v>12.57</v>
      </c>
      <c r="H772">
        <f>(raw_data!D772*weights!$B$2)+(raw_data!E772*weights!$B$3)+(raw_data!F772*weights!$B$4)</f>
        <v>12.571999999999999</v>
      </c>
      <c r="I772" t="str">
        <f t="shared" si="24"/>
        <v>Low</v>
      </c>
      <c r="J772" t="str">
        <f t="shared" si="25"/>
        <v>2020 Q2</v>
      </c>
      <c r="K772">
        <f>raw_data!H772</f>
        <v>0.67</v>
      </c>
      <c r="L772" s="13">
        <f>raw_data!I772</f>
        <v>11.54</v>
      </c>
      <c r="M772" s="13">
        <f>raw_data!J772</f>
        <v>0.37</v>
      </c>
    </row>
    <row r="773" spans="1:13" x14ac:dyDescent="0.2">
      <c r="A773" t="str">
        <f>raw_data!A773</f>
        <v>2020Q2</v>
      </c>
      <c r="B773" t="str">
        <f>raw_data!B773</f>
        <v>Victoria</v>
      </c>
      <c r="C773" t="str">
        <f>raw_data!C773</f>
        <v>Health Care and Social Assistance</v>
      </c>
      <c r="D773">
        <f>raw_data!D773</f>
        <v>9.49</v>
      </c>
      <c r="E773">
        <f>raw_data!E773</f>
        <v>40.380000000000003</v>
      </c>
      <c r="F773">
        <f>raw_data!F773</f>
        <v>8.99</v>
      </c>
      <c r="G773">
        <f>raw_data!G773</f>
        <v>18.61</v>
      </c>
      <c r="H773">
        <f>(raw_data!D773*weights!$B$2)+(raw_data!E773*weights!$B$3)+(raw_data!F773*weights!$B$4)</f>
        <v>18.606999999999999</v>
      </c>
      <c r="I773" t="str">
        <f t="shared" si="24"/>
        <v>Low</v>
      </c>
      <c r="J773" t="str">
        <f t="shared" si="25"/>
        <v>2020 Q2</v>
      </c>
      <c r="K773">
        <f>raw_data!H773</f>
        <v>3.79</v>
      </c>
      <c r="L773" s="13">
        <f>raw_data!I773</f>
        <v>12.12</v>
      </c>
      <c r="M773" s="13">
        <f>raw_data!J773</f>
        <v>2.7</v>
      </c>
    </row>
    <row r="774" spans="1:13" x14ac:dyDescent="0.2">
      <c r="A774" t="str">
        <f>raw_data!A774</f>
        <v>2020Q2</v>
      </c>
      <c r="B774" t="str">
        <f>raw_data!B774</f>
        <v>Victoria</v>
      </c>
      <c r="C774" t="str">
        <f>raw_data!C774</f>
        <v>Manufacturing</v>
      </c>
      <c r="D774">
        <f>raw_data!D774</f>
        <v>4.67</v>
      </c>
      <c r="E774">
        <f>raw_data!E774</f>
        <v>26.92</v>
      </c>
      <c r="F774">
        <f>raw_data!F774</f>
        <v>1.27</v>
      </c>
      <c r="G774">
        <f>raw_data!G774</f>
        <v>10.33</v>
      </c>
      <c r="H774">
        <f>(raw_data!D774*weights!$B$2)+(raw_data!E774*weights!$B$3)+(raw_data!F774*weights!$B$4)</f>
        <v>10.325000000000001</v>
      </c>
      <c r="I774" t="str">
        <f t="shared" si="24"/>
        <v>Low</v>
      </c>
      <c r="J774" t="str">
        <f t="shared" si="25"/>
        <v>2020 Q2</v>
      </c>
      <c r="K774">
        <f>raw_data!H774</f>
        <v>1.87</v>
      </c>
      <c r="L774" s="13">
        <f>raw_data!I774</f>
        <v>8.08</v>
      </c>
      <c r="M774" s="13">
        <f>raw_data!J774</f>
        <v>0.38</v>
      </c>
    </row>
    <row r="775" spans="1:13" x14ac:dyDescent="0.2">
      <c r="A775" t="str">
        <f>raw_data!A775</f>
        <v>2020Q2</v>
      </c>
      <c r="B775" t="str">
        <f>raw_data!B775</f>
        <v>Victoria</v>
      </c>
      <c r="C775" t="str">
        <f>raw_data!C775</f>
        <v>Professional, Scientific and Technical Services</v>
      </c>
      <c r="D775">
        <f>raw_data!D775</f>
        <v>9.92</v>
      </c>
      <c r="E775">
        <f>raw_data!E775</f>
        <v>19.23</v>
      </c>
      <c r="F775">
        <f>raw_data!F775</f>
        <v>4.8099999999999996</v>
      </c>
      <c r="G775">
        <f>raw_data!G775</f>
        <v>11.18</v>
      </c>
      <c r="H775">
        <f>(raw_data!D775*weights!$B$2)+(raw_data!E775*weights!$B$3)+(raw_data!F775*weights!$B$4)</f>
        <v>11.18</v>
      </c>
      <c r="I775" t="str">
        <f t="shared" si="24"/>
        <v>Low</v>
      </c>
      <c r="J775" t="str">
        <f t="shared" si="25"/>
        <v>2020 Q2</v>
      </c>
      <c r="K775">
        <f>raw_data!H775</f>
        <v>3.97</v>
      </c>
      <c r="L775" s="13">
        <f>raw_data!I775</f>
        <v>5.77</v>
      </c>
      <c r="M775" s="13">
        <f>raw_data!J775</f>
        <v>1.44</v>
      </c>
    </row>
    <row r="776" spans="1:13" x14ac:dyDescent="0.2">
      <c r="A776" t="str">
        <f>raw_data!A776</f>
        <v>2020Q3</v>
      </c>
      <c r="B776" t="str">
        <f>raw_data!B776</f>
        <v>New South Wales</v>
      </c>
      <c r="C776" t="str">
        <f>raw_data!C776</f>
        <v>Accommodation and Food Services</v>
      </c>
      <c r="D776">
        <f>raw_data!D776</f>
        <v>16.21</v>
      </c>
      <c r="E776">
        <f>raw_data!E776</f>
        <v>3.85</v>
      </c>
      <c r="F776">
        <f>raw_data!F776</f>
        <v>1.72</v>
      </c>
      <c r="G776">
        <f>raw_data!G776</f>
        <v>8.16</v>
      </c>
      <c r="H776">
        <f>(raw_data!D776*weights!$B$2)+(raw_data!E776*weights!$B$3)+(raw_data!F776*weights!$B$4)</f>
        <v>8.1550000000000011</v>
      </c>
      <c r="I776" t="str">
        <f t="shared" si="24"/>
        <v>Low</v>
      </c>
      <c r="J776" t="str">
        <f t="shared" si="25"/>
        <v>2020 Q3</v>
      </c>
      <c r="K776">
        <f>raw_data!H776</f>
        <v>6.49</v>
      </c>
      <c r="L776" s="13">
        <f>raw_data!I776</f>
        <v>1.1499999999999999</v>
      </c>
      <c r="M776" s="13">
        <f>raw_data!J776</f>
        <v>0.52</v>
      </c>
    </row>
    <row r="777" spans="1:13" x14ac:dyDescent="0.2">
      <c r="A777" t="str">
        <f>raw_data!A777</f>
        <v>2020Q3</v>
      </c>
      <c r="B777" t="str">
        <f>raw_data!B777</f>
        <v>New South Wales</v>
      </c>
      <c r="C777" t="str">
        <f>raw_data!C777</f>
        <v>Construction</v>
      </c>
      <c r="D777">
        <f>raw_data!D777</f>
        <v>9.5</v>
      </c>
      <c r="E777">
        <f>raw_data!E777</f>
        <v>11.54</v>
      </c>
      <c r="F777">
        <f>raw_data!F777</f>
        <v>3.17</v>
      </c>
      <c r="G777">
        <f>raw_data!G777</f>
        <v>8.2100000000000009</v>
      </c>
      <c r="H777">
        <f>(raw_data!D777*weights!$B$2)+(raw_data!E777*weights!$B$3)+(raw_data!F777*weights!$B$4)</f>
        <v>8.213000000000001</v>
      </c>
      <c r="I777" t="str">
        <f t="shared" si="24"/>
        <v>Low</v>
      </c>
      <c r="J777" t="str">
        <f t="shared" si="25"/>
        <v>2020 Q3</v>
      </c>
      <c r="K777">
        <f>raw_data!H777</f>
        <v>3.8</v>
      </c>
      <c r="L777" s="13">
        <f>raw_data!I777</f>
        <v>3.46</v>
      </c>
      <c r="M777" s="13">
        <f>raw_data!J777</f>
        <v>0.95</v>
      </c>
    </row>
    <row r="778" spans="1:13" x14ac:dyDescent="0.2">
      <c r="A778" t="str">
        <f>raw_data!A778</f>
        <v>2020Q3</v>
      </c>
      <c r="B778" t="str">
        <f>raw_data!B778</f>
        <v>New South Wales</v>
      </c>
      <c r="C778" t="str">
        <f>raw_data!C778</f>
        <v>Education and Training</v>
      </c>
      <c r="D778">
        <f>raw_data!D778</f>
        <v>3.19</v>
      </c>
      <c r="E778">
        <f>raw_data!E778</f>
        <v>40.380000000000003</v>
      </c>
      <c r="F778">
        <f>raw_data!F778</f>
        <v>4.3899999999999997</v>
      </c>
      <c r="G778">
        <f>raw_data!G778</f>
        <v>14.71</v>
      </c>
      <c r="H778">
        <f>(raw_data!D778*weights!$B$2)+(raw_data!E778*weights!$B$3)+(raw_data!F778*weights!$B$4)</f>
        <v>14.707000000000001</v>
      </c>
      <c r="I778" t="str">
        <f t="shared" si="24"/>
        <v>Low</v>
      </c>
      <c r="J778" t="str">
        <f t="shared" si="25"/>
        <v>2020 Q3</v>
      </c>
      <c r="K778">
        <f>raw_data!H778</f>
        <v>1.28</v>
      </c>
      <c r="L778" s="13">
        <f>raw_data!I778</f>
        <v>12.12</v>
      </c>
      <c r="M778" s="13">
        <f>raw_data!J778</f>
        <v>1.32</v>
      </c>
    </row>
    <row r="779" spans="1:13" x14ac:dyDescent="0.2">
      <c r="A779" t="str">
        <f>raw_data!A779</f>
        <v>2020Q3</v>
      </c>
      <c r="B779" t="str">
        <f>raw_data!B779</f>
        <v>New South Wales</v>
      </c>
      <c r="C779" t="str">
        <f>raw_data!C779</f>
        <v>Health Care and Social Assistance</v>
      </c>
      <c r="D779">
        <f>raw_data!D779</f>
        <v>12.82</v>
      </c>
      <c r="E779">
        <f>raw_data!E779</f>
        <v>30.77</v>
      </c>
      <c r="F779">
        <f>raw_data!F779</f>
        <v>9.0399999999999991</v>
      </c>
      <c r="G779">
        <f>raw_data!G779</f>
        <v>17.07</v>
      </c>
      <c r="H779">
        <f>(raw_data!D779*weights!$B$2)+(raw_data!E779*weights!$B$3)+(raw_data!F779*weights!$B$4)</f>
        <v>17.070999999999998</v>
      </c>
      <c r="I779" t="str">
        <f t="shared" si="24"/>
        <v>Low</v>
      </c>
      <c r="J779" t="str">
        <f t="shared" si="25"/>
        <v>2020 Q3</v>
      </c>
      <c r="K779">
        <f>raw_data!H779</f>
        <v>5.13</v>
      </c>
      <c r="L779" s="13">
        <f>raw_data!I779</f>
        <v>9.23</v>
      </c>
      <c r="M779" s="13">
        <f>raw_data!J779</f>
        <v>2.71</v>
      </c>
    </row>
    <row r="780" spans="1:13" x14ac:dyDescent="0.2">
      <c r="A780" t="str">
        <f>raw_data!A780</f>
        <v>2020Q3</v>
      </c>
      <c r="B780" t="str">
        <f>raw_data!B780</f>
        <v>New South Wales</v>
      </c>
      <c r="C780" t="str">
        <f>raw_data!C780</f>
        <v>Manufacturing</v>
      </c>
      <c r="D780">
        <f>raw_data!D780</f>
        <v>13.48</v>
      </c>
      <c r="E780">
        <f>raw_data!E780</f>
        <v>23.08</v>
      </c>
      <c r="F780">
        <f>raw_data!F780</f>
        <v>4.7699999999999996</v>
      </c>
      <c r="G780">
        <f>raw_data!G780</f>
        <v>13.75</v>
      </c>
      <c r="H780">
        <f>(raw_data!D780*weights!$B$2)+(raw_data!E780*weights!$B$3)+(raw_data!F780*weights!$B$4)</f>
        <v>13.746999999999998</v>
      </c>
      <c r="I780" t="str">
        <f t="shared" si="24"/>
        <v>Low</v>
      </c>
      <c r="J780" t="str">
        <f t="shared" si="25"/>
        <v>2020 Q3</v>
      </c>
      <c r="K780">
        <f>raw_data!H780</f>
        <v>5.39</v>
      </c>
      <c r="L780" s="13">
        <f>raw_data!I780</f>
        <v>6.92</v>
      </c>
      <c r="M780" s="13">
        <f>raw_data!J780</f>
        <v>1.43</v>
      </c>
    </row>
    <row r="781" spans="1:13" x14ac:dyDescent="0.2">
      <c r="A781" t="str">
        <f>raw_data!A781</f>
        <v>2020Q3</v>
      </c>
      <c r="B781" t="str">
        <f>raw_data!B781</f>
        <v>New South Wales</v>
      </c>
      <c r="C781" t="str">
        <f>raw_data!C781</f>
        <v>Professional, Scientific and Technical Services</v>
      </c>
      <c r="D781">
        <f>raw_data!D781</f>
        <v>14.85</v>
      </c>
      <c r="E781">
        <f>raw_data!E781</f>
        <v>9.6199999999999992</v>
      </c>
      <c r="F781">
        <f>raw_data!F781</f>
        <v>8.01</v>
      </c>
      <c r="G781">
        <f>raw_data!G781</f>
        <v>11.23</v>
      </c>
      <c r="H781">
        <f>(raw_data!D781*weights!$B$2)+(raw_data!E781*weights!$B$3)+(raw_data!F781*weights!$B$4)</f>
        <v>11.229000000000001</v>
      </c>
      <c r="I781" t="str">
        <f t="shared" si="24"/>
        <v>Low</v>
      </c>
      <c r="J781" t="str">
        <f t="shared" si="25"/>
        <v>2020 Q3</v>
      </c>
      <c r="K781">
        <f>raw_data!H781</f>
        <v>5.94</v>
      </c>
      <c r="L781" s="13">
        <f>raw_data!I781</f>
        <v>2.88</v>
      </c>
      <c r="M781" s="13">
        <f>raw_data!J781</f>
        <v>2.4</v>
      </c>
    </row>
    <row r="782" spans="1:13" x14ac:dyDescent="0.2">
      <c r="A782" t="str">
        <f>raw_data!A782</f>
        <v>2020Q3</v>
      </c>
      <c r="B782" t="str">
        <f>raw_data!B782</f>
        <v>Queensland</v>
      </c>
      <c r="C782" t="str">
        <f>raw_data!C782</f>
        <v>Accommodation and Food Services</v>
      </c>
      <c r="D782">
        <f>raw_data!D782</f>
        <v>25.49</v>
      </c>
      <c r="E782">
        <f>raw_data!E782</f>
        <v>3.85</v>
      </c>
      <c r="F782">
        <f>raw_data!F782</f>
        <v>3.36</v>
      </c>
      <c r="G782">
        <f>raw_data!G782</f>
        <v>12.36</v>
      </c>
      <c r="H782">
        <f>(raw_data!D782*weights!$B$2)+(raw_data!E782*weights!$B$3)+(raw_data!F782*weights!$B$4)</f>
        <v>12.358999999999998</v>
      </c>
      <c r="I782" t="str">
        <f t="shared" si="24"/>
        <v>Low</v>
      </c>
      <c r="J782" t="str">
        <f t="shared" si="25"/>
        <v>2020 Q3</v>
      </c>
      <c r="K782">
        <f>raw_data!H782</f>
        <v>10.19</v>
      </c>
      <c r="L782" s="13">
        <f>raw_data!I782</f>
        <v>1.1499999999999999</v>
      </c>
      <c r="M782" s="13">
        <f>raw_data!J782</f>
        <v>1.01</v>
      </c>
    </row>
    <row r="783" spans="1:13" x14ac:dyDescent="0.2">
      <c r="A783" t="str">
        <f>raw_data!A783</f>
        <v>2020Q3</v>
      </c>
      <c r="B783" t="str">
        <f>raw_data!B783</f>
        <v>Queensland</v>
      </c>
      <c r="C783" t="str">
        <f>raw_data!C783</f>
        <v>Construction</v>
      </c>
      <c r="D783">
        <f>raw_data!D783</f>
        <v>18.18</v>
      </c>
      <c r="E783">
        <f>raw_data!E783</f>
        <v>11.54</v>
      </c>
      <c r="F783">
        <f>raw_data!F783</f>
        <v>5.0599999999999996</v>
      </c>
      <c r="G783">
        <f>raw_data!G783</f>
        <v>12.25</v>
      </c>
      <c r="H783">
        <f>(raw_data!D783*weights!$B$2)+(raw_data!E783*weights!$B$3)+(raw_data!F783*weights!$B$4)</f>
        <v>12.251999999999999</v>
      </c>
      <c r="I783" t="str">
        <f t="shared" si="24"/>
        <v>Low</v>
      </c>
      <c r="J783" t="str">
        <f t="shared" si="25"/>
        <v>2020 Q3</v>
      </c>
      <c r="K783">
        <f>raw_data!H783</f>
        <v>7.27</v>
      </c>
      <c r="L783" s="13">
        <f>raw_data!I783</f>
        <v>3.46</v>
      </c>
      <c r="M783" s="13">
        <f>raw_data!J783</f>
        <v>1.52</v>
      </c>
    </row>
    <row r="784" spans="1:13" x14ac:dyDescent="0.2">
      <c r="A784" t="str">
        <f>raw_data!A784</f>
        <v>2020Q3</v>
      </c>
      <c r="B784" t="str">
        <f>raw_data!B784</f>
        <v>Queensland</v>
      </c>
      <c r="C784" t="str">
        <f>raw_data!C784</f>
        <v>Education and Training</v>
      </c>
      <c r="D784">
        <f>raw_data!D784</f>
        <v>5.71</v>
      </c>
      <c r="E784">
        <f>raw_data!E784</f>
        <v>40.380000000000003</v>
      </c>
      <c r="F784">
        <f>raw_data!F784</f>
        <v>4.03</v>
      </c>
      <c r="G784">
        <f>raw_data!G784</f>
        <v>15.61</v>
      </c>
      <c r="H784">
        <f>(raw_data!D784*weights!$B$2)+(raw_data!E784*weights!$B$3)+(raw_data!F784*weights!$B$4)</f>
        <v>15.607000000000001</v>
      </c>
      <c r="I784" t="str">
        <f t="shared" si="24"/>
        <v>Low</v>
      </c>
      <c r="J784" t="str">
        <f t="shared" si="25"/>
        <v>2020 Q3</v>
      </c>
      <c r="K784">
        <f>raw_data!H784</f>
        <v>2.2799999999999998</v>
      </c>
      <c r="L784" s="13">
        <f>raw_data!I784</f>
        <v>12.12</v>
      </c>
      <c r="M784" s="13">
        <f>raw_data!J784</f>
        <v>1.21</v>
      </c>
    </row>
    <row r="785" spans="1:13" x14ac:dyDescent="0.2">
      <c r="A785" t="str">
        <f>raw_data!A785</f>
        <v>2020Q3</v>
      </c>
      <c r="B785" t="str">
        <f>raw_data!B785</f>
        <v>Queensland</v>
      </c>
      <c r="C785" t="str">
        <f>raw_data!C785</f>
        <v>Health Care and Social Assistance</v>
      </c>
      <c r="D785">
        <f>raw_data!D785</f>
        <v>18.88</v>
      </c>
      <c r="E785">
        <f>raw_data!E785</f>
        <v>30.77</v>
      </c>
      <c r="F785">
        <f>raw_data!F785</f>
        <v>14.69</v>
      </c>
      <c r="G785">
        <f>raw_data!G785</f>
        <v>21.19</v>
      </c>
      <c r="H785">
        <f>(raw_data!D785*weights!$B$2)+(raw_data!E785*weights!$B$3)+(raw_data!F785*weights!$B$4)</f>
        <v>21.19</v>
      </c>
      <c r="I785" t="str">
        <f t="shared" si="24"/>
        <v>Low</v>
      </c>
      <c r="J785" t="str">
        <f t="shared" si="25"/>
        <v>2020 Q3</v>
      </c>
      <c r="K785">
        <f>raw_data!H785</f>
        <v>7.55</v>
      </c>
      <c r="L785" s="13">
        <f>raw_data!I785</f>
        <v>9.23</v>
      </c>
      <c r="M785" s="13">
        <f>raw_data!J785</f>
        <v>4.41</v>
      </c>
    </row>
    <row r="786" spans="1:13" x14ac:dyDescent="0.2">
      <c r="A786" t="str">
        <f>raw_data!A786</f>
        <v>2020Q3</v>
      </c>
      <c r="B786" t="str">
        <f>raw_data!B786</f>
        <v>Queensland</v>
      </c>
      <c r="C786" t="str">
        <f>raw_data!C786</f>
        <v>Manufacturing</v>
      </c>
      <c r="D786">
        <f>raw_data!D786</f>
        <v>21.66</v>
      </c>
      <c r="E786">
        <f>raw_data!E786</f>
        <v>23.08</v>
      </c>
      <c r="F786">
        <f>raw_data!F786</f>
        <v>5.56</v>
      </c>
      <c r="G786">
        <f>raw_data!G786</f>
        <v>17.25</v>
      </c>
      <c r="H786">
        <f>(raw_data!D786*weights!$B$2)+(raw_data!E786*weights!$B$3)+(raw_data!F786*weights!$B$4)</f>
        <v>17.256</v>
      </c>
      <c r="I786" t="str">
        <f t="shared" si="24"/>
        <v>Low</v>
      </c>
      <c r="J786" t="str">
        <f t="shared" si="25"/>
        <v>2020 Q3</v>
      </c>
      <c r="K786">
        <f>raw_data!H786</f>
        <v>8.66</v>
      </c>
      <c r="L786" s="13">
        <f>raw_data!I786</f>
        <v>6.92</v>
      </c>
      <c r="M786" s="13">
        <f>raw_data!J786</f>
        <v>1.67</v>
      </c>
    </row>
    <row r="787" spans="1:13" x14ac:dyDescent="0.2">
      <c r="A787" t="str">
        <f>raw_data!A787</f>
        <v>2020Q3</v>
      </c>
      <c r="B787" t="str">
        <f>raw_data!B787</f>
        <v>Queensland</v>
      </c>
      <c r="C787" t="str">
        <f>raw_data!C787</f>
        <v>Professional, Scientific and Technical Services</v>
      </c>
      <c r="D787">
        <f>raw_data!D787</f>
        <v>36.15</v>
      </c>
      <c r="E787">
        <f>raw_data!E787</f>
        <v>9.6199999999999992</v>
      </c>
      <c r="F787">
        <f>raw_data!F787</f>
        <v>12.67</v>
      </c>
      <c r="G787">
        <f>raw_data!G787</f>
        <v>21.15</v>
      </c>
      <c r="H787">
        <f>(raw_data!D787*weights!$B$2)+(raw_data!E787*weights!$B$3)+(raw_data!F787*weights!$B$4)</f>
        <v>21.146999999999998</v>
      </c>
      <c r="I787" t="str">
        <f t="shared" si="24"/>
        <v>Low</v>
      </c>
      <c r="J787" t="str">
        <f t="shared" si="25"/>
        <v>2020 Q3</v>
      </c>
      <c r="K787">
        <f>raw_data!H787</f>
        <v>14.46</v>
      </c>
      <c r="L787" s="13">
        <f>raw_data!I787</f>
        <v>2.88</v>
      </c>
      <c r="M787" s="13">
        <f>raw_data!J787</f>
        <v>3.8</v>
      </c>
    </row>
    <row r="788" spans="1:13" x14ac:dyDescent="0.2">
      <c r="A788" t="str">
        <f>raw_data!A788</f>
        <v>2020Q3</v>
      </c>
      <c r="B788" t="str">
        <f>raw_data!B788</f>
        <v>Victoria</v>
      </c>
      <c r="C788" t="str">
        <f>raw_data!C788</f>
        <v>Accommodation and Food Services</v>
      </c>
      <c r="D788">
        <f>raw_data!D788</f>
        <v>26.35</v>
      </c>
      <c r="E788">
        <f>raw_data!E788</f>
        <v>3.85</v>
      </c>
      <c r="F788">
        <f>raw_data!F788</f>
        <v>1.99</v>
      </c>
      <c r="G788">
        <f>raw_data!G788</f>
        <v>12.29</v>
      </c>
      <c r="H788">
        <f>(raw_data!D788*weights!$B$2)+(raw_data!E788*weights!$B$3)+(raw_data!F788*weights!$B$4)</f>
        <v>12.292</v>
      </c>
      <c r="I788" t="str">
        <f t="shared" si="24"/>
        <v>Low</v>
      </c>
      <c r="J788" t="str">
        <f t="shared" si="25"/>
        <v>2020 Q3</v>
      </c>
      <c r="K788">
        <f>raw_data!H788</f>
        <v>10.54</v>
      </c>
      <c r="L788" s="13">
        <f>raw_data!I788</f>
        <v>1.1499999999999999</v>
      </c>
      <c r="M788" s="13">
        <f>raw_data!J788</f>
        <v>0.6</v>
      </c>
    </row>
    <row r="789" spans="1:13" x14ac:dyDescent="0.2">
      <c r="A789" t="str">
        <f>raw_data!A789</f>
        <v>2020Q3</v>
      </c>
      <c r="B789" t="str">
        <f>raw_data!B789</f>
        <v>Victoria</v>
      </c>
      <c r="C789" t="str">
        <f>raw_data!C789</f>
        <v>Construction</v>
      </c>
      <c r="D789">
        <f>raw_data!D789</f>
        <v>13.36</v>
      </c>
      <c r="E789">
        <f>raw_data!E789</f>
        <v>11.54</v>
      </c>
      <c r="F789">
        <f>raw_data!F789</f>
        <v>4.84</v>
      </c>
      <c r="G789">
        <f>raw_data!G789</f>
        <v>10.26</v>
      </c>
      <c r="H789">
        <f>(raw_data!D789*weights!$B$2)+(raw_data!E789*weights!$B$3)+(raw_data!F789*weights!$B$4)</f>
        <v>10.258000000000001</v>
      </c>
      <c r="I789" t="str">
        <f t="shared" si="24"/>
        <v>Low</v>
      </c>
      <c r="J789" t="str">
        <f t="shared" si="25"/>
        <v>2020 Q3</v>
      </c>
      <c r="K789">
        <f>raw_data!H789</f>
        <v>5.34</v>
      </c>
      <c r="L789" s="13">
        <f>raw_data!I789</f>
        <v>3.46</v>
      </c>
      <c r="M789" s="13">
        <f>raw_data!J789</f>
        <v>1.45</v>
      </c>
    </row>
    <row r="790" spans="1:13" x14ac:dyDescent="0.2">
      <c r="A790" t="str">
        <f>raw_data!A790</f>
        <v>2020Q3</v>
      </c>
      <c r="B790" t="str">
        <f>raw_data!B790</f>
        <v>Victoria</v>
      </c>
      <c r="C790" t="str">
        <f>raw_data!C790</f>
        <v>Education and Training</v>
      </c>
      <c r="D790">
        <f>raw_data!D790</f>
        <v>3.94</v>
      </c>
      <c r="E790">
        <f>raw_data!E790</f>
        <v>40.380000000000003</v>
      </c>
      <c r="F790">
        <f>raw_data!F790</f>
        <v>1.65</v>
      </c>
      <c r="G790">
        <f>raw_data!G790</f>
        <v>14.19</v>
      </c>
      <c r="H790">
        <f>(raw_data!D790*weights!$B$2)+(raw_data!E790*weights!$B$3)+(raw_data!F790*weights!$B$4)</f>
        <v>14.185</v>
      </c>
      <c r="I790" t="str">
        <f t="shared" si="24"/>
        <v>Low</v>
      </c>
      <c r="J790" t="str">
        <f t="shared" si="25"/>
        <v>2020 Q3</v>
      </c>
      <c r="K790">
        <f>raw_data!H790</f>
        <v>1.58</v>
      </c>
      <c r="L790" s="13">
        <f>raw_data!I790</f>
        <v>12.12</v>
      </c>
      <c r="M790" s="13">
        <f>raw_data!J790</f>
        <v>0.49</v>
      </c>
    </row>
    <row r="791" spans="1:13" x14ac:dyDescent="0.2">
      <c r="A791" t="str">
        <f>raw_data!A791</f>
        <v>2020Q3</v>
      </c>
      <c r="B791" t="str">
        <f>raw_data!B791</f>
        <v>Victoria</v>
      </c>
      <c r="C791" t="str">
        <f>raw_data!C791</f>
        <v>Health Care and Social Assistance</v>
      </c>
      <c r="D791">
        <f>raw_data!D791</f>
        <v>15</v>
      </c>
      <c r="E791">
        <f>raw_data!E791</f>
        <v>30.77</v>
      </c>
      <c r="F791">
        <f>raw_data!F791</f>
        <v>12.47</v>
      </c>
      <c r="G791">
        <f>raw_data!G791</f>
        <v>18.97</v>
      </c>
      <c r="H791">
        <f>(raw_data!D791*weights!$B$2)+(raw_data!E791*weights!$B$3)+(raw_data!F791*weights!$B$4)</f>
        <v>18.972000000000001</v>
      </c>
      <c r="I791" t="str">
        <f t="shared" si="24"/>
        <v>Low</v>
      </c>
      <c r="J791" t="str">
        <f t="shared" si="25"/>
        <v>2020 Q3</v>
      </c>
      <c r="K791">
        <f>raw_data!H791</f>
        <v>6</v>
      </c>
      <c r="L791" s="13">
        <f>raw_data!I791</f>
        <v>9.23</v>
      </c>
      <c r="M791" s="13">
        <f>raw_data!J791</f>
        <v>3.74</v>
      </c>
    </row>
    <row r="792" spans="1:13" x14ac:dyDescent="0.2">
      <c r="A792" t="str">
        <f>raw_data!A792</f>
        <v>2020Q3</v>
      </c>
      <c r="B792" t="str">
        <f>raw_data!B792</f>
        <v>Victoria</v>
      </c>
      <c r="C792" t="str">
        <f>raw_data!C792</f>
        <v>Manufacturing</v>
      </c>
      <c r="D792">
        <f>raw_data!D792</f>
        <v>12.52</v>
      </c>
      <c r="E792">
        <f>raw_data!E792</f>
        <v>23.08</v>
      </c>
      <c r="F792">
        <f>raw_data!F792</f>
        <v>4.21</v>
      </c>
      <c r="G792">
        <f>raw_data!G792</f>
        <v>13.19</v>
      </c>
      <c r="H792">
        <f>(raw_data!D792*weights!$B$2)+(raw_data!E792*weights!$B$3)+(raw_data!F792*weights!$B$4)</f>
        <v>13.194999999999999</v>
      </c>
      <c r="I792" t="str">
        <f t="shared" si="24"/>
        <v>Low</v>
      </c>
      <c r="J792" t="str">
        <f t="shared" si="25"/>
        <v>2020 Q3</v>
      </c>
      <c r="K792">
        <f>raw_data!H792</f>
        <v>5.01</v>
      </c>
      <c r="L792" s="13">
        <f>raw_data!I792</f>
        <v>6.92</v>
      </c>
      <c r="M792" s="13">
        <f>raw_data!J792</f>
        <v>1.26</v>
      </c>
    </row>
    <row r="793" spans="1:13" x14ac:dyDescent="0.2">
      <c r="A793" t="str">
        <f>raw_data!A793</f>
        <v>2020Q3</v>
      </c>
      <c r="B793" t="str">
        <f>raw_data!B793</f>
        <v>Victoria</v>
      </c>
      <c r="C793" t="str">
        <f>raw_data!C793</f>
        <v>Professional, Scientific and Technical Services</v>
      </c>
      <c r="D793">
        <f>raw_data!D793</f>
        <v>19.77</v>
      </c>
      <c r="E793">
        <f>raw_data!E793</f>
        <v>9.6199999999999992</v>
      </c>
      <c r="F793">
        <f>raw_data!F793</f>
        <v>18.690000000000001</v>
      </c>
      <c r="G793">
        <f>raw_data!G793</f>
        <v>16.399999999999999</v>
      </c>
      <c r="H793">
        <f>(raw_data!D793*weights!$B$2)+(raw_data!E793*weights!$B$3)+(raw_data!F793*weights!$B$4)</f>
        <v>16.401</v>
      </c>
      <c r="I793" t="str">
        <f t="shared" si="24"/>
        <v>Low</v>
      </c>
      <c r="J793" t="str">
        <f t="shared" si="25"/>
        <v>2020 Q3</v>
      </c>
      <c r="K793">
        <f>raw_data!H793</f>
        <v>7.91</v>
      </c>
      <c r="L793" s="13">
        <f>raw_data!I793</f>
        <v>2.88</v>
      </c>
      <c r="M793" s="13">
        <f>raw_data!J793</f>
        <v>5.61</v>
      </c>
    </row>
    <row r="794" spans="1:13" x14ac:dyDescent="0.2">
      <c r="A794" t="str">
        <f>raw_data!A794</f>
        <v>2020Q4</v>
      </c>
      <c r="B794" t="str">
        <f>raw_data!B794</f>
        <v>New South Wales</v>
      </c>
      <c r="C794" t="str">
        <f>raw_data!C794</f>
        <v>Accommodation and Food Services</v>
      </c>
      <c r="D794">
        <f>raw_data!D794</f>
        <v>28.82</v>
      </c>
      <c r="E794">
        <f>raw_data!E794</f>
        <v>0</v>
      </c>
      <c r="F794">
        <f>raw_data!F794</f>
        <v>5.44</v>
      </c>
      <c r="G794">
        <f>raw_data!G794</f>
        <v>13.16</v>
      </c>
      <c r="H794">
        <f>(raw_data!D794*weights!$B$2)+(raw_data!E794*weights!$B$3)+(raw_data!F794*weights!$B$4)</f>
        <v>13.16</v>
      </c>
      <c r="I794" t="str">
        <f t="shared" si="24"/>
        <v>Low</v>
      </c>
      <c r="J794" t="str">
        <f t="shared" si="25"/>
        <v>2020 Q4</v>
      </c>
      <c r="K794">
        <f>raw_data!H794</f>
        <v>11.53</v>
      </c>
      <c r="L794" s="13">
        <f>raw_data!I794</f>
        <v>0</v>
      </c>
      <c r="M794" s="13">
        <f>raw_data!J794</f>
        <v>1.63</v>
      </c>
    </row>
    <row r="795" spans="1:13" x14ac:dyDescent="0.2">
      <c r="A795" t="str">
        <f>raw_data!A795</f>
        <v>2020Q4</v>
      </c>
      <c r="B795" t="str">
        <f>raw_data!B795</f>
        <v>New South Wales</v>
      </c>
      <c r="C795" t="str">
        <f>raw_data!C795</f>
        <v>Construction</v>
      </c>
      <c r="D795">
        <f>raw_data!D795</f>
        <v>10.85</v>
      </c>
      <c r="E795">
        <f>raw_data!E795</f>
        <v>15.38</v>
      </c>
      <c r="F795">
        <f>raw_data!F795</f>
        <v>3.23</v>
      </c>
      <c r="G795">
        <f>raw_data!G795</f>
        <v>9.92</v>
      </c>
      <c r="H795">
        <f>(raw_data!D795*weights!$B$2)+(raw_data!E795*weights!$B$3)+(raw_data!F795*weights!$B$4)</f>
        <v>9.923</v>
      </c>
      <c r="I795" t="str">
        <f t="shared" si="24"/>
        <v>Low</v>
      </c>
      <c r="J795" t="str">
        <f t="shared" si="25"/>
        <v>2020 Q4</v>
      </c>
      <c r="K795">
        <f>raw_data!H795</f>
        <v>4.34</v>
      </c>
      <c r="L795" s="13">
        <f>raw_data!I795</f>
        <v>4.62</v>
      </c>
      <c r="M795" s="13">
        <f>raw_data!J795</f>
        <v>0.97</v>
      </c>
    </row>
    <row r="796" spans="1:13" x14ac:dyDescent="0.2">
      <c r="A796" t="str">
        <f>raw_data!A796</f>
        <v>2020Q4</v>
      </c>
      <c r="B796" t="str">
        <f>raw_data!B796</f>
        <v>New South Wales</v>
      </c>
      <c r="C796" t="str">
        <f>raw_data!C796</f>
        <v>Education and Training</v>
      </c>
      <c r="D796">
        <f>raw_data!D796</f>
        <v>3.19</v>
      </c>
      <c r="E796">
        <f>raw_data!E796</f>
        <v>40.380000000000003</v>
      </c>
      <c r="F796">
        <f>raw_data!F796</f>
        <v>3.29</v>
      </c>
      <c r="G796">
        <f>raw_data!G796</f>
        <v>14.38</v>
      </c>
      <c r="H796">
        <f>(raw_data!D796*weights!$B$2)+(raw_data!E796*weights!$B$3)+(raw_data!F796*weights!$B$4)</f>
        <v>14.377000000000001</v>
      </c>
      <c r="I796" t="str">
        <f t="shared" si="24"/>
        <v>Low</v>
      </c>
      <c r="J796" t="str">
        <f t="shared" si="25"/>
        <v>2020 Q4</v>
      </c>
      <c r="K796">
        <f>raw_data!H796</f>
        <v>1.28</v>
      </c>
      <c r="L796" s="13">
        <f>raw_data!I796</f>
        <v>12.12</v>
      </c>
      <c r="M796" s="13">
        <f>raw_data!J796</f>
        <v>0.99</v>
      </c>
    </row>
    <row r="797" spans="1:13" x14ac:dyDescent="0.2">
      <c r="A797" t="str">
        <f>raw_data!A797</f>
        <v>2020Q4</v>
      </c>
      <c r="B797" t="str">
        <f>raw_data!B797</f>
        <v>New South Wales</v>
      </c>
      <c r="C797" t="str">
        <f>raw_data!C797</f>
        <v>Health Care and Social Assistance</v>
      </c>
      <c r="D797">
        <f>raw_data!D797</f>
        <v>18.5</v>
      </c>
      <c r="E797">
        <f>raw_data!E797</f>
        <v>25</v>
      </c>
      <c r="F797">
        <f>raw_data!F797</f>
        <v>13.44</v>
      </c>
      <c r="G797">
        <f>raw_data!G797</f>
        <v>18.93</v>
      </c>
      <c r="H797">
        <f>(raw_data!D797*weights!$B$2)+(raw_data!E797*weights!$B$3)+(raw_data!F797*weights!$B$4)</f>
        <v>18.932000000000002</v>
      </c>
      <c r="I797" t="str">
        <f t="shared" si="24"/>
        <v>Low</v>
      </c>
      <c r="J797" t="str">
        <f t="shared" si="25"/>
        <v>2020 Q4</v>
      </c>
      <c r="K797">
        <f>raw_data!H797</f>
        <v>7.4</v>
      </c>
      <c r="L797" s="13">
        <f>raw_data!I797</f>
        <v>7.5</v>
      </c>
      <c r="M797" s="13">
        <f>raw_data!J797</f>
        <v>4.03</v>
      </c>
    </row>
    <row r="798" spans="1:13" x14ac:dyDescent="0.2">
      <c r="A798" t="str">
        <f>raw_data!A798</f>
        <v>2020Q4</v>
      </c>
      <c r="B798" t="str">
        <f>raw_data!B798</f>
        <v>New South Wales</v>
      </c>
      <c r="C798" t="str">
        <f>raw_data!C798</f>
        <v>Manufacturing</v>
      </c>
      <c r="D798">
        <f>raw_data!D798</f>
        <v>16.3</v>
      </c>
      <c r="E798">
        <f>raw_data!E798</f>
        <v>23.08</v>
      </c>
      <c r="F798">
        <f>raw_data!F798</f>
        <v>7.81</v>
      </c>
      <c r="G798">
        <f>raw_data!G798</f>
        <v>15.79</v>
      </c>
      <c r="H798">
        <f>(raw_data!D798*weights!$B$2)+(raw_data!E798*weights!$B$3)+(raw_data!F798*weights!$B$4)</f>
        <v>15.786999999999999</v>
      </c>
      <c r="I798" t="str">
        <f t="shared" si="24"/>
        <v>Low</v>
      </c>
      <c r="J798" t="str">
        <f t="shared" si="25"/>
        <v>2020 Q4</v>
      </c>
      <c r="K798">
        <f>raw_data!H798</f>
        <v>6.52</v>
      </c>
      <c r="L798" s="13">
        <f>raw_data!I798</f>
        <v>6.92</v>
      </c>
      <c r="M798" s="13">
        <f>raw_data!J798</f>
        <v>2.34</v>
      </c>
    </row>
    <row r="799" spans="1:13" x14ac:dyDescent="0.2">
      <c r="A799" t="str">
        <f>raw_data!A799</f>
        <v>2020Q4</v>
      </c>
      <c r="B799" t="str">
        <f>raw_data!B799</f>
        <v>New South Wales</v>
      </c>
      <c r="C799" t="str">
        <f>raw_data!C799</f>
        <v>Professional, Scientific and Technical Services</v>
      </c>
      <c r="D799">
        <f>raw_data!D799</f>
        <v>16.190000000000001</v>
      </c>
      <c r="E799">
        <f>raw_data!E799</f>
        <v>23.08</v>
      </c>
      <c r="F799">
        <f>raw_data!F799</f>
        <v>10.74</v>
      </c>
      <c r="G799">
        <f>raw_data!G799</f>
        <v>16.62</v>
      </c>
      <c r="H799">
        <f>(raw_data!D799*weights!$B$2)+(raw_data!E799*weights!$B$3)+(raw_data!F799*weights!$B$4)</f>
        <v>16.622</v>
      </c>
      <c r="I799" t="str">
        <f t="shared" si="24"/>
        <v>Low</v>
      </c>
      <c r="J799" t="str">
        <f t="shared" si="25"/>
        <v>2020 Q4</v>
      </c>
      <c r="K799">
        <f>raw_data!H799</f>
        <v>6.48</v>
      </c>
      <c r="L799" s="13">
        <f>raw_data!I799</f>
        <v>6.92</v>
      </c>
      <c r="M799" s="13">
        <f>raw_data!J799</f>
        <v>3.22</v>
      </c>
    </row>
    <row r="800" spans="1:13" x14ac:dyDescent="0.2">
      <c r="A800" t="str">
        <f>raw_data!A800</f>
        <v>2020Q4</v>
      </c>
      <c r="B800" t="str">
        <f>raw_data!B800</f>
        <v>Queensland</v>
      </c>
      <c r="C800" t="str">
        <f>raw_data!C800</f>
        <v>Accommodation and Food Services</v>
      </c>
      <c r="D800">
        <f>raw_data!D800</f>
        <v>40.68</v>
      </c>
      <c r="E800">
        <f>raw_data!E800</f>
        <v>0</v>
      </c>
      <c r="F800">
        <f>raw_data!F800</f>
        <v>8.01</v>
      </c>
      <c r="G800">
        <f>raw_data!G800</f>
        <v>18.670000000000002</v>
      </c>
      <c r="H800">
        <f>(raw_data!D800*weights!$B$2)+(raw_data!E800*weights!$B$3)+(raw_data!F800*weights!$B$4)</f>
        <v>18.675000000000001</v>
      </c>
      <c r="I800" t="str">
        <f t="shared" si="24"/>
        <v>Low</v>
      </c>
      <c r="J800" t="str">
        <f t="shared" si="25"/>
        <v>2020 Q4</v>
      </c>
      <c r="K800">
        <f>raw_data!H800</f>
        <v>16.27</v>
      </c>
      <c r="L800" s="13">
        <f>raw_data!I800</f>
        <v>0</v>
      </c>
      <c r="M800" s="13">
        <f>raw_data!J800</f>
        <v>2.4</v>
      </c>
    </row>
    <row r="801" spans="1:13" x14ac:dyDescent="0.2">
      <c r="A801" t="str">
        <f>raw_data!A801</f>
        <v>2020Q4</v>
      </c>
      <c r="B801" t="str">
        <f>raw_data!B801</f>
        <v>Queensland</v>
      </c>
      <c r="C801" t="str">
        <f>raw_data!C801</f>
        <v>Construction</v>
      </c>
      <c r="D801">
        <f>raw_data!D801</f>
        <v>19.420000000000002</v>
      </c>
      <c r="E801">
        <f>raw_data!E801</f>
        <v>15.38</v>
      </c>
      <c r="F801">
        <f>raw_data!F801</f>
        <v>4.93</v>
      </c>
      <c r="G801">
        <f>raw_data!G801</f>
        <v>13.86</v>
      </c>
      <c r="H801">
        <f>(raw_data!D801*weights!$B$2)+(raw_data!E801*weights!$B$3)+(raw_data!F801*weights!$B$4)</f>
        <v>13.861000000000001</v>
      </c>
      <c r="I801" t="str">
        <f t="shared" si="24"/>
        <v>Low</v>
      </c>
      <c r="J801" t="str">
        <f t="shared" si="25"/>
        <v>2020 Q4</v>
      </c>
      <c r="K801">
        <f>raw_data!H801</f>
        <v>7.77</v>
      </c>
      <c r="L801" s="13">
        <f>raw_data!I801</f>
        <v>4.62</v>
      </c>
      <c r="M801" s="13">
        <f>raw_data!J801</f>
        <v>1.48</v>
      </c>
    </row>
    <row r="802" spans="1:13" x14ac:dyDescent="0.2">
      <c r="A802" t="str">
        <f>raw_data!A802</f>
        <v>2020Q4</v>
      </c>
      <c r="B802" t="str">
        <f>raw_data!B802</f>
        <v>Queensland</v>
      </c>
      <c r="C802" t="str">
        <f>raw_data!C802</f>
        <v>Education and Training</v>
      </c>
      <c r="D802">
        <f>raw_data!D802</f>
        <v>7.28</v>
      </c>
      <c r="E802">
        <f>raw_data!E802</f>
        <v>40.380000000000003</v>
      </c>
      <c r="F802">
        <f>raw_data!F802</f>
        <v>4.99</v>
      </c>
      <c r="G802">
        <f>raw_data!G802</f>
        <v>16.52</v>
      </c>
      <c r="H802">
        <f>(raw_data!D802*weights!$B$2)+(raw_data!E802*weights!$B$3)+(raw_data!F802*weights!$B$4)</f>
        <v>16.523000000000003</v>
      </c>
      <c r="I802" t="str">
        <f t="shared" si="24"/>
        <v>Low</v>
      </c>
      <c r="J802" t="str">
        <f t="shared" si="25"/>
        <v>2020 Q4</v>
      </c>
      <c r="K802">
        <f>raw_data!H802</f>
        <v>2.91</v>
      </c>
      <c r="L802" s="13">
        <f>raw_data!I802</f>
        <v>12.12</v>
      </c>
      <c r="M802" s="13">
        <f>raw_data!J802</f>
        <v>1.5</v>
      </c>
    </row>
    <row r="803" spans="1:13" x14ac:dyDescent="0.2">
      <c r="A803" t="str">
        <f>raw_data!A803</f>
        <v>2020Q4</v>
      </c>
      <c r="B803" t="str">
        <f>raw_data!B803</f>
        <v>Queensland</v>
      </c>
      <c r="C803" t="str">
        <f>raw_data!C803</f>
        <v>Health Care and Social Assistance</v>
      </c>
      <c r="D803">
        <f>raw_data!D803</f>
        <v>26.91</v>
      </c>
      <c r="E803">
        <f>raw_data!E803</f>
        <v>25</v>
      </c>
      <c r="F803">
        <f>raw_data!F803</f>
        <v>17.45</v>
      </c>
      <c r="G803">
        <f>raw_data!G803</f>
        <v>23.5</v>
      </c>
      <c r="H803">
        <f>(raw_data!D803*weights!$B$2)+(raw_data!E803*weights!$B$3)+(raw_data!F803*weights!$B$4)</f>
        <v>23.499000000000002</v>
      </c>
      <c r="I803" t="str">
        <f t="shared" si="24"/>
        <v>Low</v>
      </c>
      <c r="J803" t="str">
        <f t="shared" si="25"/>
        <v>2020 Q4</v>
      </c>
      <c r="K803">
        <f>raw_data!H803</f>
        <v>10.77</v>
      </c>
      <c r="L803" s="13">
        <f>raw_data!I803</f>
        <v>7.5</v>
      </c>
      <c r="M803" s="13">
        <f>raw_data!J803</f>
        <v>5.23</v>
      </c>
    </row>
    <row r="804" spans="1:13" x14ac:dyDescent="0.2">
      <c r="A804" t="str">
        <f>raw_data!A804</f>
        <v>2020Q4</v>
      </c>
      <c r="B804" t="str">
        <f>raw_data!B804</f>
        <v>Queensland</v>
      </c>
      <c r="C804" t="str">
        <f>raw_data!C804</f>
        <v>Manufacturing</v>
      </c>
      <c r="D804">
        <f>raw_data!D804</f>
        <v>22.72</v>
      </c>
      <c r="E804">
        <f>raw_data!E804</f>
        <v>23.08</v>
      </c>
      <c r="F804">
        <f>raw_data!F804</f>
        <v>9.0299999999999994</v>
      </c>
      <c r="G804">
        <f>raw_data!G804</f>
        <v>18.72</v>
      </c>
      <c r="H804">
        <f>(raw_data!D804*weights!$B$2)+(raw_data!E804*weights!$B$3)+(raw_data!F804*weights!$B$4)</f>
        <v>18.721</v>
      </c>
      <c r="I804" t="str">
        <f t="shared" si="24"/>
        <v>Low</v>
      </c>
      <c r="J804" t="str">
        <f t="shared" si="25"/>
        <v>2020 Q4</v>
      </c>
      <c r="K804">
        <f>raw_data!H804</f>
        <v>9.09</v>
      </c>
      <c r="L804" s="13">
        <f>raw_data!I804</f>
        <v>6.92</v>
      </c>
      <c r="M804" s="13">
        <f>raw_data!J804</f>
        <v>2.71</v>
      </c>
    </row>
    <row r="805" spans="1:13" x14ac:dyDescent="0.2">
      <c r="A805" t="str">
        <f>raw_data!A805</f>
        <v>2020Q4</v>
      </c>
      <c r="B805" t="str">
        <f>raw_data!B805</f>
        <v>Queensland</v>
      </c>
      <c r="C805" t="str">
        <f>raw_data!C805</f>
        <v>Professional, Scientific and Technical Services</v>
      </c>
      <c r="D805">
        <f>raw_data!D805</f>
        <v>40.74</v>
      </c>
      <c r="E805">
        <f>raw_data!E805</f>
        <v>23.08</v>
      </c>
      <c r="F805">
        <f>raw_data!F805</f>
        <v>19.38</v>
      </c>
      <c r="G805">
        <f>raw_data!G805</f>
        <v>29.03</v>
      </c>
      <c r="H805">
        <f>(raw_data!D805*weights!$B$2)+(raw_data!E805*weights!$B$3)+(raw_data!F805*weights!$B$4)</f>
        <v>29.034000000000002</v>
      </c>
      <c r="I805" t="str">
        <f t="shared" si="24"/>
        <v>Moderate</v>
      </c>
      <c r="J805" t="str">
        <f t="shared" si="25"/>
        <v>2020 Q4</v>
      </c>
      <c r="K805">
        <f>raw_data!H805</f>
        <v>16.3</v>
      </c>
      <c r="L805" s="13">
        <f>raw_data!I805</f>
        <v>6.92</v>
      </c>
      <c r="M805" s="13">
        <f>raw_data!J805</f>
        <v>5.81</v>
      </c>
    </row>
    <row r="806" spans="1:13" x14ac:dyDescent="0.2">
      <c r="A806" t="str">
        <f>raw_data!A806</f>
        <v>2020Q4</v>
      </c>
      <c r="B806" t="str">
        <f>raw_data!B806</f>
        <v>Victoria</v>
      </c>
      <c r="C806" t="str">
        <f>raw_data!C806</f>
        <v>Accommodation and Food Services</v>
      </c>
      <c r="D806">
        <f>raw_data!D806</f>
        <v>41.36</v>
      </c>
      <c r="E806">
        <f>raw_data!E806</f>
        <v>0</v>
      </c>
      <c r="F806">
        <f>raw_data!F806</f>
        <v>4.4000000000000004</v>
      </c>
      <c r="G806">
        <f>raw_data!G806</f>
        <v>17.86</v>
      </c>
      <c r="H806">
        <f>(raw_data!D806*weights!$B$2)+(raw_data!E806*weights!$B$3)+(raw_data!F806*weights!$B$4)</f>
        <v>17.864000000000001</v>
      </c>
      <c r="I806" t="str">
        <f t="shared" si="24"/>
        <v>Low</v>
      </c>
      <c r="J806" t="str">
        <f t="shared" si="25"/>
        <v>2020 Q4</v>
      </c>
      <c r="K806">
        <f>raw_data!H806</f>
        <v>16.55</v>
      </c>
      <c r="L806" s="13">
        <f>raw_data!I806</f>
        <v>0</v>
      </c>
      <c r="M806" s="13">
        <f>raw_data!J806</f>
        <v>1.32</v>
      </c>
    </row>
    <row r="807" spans="1:13" x14ac:dyDescent="0.2">
      <c r="A807" t="str">
        <f>raw_data!A807</f>
        <v>2020Q4</v>
      </c>
      <c r="B807" t="str">
        <f>raw_data!B807</f>
        <v>Victoria</v>
      </c>
      <c r="C807" t="str">
        <f>raw_data!C807</f>
        <v>Construction</v>
      </c>
      <c r="D807">
        <f>raw_data!D807</f>
        <v>15.18</v>
      </c>
      <c r="E807">
        <f>raw_data!E807</f>
        <v>15.38</v>
      </c>
      <c r="F807">
        <f>raw_data!F807</f>
        <v>7.05</v>
      </c>
      <c r="G807">
        <f>raw_data!G807</f>
        <v>12.8</v>
      </c>
      <c r="H807">
        <f>(raw_data!D807*weights!$B$2)+(raw_data!E807*weights!$B$3)+(raw_data!F807*weights!$B$4)</f>
        <v>12.801</v>
      </c>
      <c r="I807" t="str">
        <f t="shared" si="24"/>
        <v>Low</v>
      </c>
      <c r="J807" t="str">
        <f t="shared" si="25"/>
        <v>2020 Q4</v>
      </c>
      <c r="K807">
        <f>raw_data!H807</f>
        <v>6.07</v>
      </c>
      <c r="L807" s="13">
        <f>raw_data!I807</f>
        <v>4.62</v>
      </c>
      <c r="M807" s="13">
        <f>raw_data!J807</f>
        <v>2.12</v>
      </c>
    </row>
    <row r="808" spans="1:13" x14ac:dyDescent="0.2">
      <c r="A808" t="str">
        <f>raw_data!A808</f>
        <v>2020Q4</v>
      </c>
      <c r="B808" t="str">
        <f>raw_data!B808</f>
        <v>Victoria</v>
      </c>
      <c r="C808" t="str">
        <f>raw_data!C808</f>
        <v>Education and Training</v>
      </c>
      <c r="D808">
        <f>raw_data!D808</f>
        <v>4.05</v>
      </c>
      <c r="E808">
        <f>raw_data!E808</f>
        <v>40.380000000000003</v>
      </c>
      <c r="F808">
        <f>raw_data!F808</f>
        <v>1.27</v>
      </c>
      <c r="G808">
        <f>raw_data!G808</f>
        <v>14.12</v>
      </c>
      <c r="H808">
        <f>(raw_data!D808*weights!$B$2)+(raw_data!E808*weights!$B$3)+(raw_data!F808*weights!$B$4)</f>
        <v>14.115000000000002</v>
      </c>
      <c r="I808" t="str">
        <f t="shared" si="24"/>
        <v>Low</v>
      </c>
      <c r="J808" t="str">
        <f t="shared" si="25"/>
        <v>2020 Q4</v>
      </c>
      <c r="K808">
        <f>raw_data!H808</f>
        <v>1.62</v>
      </c>
      <c r="L808" s="13">
        <f>raw_data!I808</f>
        <v>12.12</v>
      </c>
      <c r="M808" s="13">
        <f>raw_data!J808</f>
        <v>0.38</v>
      </c>
    </row>
    <row r="809" spans="1:13" x14ac:dyDescent="0.2">
      <c r="A809" t="str">
        <f>raw_data!A809</f>
        <v>2020Q4</v>
      </c>
      <c r="B809" t="str">
        <f>raw_data!B809</f>
        <v>Victoria</v>
      </c>
      <c r="C809" t="str">
        <f>raw_data!C809</f>
        <v>Health Care and Social Assistance</v>
      </c>
      <c r="D809">
        <f>raw_data!D809</f>
        <v>20.53</v>
      </c>
      <c r="E809">
        <f>raw_data!E809</f>
        <v>25</v>
      </c>
      <c r="F809">
        <f>raw_data!F809</f>
        <v>13.31</v>
      </c>
      <c r="G809">
        <f>raw_data!G809</f>
        <v>19.71</v>
      </c>
      <c r="H809">
        <f>(raw_data!D809*weights!$B$2)+(raw_data!E809*weights!$B$3)+(raw_data!F809*weights!$B$4)</f>
        <v>19.705000000000002</v>
      </c>
      <c r="I809" t="str">
        <f t="shared" si="24"/>
        <v>Low</v>
      </c>
      <c r="J809" t="str">
        <f t="shared" si="25"/>
        <v>2020 Q4</v>
      </c>
      <c r="K809">
        <f>raw_data!H809</f>
        <v>8.2100000000000009</v>
      </c>
      <c r="L809" s="13">
        <f>raw_data!I809</f>
        <v>7.5</v>
      </c>
      <c r="M809" s="13">
        <f>raw_data!J809</f>
        <v>3.99</v>
      </c>
    </row>
    <row r="810" spans="1:13" x14ac:dyDescent="0.2">
      <c r="A810" t="str">
        <f>raw_data!A810</f>
        <v>2020Q4</v>
      </c>
      <c r="B810" t="str">
        <f>raw_data!B810</f>
        <v>Victoria</v>
      </c>
      <c r="C810" t="str">
        <f>raw_data!C810</f>
        <v>Manufacturing</v>
      </c>
      <c r="D810">
        <f>raw_data!D810</f>
        <v>14.65</v>
      </c>
      <c r="E810">
        <f>raw_data!E810</f>
        <v>23.08</v>
      </c>
      <c r="F810">
        <f>raw_data!F810</f>
        <v>15.09</v>
      </c>
      <c r="G810">
        <f>raw_data!G810</f>
        <v>17.309999999999999</v>
      </c>
      <c r="H810">
        <f>(raw_data!D810*weights!$B$2)+(raw_data!E810*weights!$B$3)+(raw_data!F810*weights!$B$4)</f>
        <v>17.311</v>
      </c>
      <c r="I810" t="str">
        <f t="shared" si="24"/>
        <v>Low</v>
      </c>
      <c r="J810" t="str">
        <f t="shared" si="25"/>
        <v>2020 Q4</v>
      </c>
      <c r="K810">
        <f>raw_data!H810</f>
        <v>5.86</v>
      </c>
      <c r="L810" s="13">
        <f>raw_data!I810</f>
        <v>6.92</v>
      </c>
      <c r="M810" s="13">
        <f>raw_data!J810</f>
        <v>4.53</v>
      </c>
    </row>
    <row r="811" spans="1:13" x14ac:dyDescent="0.2">
      <c r="A811" t="str">
        <f>raw_data!A811</f>
        <v>2020Q4</v>
      </c>
      <c r="B811" t="str">
        <f>raw_data!B811</f>
        <v>Victoria</v>
      </c>
      <c r="C811" t="str">
        <f>raw_data!C811</f>
        <v>Professional, Scientific and Technical Services</v>
      </c>
      <c r="D811">
        <f>raw_data!D811</f>
        <v>21.95</v>
      </c>
      <c r="E811">
        <f>raw_data!E811</f>
        <v>23.08</v>
      </c>
      <c r="F811">
        <f>raw_data!F811</f>
        <v>9.41</v>
      </c>
      <c r="G811">
        <f>raw_data!G811</f>
        <v>18.53</v>
      </c>
      <c r="H811">
        <f>(raw_data!D811*weights!$B$2)+(raw_data!E811*weights!$B$3)+(raw_data!F811*weights!$B$4)</f>
        <v>18.526999999999997</v>
      </c>
      <c r="I811" t="str">
        <f t="shared" si="24"/>
        <v>Low</v>
      </c>
      <c r="J811" t="str">
        <f t="shared" si="25"/>
        <v>2020 Q4</v>
      </c>
      <c r="K811">
        <f>raw_data!H811</f>
        <v>8.7799999999999994</v>
      </c>
      <c r="L811" s="13">
        <f>raw_data!I811</f>
        <v>6.92</v>
      </c>
      <c r="M811" s="13">
        <f>raw_data!J811</f>
        <v>2.82</v>
      </c>
    </row>
    <row r="812" spans="1:13" x14ac:dyDescent="0.2">
      <c r="A812" t="str">
        <f>raw_data!A812</f>
        <v>2021Q1</v>
      </c>
      <c r="B812" t="str">
        <f>raw_data!B812</f>
        <v>New South Wales</v>
      </c>
      <c r="C812" t="str">
        <f>raw_data!C812</f>
        <v>Accommodation and Food Services</v>
      </c>
      <c r="D812">
        <f>raw_data!D812</f>
        <v>34.619999999999997</v>
      </c>
      <c r="E812">
        <f>raw_data!E812</f>
        <v>21.15</v>
      </c>
      <c r="F812">
        <f>raw_data!F812</f>
        <v>6.43</v>
      </c>
      <c r="G812">
        <f>raw_data!G812</f>
        <v>22.12</v>
      </c>
      <c r="H812">
        <f>(raw_data!D812*weights!$B$2)+(raw_data!E812*weights!$B$3)+(raw_data!F812*weights!$B$4)</f>
        <v>22.121999999999996</v>
      </c>
      <c r="I812" t="str">
        <f t="shared" si="24"/>
        <v>Low</v>
      </c>
      <c r="J812" t="str">
        <f t="shared" si="25"/>
        <v>2021 Q1</v>
      </c>
      <c r="K812">
        <f>raw_data!H812</f>
        <v>13.85</v>
      </c>
      <c r="L812" s="13">
        <f>raw_data!I812</f>
        <v>6.35</v>
      </c>
      <c r="M812" s="13">
        <f>raw_data!J812</f>
        <v>1.93</v>
      </c>
    </row>
    <row r="813" spans="1:13" x14ac:dyDescent="0.2">
      <c r="A813" t="str">
        <f>raw_data!A813</f>
        <v>2021Q1</v>
      </c>
      <c r="B813" t="str">
        <f>raw_data!B813</f>
        <v>New South Wales</v>
      </c>
      <c r="C813" t="str">
        <f>raw_data!C813</f>
        <v>Construction</v>
      </c>
      <c r="D813">
        <f>raw_data!D813</f>
        <v>18.920000000000002</v>
      </c>
      <c r="E813">
        <f>raw_data!E813</f>
        <v>19.23</v>
      </c>
      <c r="F813">
        <f>raw_data!F813</f>
        <v>9.4600000000000009</v>
      </c>
      <c r="G813">
        <f>raw_data!G813</f>
        <v>16.170000000000002</v>
      </c>
      <c r="H813">
        <f>(raw_data!D813*weights!$B$2)+(raw_data!E813*weights!$B$3)+(raw_data!F813*weights!$B$4)</f>
        <v>16.175000000000001</v>
      </c>
      <c r="I813" t="str">
        <f t="shared" si="24"/>
        <v>Low</v>
      </c>
      <c r="J813" t="str">
        <f t="shared" si="25"/>
        <v>2021 Q1</v>
      </c>
      <c r="K813">
        <f>raw_data!H813</f>
        <v>7.57</v>
      </c>
      <c r="L813" s="13">
        <f>raw_data!I813</f>
        <v>5.77</v>
      </c>
      <c r="M813" s="13">
        <f>raw_data!J813</f>
        <v>2.84</v>
      </c>
    </row>
    <row r="814" spans="1:13" x14ac:dyDescent="0.2">
      <c r="A814" t="str">
        <f>raw_data!A814</f>
        <v>2021Q1</v>
      </c>
      <c r="B814" t="str">
        <f>raw_data!B814</f>
        <v>New South Wales</v>
      </c>
      <c r="C814" t="str">
        <f>raw_data!C814</f>
        <v>Education and Training</v>
      </c>
      <c r="D814">
        <f>raw_data!D814</f>
        <v>5.04</v>
      </c>
      <c r="E814">
        <f>raw_data!E814</f>
        <v>36.54</v>
      </c>
      <c r="F814">
        <f>raw_data!F814</f>
        <v>3.55</v>
      </c>
      <c r="G814">
        <f>raw_data!G814</f>
        <v>14.05</v>
      </c>
      <c r="H814">
        <f>(raw_data!D814*weights!$B$2)+(raw_data!E814*weights!$B$3)+(raw_data!F814*weights!$B$4)</f>
        <v>14.042999999999999</v>
      </c>
      <c r="I814" t="str">
        <f t="shared" si="24"/>
        <v>Low</v>
      </c>
      <c r="J814" t="str">
        <f t="shared" si="25"/>
        <v>2021 Q1</v>
      </c>
      <c r="K814">
        <f>raw_data!H814</f>
        <v>2.02</v>
      </c>
      <c r="L814" s="13">
        <f>raw_data!I814</f>
        <v>10.96</v>
      </c>
      <c r="M814" s="13">
        <f>raw_data!J814</f>
        <v>1.07</v>
      </c>
    </row>
    <row r="815" spans="1:13" x14ac:dyDescent="0.2">
      <c r="A815" t="str">
        <f>raw_data!A815</f>
        <v>2021Q1</v>
      </c>
      <c r="B815" t="str">
        <f>raw_data!B815</f>
        <v>New South Wales</v>
      </c>
      <c r="C815" t="str">
        <f>raw_data!C815</f>
        <v>Health Care and Social Assistance</v>
      </c>
      <c r="D815">
        <f>raw_data!D815</f>
        <v>18.7</v>
      </c>
      <c r="E815">
        <f>raw_data!E815</f>
        <v>26.92</v>
      </c>
      <c r="F815">
        <f>raw_data!F815</f>
        <v>19.87</v>
      </c>
      <c r="G815">
        <f>raw_data!G815</f>
        <v>21.52</v>
      </c>
      <c r="H815">
        <f>(raw_data!D815*weights!$B$2)+(raw_data!E815*weights!$B$3)+(raw_data!F815*weights!$B$4)</f>
        <v>21.517000000000003</v>
      </c>
      <c r="I815" t="str">
        <f t="shared" si="24"/>
        <v>Low</v>
      </c>
      <c r="J815" t="str">
        <f t="shared" si="25"/>
        <v>2021 Q1</v>
      </c>
      <c r="K815">
        <f>raw_data!H815</f>
        <v>7.48</v>
      </c>
      <c r="L815" s="13">
        <f>raw_data!I815</f>
        <v>8.08</v>
      </c>
      <c r="M815" s="13">
        <f>raw_data!J815</f>
        <v>5.96</v>
      </c>
    </row>
    <row r="816" spans="1:13" x14ac:dyDescent="0.2">
      <c r="A816" t="str">
        <f>raw_data!A816</f>
        <v>2021Q1</v>
      </c>
      <c r="B816" t="str">
        <f>raw_data!B816</f>
        <v>New South Wales</v>
      </c>
      <c r="C816" t="str">
        <f>raw_data!C816</f>
        <v>Manufacturing</v>
      </c>
      <c r="D816">
        <f>raw_data!D816</f>
        <v>15.48</v>
      </c>
      <c r="E816">
        <f>raw_data!E816</f>
        <v>23.08</v>
      </c>
      <c r="F816">
        <f>raw_data!F816</f>
        <v>7.82</v>
      </c>
      <c r="G816">
        <f>raw_data!G816</f>
        <v>15.46</v>
      </c>
      <c r="H816">
        <f>(raw_data!D816*weights!$B$2)+(raw_data!E816*weights!$B$3)+(raw_data!F816*weights!$B$4)</f>
        <v>15.462</v>
      </c>
      <c r="I816" t="str">
        <f t="shared" si="24"/>
        <v>Low</v>
      </c>
      <c r="J816" t="str">
        <f t="shared" si="25"/>
        <v>2021 Q1</v>
      </c>
      <c r="K816">
        <f>raw_data!H816</f>
        <v>6.19</v>
      </c>
      <c r="L816" s="13">
        <f>raw_data!I816</f>
        <v>6.92</v>
      </c>
      <c r="M816" s="13">
        <f>raw_data!J816</f>
        <v>2.35</v>
      </c>
    </row>
    <row r="817" spans="1:13" x14ac:dyDescent="0.2">
      <c r="A817" t="str">
        <f>raw_data!A817</f>
        <v>2021Q1</v>
      </c>
      <c r="B817" t="str">
        <f>raw_data!B817</f>
        <v>New South Wales</v>
      </c>
      <c r="C817" t="str">
        <f>raw_data!C817</f>
        <v>Professional, Scientific and Technical Services</v>
      </c>
      <c r="D817">
        <f>raw_data!D817</f>
        <v>18.22</v>
      </c>
      <c r="E817">
        <f>raw_data!E817</f>
        <v>25</v>
      </c>
      <c r="F817">
        <f>raw_data!F817</f>
        <v>11.12</v>
      </c>
      <c r="G817">
        <f>raw_data!G817</f>
        <v>18.13</v>
      </c>
      <c r="H817">
        <f>(raw_data!D817*weights!$B$2)+(raw_data!E817*weights!$B$3)+(raw_data!F817*weights!$B$4)</f>
        <v>18.123999999999999</v>
      </c>
      <c r="I817" t="str">
        <f t="shared" si="24"/>
        <v>Low</v>
      </c>
      <c r="J817" t="str">
        <f t="shared" si="25"/>
        <v>2021 Q1</v>
      </c>
      <c r="K817">
        <f>raw_data!H817</f>
        <v>7.29</v>
      </c>
      <c r="L817" s="13">
        <f>raw_data!I817</f>
        <v>7.5</v>
      </c>
      <c r="M817" s="13">
        <f>raw_data!J817</f>
        <v>3.34</v>
      </c>
    </row>
    <row r="818" spans="1:13" x14ac:dyDescent="0.2">
      <c r="A818" t="str">
        <f>raw_data!A818</f>
        <v>2021Q1</v>
      </c>
      <c r="B818" t="str">
        <f>raw_data!B818</f>
        <v>Queensland</v>
      </c>
      <c r="C818" t="str">
        <f>raw_data!C818</f>
        <v>Accommodation and Food Services</v>
      </c>
      <c r="D818">
        <f>raw_data!D818</f>
        <v>52.89</v>
      </c>
      <c r="E818">
        <f>raw_data!E818</f>
        <v>21.15</v>
      </c>
      <c r="F818">
        <f>raw_data!F818</f>
        <v>8.2100000000000009</v>
      </c>
      <c r="G818">
        <f>raw_data!G818</f>
        <v>29.96</v>
      </c>
      <c r="H818">
        <f>(raw_data!D818*weights!$B$2)+(raw_data!E818*weights!$B$3)+(raw_data!F818*weights!$B$4)</f>
        <v>29.964000000000002</v>
      </c>
      <c r="I818" t="str">
        <f t="shared" si="24"/>
        <v>Moderate</v>
      </c>
      <c r="J818" t="str">
        <f t="shared" si="25"/>
        <v>2021 Q1</v>
      </c>
      <c r="K818">
        <f>raw_data!H818</f>
        <v>21.15</v>
      </c>
      <c r="L818" s="13">
        <f>raw_data!I818</f>
        <v>6.35</v>
      </c>
      <c r="M818" s="13">
        <f>raw_data!J818</f>
        <v>2.46</v>
      </c>
    </row>
    <row r="819" spans="1:13" x14ac:dyDescent="0.2">
      <c r="A819" t="str">
        <f>raw_data!A819</f>
        <v>2021Q1</v>
      </c>
      <c r="B819" t="str">
        <f>raw_data!B819</f>
        <v>Queensland</v>
      </c>
      <c r="C819" t="str">
        <f>raw_data!C819</f>
        <v>Construction</v>
      </c>
      <c r="D819">
        <f>raw_data!D819</f>
        <v>30.89</v>
      </c>
      <c r="E819">
        <f>raw_data!E819</f>
        <v>19.23</v>
      </c>
      <c r="F819">
        <f>raw_data!F819</f>
        <v>11.36</v>
      </c>
      <c r="G819">
        <f>raw_data!G819</f>
        <v>21.53</v>
      </c>
      <c r="H819">
        <f>(raw_data!D819*weights!$B$2)+(raw_data!E819*weights!$B$3)+(raw_data!F819*weights!$B$4)</f>
        <v>21.533000000000001</v>
      </c>
      <c r="I819" t="str">
        <f t="shared" si="24"/>
        <v>Low</v>
      </c>
      <c r="J819" t="str">
        <f t="shared" si="25"/>
        <v>2021 Q1</v>
      </c>
      <c r="K819">
        <f>raw_data!H819</f>
        <v>12.36</v>
      </c>
      <c r="L819" s="13">
        <f>raw_data!I819</f>
        <v>5.77</v>
      </c>
      <c r="M819" s="13">
        <f>raw_data!J819</f>
        <v>3.41</v>
      </c>
    </row>
    <row r="820" spans="1:13" x14ac:dyDescent="0.2">
      <c r="A820" t="str">
        <f>raw_data!A820</f>
        <v>2021Q1</v>
      </c>
      <c r="B820" t="str">
        <f>raw_data!B820</f>
        <v>Queensland</v>
      </c>
      <c r="C820" t="str">
        <f>raw_data!C820</f>
        <v>Education and Training</v>
      </c>
      <c r="D820">
        <f>raw_data!D820</f>
        <v>10.039999999999999</v>
      </c>
      <c r="E820">
        <f>raw_data!E820</f>
        <v>36.54</v>
      </c>
      <c r="F820">
        <f>raw_data!F820</f>
        <v>3.73</v>
      </c>
      <c r="G820">
        <f>raw_data!G820</f>
        <v>16.100000000000001</v>
      </c>
      <c r="H820">
        <f>(raw_data!D820*weights!$B$2)+(raw_data!E820*weights!$B$3)+(raw_data!F820*weights!$B$4)</f>
        <v>16.097000000000001</v>
      </c>
      <c r="I820" t="str">
        <f t="shared" si="24"/>
        <v>Low</v>
      </c>
      <c r="J820" t="str">
        <f t="shared" si="25"/>
        <v>2021 Q1</v>
      </c>
      <c r="K820">
        <f>raw_data!H820</f>
        <v>4.0199999999999996</v>
      </c>
      <c r="L820" s="13">
        <f>raw_data!I820</f>
        <v>10.96</v>
      </c>
      <c r="M820" s="13">
        <f>raw_data!J820</f>
        <v>1.1200000000000001</v>
      </c>
    </row>
    <row r="821" spans="1:13" x14ac:dyDescent="0.2">
      <c r="A821" t="str">
        <f>raw_data!A821</f>
        <v>2021Q1</v>
      </c>
      <c r="B821" t="str">
        <f>raw_data!B821</f>
        <v>Queensland</v>
      </c>
      <c r="C821" t="str">
        <f>raw_data!C821</f>
        <v>Health Care and Social Assistance</v>
      </c>
      <c r="D821">
        <f>raw_data!D821</f>
        <v>27.64</v>
      </c>
      <c r="E821">
        <f>raw_data!E821</f>
        <v>26.92</v>
      </c>
      <c r="F821">
        <f>raw_data!F821</f>
        <v>18.2</v>
      </c>
      <c r="G821">
        <f>raw_data!G821</f>
        <v>24.59</v>
      </c>
      <c r="H821">
        <f>(raw_data!D821*weights!$B$2)+(raw_data!E821*weights!$B$3)+(raw_data!F821*weights!$B$4)</f>
        <v>24.592000000000002</v>
      </c>
      <c r="I821" t="str">
        <f t="shared" si="24"/>
        <v>Low</v>
      </c>
      <c r="J821" t="str">
        <f t="shared" si="25"/>
        <v>2021 Q1</v>
      </c>
      <c r="K821">
        <f>raw_data!H821</f>
        <v>11.05</v>
      </c>
      <c r="L821" s="13">
        <f>raw_data!I821</f>
        <v>8.08</v>
      </c>
      <c r="M821" s="13">
        <f>raw_data!J821</f>
        <v>5.46</v>
      </c>
    </row>
    <row r="822" spans="1:13" x14ac:dyDescent="0.2">
      <c r="A822" t="str">
        <f>raw_data!A822</f>
        <v>2021Q1</v>
      </c>
      <c r="B822" t="str">
        <f>raw_data!B822</f>
        <v>Queensland</v>
      </c>
      <c r="C822" t="str">
        <f>raw_data!C822</f>
        <v>Manufacturing</v>
      </c>
      <c r="D822">
        <f>raw_data!D822</f>
        <v>24.64</v>
      </c>
      <c r="E822">
        <f>raw_data!E822</f>
        <v>23.08</v>
      </c>
      <c r="F822">
        <f>raw_data!F822</f>
        <v>9.3699999999999992</v>
      </c>
      <c r="G822">
        <f>raw_data!G822</f>
        <v>19.59</v>
      </c>
      <c r="H822">
        <f>(raw_data!D822*weights!$B$2)+(raw_data!E822*weights!$B$3)+(raw_data!F822*weights!$B$4)</f>
        <v>19.591000000000001</v>
      </c>
      <c r="I822" t="str">
        <f t="shared" si="24"/>
        <v>Low</v>
      </c>
      <c r="J822" t="str">
        <f t="shared" si="25"/>
        <v>2021 Q1</v>
      </c>
      <c r="K822">
        <f>raw_data!H822</f>
        <v>9.85</v>
      </c>
      <c r="L822" s="13">
        <f>raw_data!I822</f>
        <v>6.92</v>
      </c>
      <c r="M822" s="13">
        <f>raw_data!J822</f>
        <v>2.81</v>
      </c>
    </row>
    <row r="823" spans="1:13" x14ac:dyDescent="0.2">
      <c r="A823" t="str">
        <f>raw_data!A823</f>
        <v>2021Q1</v>
      </c>
      <c r="B823" t="str">
        <f>raw_data!B823</f>
        <v>Queensland</v>
      </c>
      <c r="C823" t="str">
        <f>raw_data!C823</f>
        <v>Professional, Scientific and Technical Services</v>
      </c>
      <c r="D823">
        <f>raw_data!D823</f>
        <v>41.95</v>
      </c>
      <c r="E823">
        <f>raw_data!E823</f>
        <v>25</v>
      </c>
      <c r="F823">
        <f>raw_data!F823</f>
        <v>21.62</v>
      </c>
      <c r="G823">
        <f>raw_data!G823</f>
        <v>30.77</v>
      </c>
      <c r="H823">
        <f>(raw_data!D823*weights!$B$2)+(raw_data!E823*weights!$B$3)+(raw_data!F823*weights!$B$4)</f>
        <v>30.766000000000002</v>
      </c>
      <c r="I823" t="str">
        <f t="shared" si="24"/>
        <v>Moderate</v>
      </c>
      <c r="J823" t="str">
        <f t="shared" si="25"/>
        <v>2021 Q1</v>
      </c>
      <c r="K823">
        <f>raw_data!H823</f>
        <v>16.78</v>
      </c>
      <c r="L823" s="13">
        <f>raw_data!I823</f>
        <v>7.5</v>
      </c>
      <c r="M823" s="13">
        <f>raw_data!J823</f>
        <v>6.49</v>
      </c>
    </row>
    <row r="824" spans="1:13" x14ac:dyDescent="0.2">
      <c r="A824" t="str">
        <f>raw_data!A824</f>
        <v>2021Q1</v>
      </c>
      <c r="B824" t="str">
        <f>raw_data!B824</f>
        <v>Victoria</v>
      </c>
      <c r="C824" t="str">
        <f>raw_data!C824</f>
        <v>Accommodation and Food Services</v>
      </c>
      <c r="D824">
        <f>raw_data!D824</f>
        <v>46.64</v>
      </c>
      <c r="E824">
        <f>raw_data!E824</f>
        <v>21.15</v>
      </c>
      <c r="F824">
        <f>raw_data!F824</f>
        <v>8.0299999999999994</v>
      </c>
      <c r="G824">
        <f>raw_data!G824</f>
        <v>27.41</v>
      </c>
      <c r="H824">
        <f>(raw_data!D824*weights!$B$2)+(raw_data!E824*weights!$B$3)+(raw_data!F824*weights!$B$4)</f>
        <v>27.41</v>
      </c>
      <c r="I824" t="str">
        <f t="shared" si="24"/>
        <v>Moderate</v>
      </c>
      <c r="J824" t="str">
        <f t="shared" si="25"/>
        <v>2021 Q1</v>
      </c>
      <c r="K824">
        <f>raw_data!H824</f>
        <v>18.66</v>
      </c>
      <c r="L824" s="13">
        <f>raw_data!I824</f>
        <v>6.35</v>
      </c>
      <c r="M824" s="13">
        <f>raw_data!J824</f>
        <v>2.41</v>
      </c>
    </row>
    <row r="825" spans="1:13" x14ac:dyDescent="0.2">
      <c r="A825" t="str">
        <f>raw_data!A825</f>
        <v>2021Q1</v>
      </c>
      <c r="B825" t="str">
        <f>raw_data!B825</f>
        <v>Victoria</v>
      </c>
      <c r="C825" t="str">
        <f>raw_data!C825</f>
        <v>Construction</v>
      </c>
      <c r="D825">
        <f>raw_data!D825</f>
        <v>22.1</v>
      </c>
      <c r="E825">
        <f>raw_data!E825</f>
        <v>19.23</v>
      </c>
      <c r="F825">
        <f>raw_data!F825</f>
        <v>10.27</v>
      </c>
      <c r="G825">
        <f>raw_data!G825</f>
        <v>17.690000000000001</v>
      </c>
      <c r="H825">
        <f>(raw_data!D825*weights!$B$2)+(raw_data!E825*weights!$B$3)+(raw_data!F825*weights!$B$4)</f>
        <v>17.690000000000001</v>
      </c>
      <c r="I825" t="str">
        <f t="shared" si="24"/>
        <v>Low</v>
      </c>
      <c r="J825" t="str">
        <f t="shared" si="25"/>
        <v>2021 Q1</v>
      </c>
      <c r="K825">
        <f>raw_data!H825</f>
        <v>8.84</v>
      </c>
      <c r="L825" s="13">
        <f>raw_data!I825</f>
        <v>5.77</v>
      </c>
      <c r="M825" s="13">
        <f>raw_data!J825</f>
        <v>3.08</v>
      </c>
    </row>
    <row r="826" spans="1:13" x14ac:dyDescent="0.2">
      <c r="A826" t="str">
        <f>raw_data!A826</f>
        <v>2021Q1</v>
      </c>
      <c r="B826" t="str">
        <f>raw_data!B826</f>
        <v>Victoria</v>
      </c>
      <c r="C826" t="str">
        <f>raw_data!C826</f>
        <v>Education and Training</v>
      </c>
      <c r="D826">
        <f>raw_data!D826</f>
        <v>6.45</v>
      </c>
      <c r="E826">
        <f>raw_data!E826</f>
        <v>36.54</v>
      </c>
      <c r="F826">
        <f>raw_data!F826</f>
        <v>1.77</v>
      </c>
      <c r="G826">
        <f>raw_data!G826</f>
        <v>14.07</v>
      </c>
      <c r="H826">
        <f>(raw_data!D826*weights!$B$2)+(raw_data!E826*weights!$B$3)+(raw_data!F826*weights!$B$4)</f>
        <v>14.073</v>
      </c>
      <c r="I826" t="str">
        <f t="shared" si="24"/>
        <v>Low</v>
      </c>
      <c r="J826" t="str">
        <f t="shared" si="25"/>
        <v>2021 Q1</v>
      </c>
      <c r="K826">
        <f>raw_data!H826</f>
        <v>2.58</v>
      </c>
      <c r="L826" s="13">
        <f>raw_data!I826</f>
        <v>10.96</v>
      </c>
      <c r="M826" s="13">
        <f>raw_data!J826</f>
        <v>0.53</v>
      </c>
    </row>
    <row r="827" spans="1:13" x14ac:dyDescent="0.2">
      <c r="A827" t="str">
        <f>raw_data!A827</f>
        <v>2021Q1</v>
      </c>
      <c r="B827" t="str">
        <f>raw_data!B827</f>
        <v>Victoria</v>
      </c>
      <c r="C827" t="str">
        <f>raw_data!C827</f>
        <v>Health Care and Social Assistance</v>
      </c>
      <c r="D827">
        <f>raw_data!D827</f>
        <v>21.54</v>
      </c>
      <c r="E827">
        <f>raw_data!E827</f>
        <v>26.92</v>
      </c>
      <c r="F827">
        <f>raw_data!F827</f>
        <v>15.66</v>
      </c>
      <c r="G827">
        <f>raw_data!G827</f>
        <v>21.39</v>
      </c>
      <c r="H827">
        <f>(raw_data!D827*weights!$B$2)+(raw_data!E827*weights!$B$3)+(raw_data!F827*weights!$B$4)</f>
        <v>21.39</v>
      </c>
      <c r="I827" t="str">
        <f t="shared" si="24"/>
        <v>Low</v>
      </c>
      <c r="J827" t="str">
        <f t="shared" si="25"/>
        <v>2021 Q1</v>
      </c>
      <c r="K827">
        <f>raw_data!H827</f>
        <v>8.6199999999999992</v>
      </c>
      <c r="L827" s="13">
        <f>raw_data!I827</f>
        <v>8.08</v>
      </c>
      <c r="M827" s="13">
        <f>raw_data!J827</f>
        <v>4.7</v>
      </c>
    </row>
    <row r="828" spans="1:13" x14ac:dyDescent="0.2">
      <c r="A828" t="str">
        <f>raw_data!A828</f>
        <v>2021Q1</v>
      </c>
      <c r="B828" t="str">
        <f>raw_data!B828</f>
        <v>Victoria</v>
      </c>
      <c r="C828" t="str">
        <f>raw_data!C828</f>
        <v>Manufacturing</v>
      </c>
      <c r="D828">
        <f>raw_data!D828</f>
        <v>15.73</v>
      </c>
      <c r="E828">
        <f>raw_data!E828</f>
        <v>23.08</v>
      </c>
      <c r="F828">
        <f>raw_data!F828</f>
        <v>5.76</v>
      </c>
      <c r="G828">
        <f>raw_data!G828</f>
        <v>14.94</v>
      </c>
      <c r="H828">
        <f>(raw_data!D828*weights!$B$2)+(raw_data!E828*weights!$B$3)+(raw_data!F828*weights!$B$4)</f>
        <v>14.944000000000001</v>
      </c>
      <c r="I828" t="str">
        <f t="shared" si="24"/>
        <v>Low</v>
      </c>
      <c r="J828" t="str">
        <f t="shared" si="25"/>
        <v>2021 Q1</v>
      </c>
      <c r="K828">
        <f>raw_data!H828</f>
        <v>6.29</v>
      </c>
      <c r="L828" s="13">
        <f>raw_data!I828</f>
        <v>6.92</v>
      </c>
      <c r="M828" s="13">
        <f>raw_data!J828</f>
        <v>1.73</v>
      </c>
    </row>
    <row r="829" spans="1:13" x14ac:dyDescent="0.2">
      <c r="A829" t="str">
        <f>raw_data!A829</f>
        <v>2021Q1</v>
      </c>
      <c r="B829" t="str">
        <f>raw_data!B829</f>
        <v>Victoria</v>
      </c>
      <c r="C829" t="str">
        <f>raw_data!C829</f>
        <v>Professional, Scientific and Technical Services</v>
      </c>
      <c r="D829">
        <f>raw_data!D829</f>
        <v>25.28</v>
      </c>
      <c r="E829">
        <f>raw_data!E829</f>
        <v>25</v>
      </c>
      <c r="F829">
        <f>raw_data!F829</f>
        <v>26.17</v>
      </c>
      <c r="G829">
        <f>raw_data!G829</f>
        <v>25.46</v>
      </c>
      <c r="H829">
        <f>(raw_data!D829*weights!$B$2)+(raw_data!E829*weights!$B$3)+(raw_data!F829*weights!$B$4)</f>
        <v>25.463000000000001</v>
      </c>
      <c r="I829" t="str">
        <f t="shared" si="24"/>
        <v>Moderate</v>
      </c>
      <c r="J829" t="str">
        <f t="shared" si="25"/>
        <v>2021 Q1</v>
      </c>
      <c r="K829">
        <f>raw_data!H829</f>
        <v>10.11</v>
      </c>
      <c r="L829" s="13">
        <f>raw_data!I829</f>
        <v>7.5</v>
      </c>
      <c r="M829" s="13">
        <f>raw_data!J829</f>
        <v>7.85</v>
      </c>
    </row>
    <row r="830" spans="1:13" x14ac:dyDescent="0.2">
      <c r="A830" t="str">
        <f>raw_data!A830</f>
        <v>2021Q2</v>
      </c>
      <c r="B830" t="str">
        <f>raw_data!B830</f>
        <v>New South Wales</v>
      </c>
      <c r="C830" t="str">
        <f>raw_data!C830</f>
        <v>Accommodation and Food Services</v>
      </c>
      <c r="D830">
        <f>raw_data!D830</f>
        <v>49.81</v>
      </c>
      <c r="E830">
        <f>raw_data!E830</f>
        <v>26.92</v>
      </c>
      <c r="F830">
        <f>raw_data!F830</f>
        <v>11.34</v>
      </c>
      <c r="G830">
        <f>raw_data!G830</f>
        <v>31.4</v>
      </c>
      <c r="H830">
        <f>(raw_data!D830*weights!$B$2)+(raw_data!E830*weights!$B$3)+(raw_data!F830*weights!$B$4)</f>
        <v>31.402000000000005</v>
      </c>
      <c r="I830" t="str">
        <f t="shared" si="24"/>
        <v>Moderate</v>
      </c>
      <c r="J830" t="str">
        <f t="shared" si="25"/>
        <v>2021 Q2</v>
      </c>
      <c r="K830">
        <f>raw_data!H830</f>
        <v>19.920000000000002</v>
      </c>
      <c r="L830" s="13">
        <f>raw_data!I830</f>
        <v>8.08</v>
      </c>
      <c r="M830" s="13">
        <f>raw_data!J830</f>
        <v>3.4</v>
      </c>
    </row>
    <row r="831" spans="1:13" x14ac:dyDescent="0.2">
      <c r="A831" t="str">
        <f>raw_data!A831</f>
        <v>2021Q2</v>
      </c>
      <c r="B831" t="str">
        <f>raw_data!B831</f>
        <v>New South Wales</v>
      </c>
      <c r="C831" t="str">
        <f>raw_data!C831</f>
        <v>Construction</v>
      </c>
      <c r="D831">
        <f>raw_data!D831</f>
        <v>22.55</v>
      </c>
      <c r="E831">
        <f>raw_data!E831</f>
        <v>36.54</v>
      </c>
      <c r="F831">
        <f>raw_data!F831</f>
        <v>12.22</v>
      </c>
      <c r="G831">
        <f>raw_data!G831</f>
        <v>23.65</v>
      </c>
      <c r="H831">
        <f>(raw_data!D831*weights!$B$2)+(raw_data!E831*weights!$B$3)+(raw_data!F831*weights!$B$4)</f>
        <v>23.648</v>
      </c>
      <c r="I831" t="str">
        <f t="shared" si="24"/>
        <v>Low</v>
      </c>
      <c r="J831" t="str">
        <f t="shared" si="25"/>
        <v>2021 Q2</v>
      </c>
      <c r="K831">
        <f>raw_data!H831</f>
        <v>9.02</v>
      </c>
      <c r="L831" s="13">
        <f>raw_data!I831</f>
        <v>10.96</v>
      </c>
      <c r="M831" s="13">
        <f>raw_data!J831</f>
        <v>3.67</v>
      </c>
    </row>
    <row r="832" spans="1:13" x14ac:dyDescent="0.2">
      <c r="A832" t="str">
        <f>raw_data!A832</f>
        <v>2021Q2</v>
      </c>
      <c r="B832" t="str">
        <f>raw_data!B832</f>
        <v>New South Wales</v>
      </c>
      <c r="C832" t="str">
        <f>raw_data!C832</f>
        <v>Education and Training</v>
      </c>
      <c r="D832">
        <f>raw_data!D832</f>
        <v>5.73</v>
      </c>
      <c r="E832">
        <f>raw_data!E832</f>
        <v>30.77</v>
      </c>
      <c r="F832">
        <f>raw_data!F832</f>
        <v>11.5</v>
      </c>
      <c r="G832">
        <f>raw_data!G832</f>
        <v>14.97</v>
      </c>
      <c r="H832">
        <f>(raw_data!D832*weights!$B$2)+(raw_data!E832*weights!$B$3)+(raw_data!F832*weights!$B$4)</f>
        <v>14.972999999999999</v>
      </c>
      <c r="I832" t="str">
        <f t="shared" si="24"/>
        <v>Low</v>
      </c>
      <c r="J832" t="str">
        <f t="shared" si="25"/>
        <v>2021 Q2</v>
      </c>
      <c r="K832">
        <f>raw_data!H832</f>
        <v>2.29</v>
      </c>
      <c r="L832" s="13">
        <f>raw_data!I832</f>
        <v>9.23</v>
      </c>
      <c r="M832" s="13">
        <f>raw_data!J832</f>
        <v>3.45</v>
      </c>
    </row>
    <row r="833" spans="1:13" x14ac:dyDescent="0.2">
      <c r="A833" t="str">
        <f>raw_data!A833</f>
        <v>2021Q2</v>
      </c>
      <c r="B833" t="str">
        <f>raw_data!B833</f>
        <v>New South Wales</v>
      </c>
      <c r="C833" t="str">
        <f>raw_data!C833</f>
        <v>Health Care and Social Assistance</v>
      </c>
      <c r="D833">
        <f>raw_data!D833</f>
        <v>21.75</v>
      </c>
      <c r="E833">
        <f>raw_data!E833</f>
        <v>28.85</v>
      </c>
      <c r="F833">
        <f>raw_data!F833</f>
        <v>28.46</v>
      </c>
      <c r="G833">
        <f>raw_data!G833</f>
        <v>25.89</v>
      </c>
      <c r="H833">
        <f>(raw_data!D833*weights!$B$2)+(raw_data!E833*weights!$B$3)+(raw_data!F833*weights!$B$4)</f>
        <v>25.893000000000001</v>
      </c>
      <c r="I833" t="str">
        <f t="shared" si="24"/>
        <v>Moderate</v>
      </c>
      <c r="J833" t="str">
        <f t="shared" si="25"/>
        <v>2021 Q2</v>
      </c>
      <c r="K833">
        <f>raw_data!H833</f>
        <v>8.6999999999999993</v>
      </c>
      <c r="L833" s="13">
        <f>raw_data!I833</f>
        <v>8.65</v>
      </c>
      <c r="M833" s="13">
        <f>raw_data!J833</f>
        <v>8.5399999999999991</v>
      </c>
    </row>
    <row r="834" spans="1:13" x14ac:dyDescent="0.2">
      <c r="A834" t="str">
        <f>raw_data!A834</f>
        <v>2021Q2</v>
      </c>
      <c r="B834" t="str">
        <f>raw_data!B834</f>
        <v>New South Wales</v>
      </c>
      <c r="C834" t="str">
        <f>raw_data!C834</f>
        <v>Manufacturing</v>
      </c>
      <c r="D834">
        <f>raw_data!D834</f>
        <v>20.02</v>
      </c>
      <c r="E834">
        <f>raw_data!E834</f>
        <v>26.92</v>
      </c>
      <c r="F834">
        <f>raw_data!F834</f>
        <v>8.34</v>
      </c>
      <c r="G834">
        <f>raw_data!G834</f>
        <v>18.59</v>
      </c>
      <c r="H834">
        <f>(raw_data!D834*weights!$B$2)+(raw_data!E834*weights!$B$3)+(raw_data!F834*weights!$B$4)</f>
        <v>18.586000000000002</v>
      </c>
      <c r="I834" t="str">
        <f t="shared" si="24"/>
        <v>Low</v>
      </c>
      <c r="J834" t="str">
        <f t="shared" si="25"/>
        <v>2021 Q2</v>
      </c>
      <c r="K834">
        <f>raw_data!H834</f>
        <v>8.01</v>
      </c>
      <c r="L834" s="13">
        <f>raw_data!I834</f>
        <v>8.08</v>
      </c>
      <c r="M834" s="13">
        <f>raw_data!J834</f>
        <v>2.5</v>
      </c>
    </row>
    <row r="835" spans="1:13" x14ac:dyDescent="0.2">
      <c r="A835" t="str">
        <f>raw_data!A835</f>
        <v>2021Q2</v>
      </c>
      <c r="B835" t="str">
        <f>raw_data!B835</f>
        <v>New South Wales</v>
      </c>
      <c r="C835" t="str">
        <f>raw_data!C835</f>
        <v>Professional, Scientific and Technical Services</v>
      </c>
      <c r="D835">
        <f>raw_data!D835</f>
        <v>18.72</v>
      </c>
      <c r="E835">
        <f>raw_data!E835</f>
        <v>42.31</v>
      </c>
      <c r="F835">
        <f>raw_data!F835</f>
        <v>16.489999999999998</v>
      </c>
      <c r="G835">
        <f>raw_data!G835</f>
        <v>25.13</v>
      </c>
      <c r="H835">
        <f>(raw_data!D835*weights!$B$2)+(raw_data!E835*weights!$B$3)+(raw_data!F835*weights!$B$4)</f>
        <v>25.127999999999997</v>
      </c>
      <c r="I835" t="str">
        <f t="shared" ref="I835:I898" si="26">IF(H835&gt;=60,"Critical",IF(H835&gt;=45,"High",IF(H835&gt;=25,"Moderate","Low")))</f>
        <v>Moderate</v>
      </c>
      <c r="J835" t="str">
        <f t="shared" ref="J835:J898" si="27">LEFT(A835,4)&amp;" "&amp;RIGHT(A835,2)</f>
        <v>2021 Q2</v>
      </c>
      <c r="K835">
        <f>raw_data!H835</f>
        <v>7.49</v>
      </c>
      <c r="L835" s="13">
        <f>raw_data!I835</f>
        <v>12.69</v>
      </c>
      <c r="M835" s="13">
        <f>raw_data!J835</f>
        <v>4.95</v>
      </c>
    </row>
    <row r="836" spans="1:13" x14ac:dyDescent="0.2">
      <c r="A836" t="str">
        <f>raw_data!A836</f>
        <v>2021Q2</v>
      </c>
      <c r="B836" t="str">
        <f>raw_data!B836</f>
        <v>Queensland</v>
      </c>
      <c r="C836" t="str">
        <f>raw_data!C836</f>
        <v>Accommodation and Food Services</v>
      </c>
      <c r="D836">
        <f>raw_data!D836</f>
        <v>61.31</v>
      </c>
      <c r="E836">
        <f>raw_data!E836</f>
        <v>26.92</v>
      </c>
      <c r="F836">
        <f>raw_data!F836</f>
        <v>13.55</v>
      </c>
      <c r="G836">
        <f>raw_data!G836</f>
        <v>36.67</v>
      </c>
      <c r="H836">
        <f>(raw_data!D836*weights!$B$2)+(raw_data!E836*weights!$B$3)+(raw_data!F836*weights!$B$4)</f>
        <v>36.664999999999999</v>
      </c>
      <c r="I836" t="str">
        <f t="shared" si="26"/>
        <v>Moderate</v>
      </c>
      <c r="J836" t="str">
        <f t="shared" si="27"/>
        <v>2021 Q2</v>
      </c>
      <c r="K836">
        <f>raw_data!H836</f>
        <v>24.53</v>
      </c>
      <c r="L836" s="13">
        <f>raw_data!I836</f>
        <v>8.08</v>
      </c>
      <c r="M836" s="13">
        <f>raw_data!J836</f>
        <v>4.07</v>
      </c>
    </row>
    <row r="837" spans="1:13" x14ac:dyDescent="0.2">
      <c r="A837" t="str">
        <f>raw_data!A837</f>
        <v>2021Q2</v>
      </c>
      <c r="B837" t="str">
        <f>raw_data!B837</f>
        <v>Queensland</v>
      </c>
      <c r="C837" t="str">
        <f>raw_data!C837</f>
        <v>Construction</v>
      </c>
      <c r="D837">
        <f>raw_data!D837</f>
        <v>34.85</v>
      </c>
      <c r="E837">
        <f>raw_data!E837</f>
        <v>36.54</v>
      </c>
      <c r="F837">
        <f>raw_data!F837</f>
        <v>18.8</v>
      </c>
      <c r="G837">
        <f>raw_data!G837</f>
        <v>30.54</v>
      </c>
      <c r="H837">
        <f>(raw_data!D837*weights!$B$2)+(raw_data!E837*weights!$B$3)+(raw_data!F837*weights!$B$4)</f>
        <v>30.542000000000002</v>
      </c>
      <c r="I837" t="str">
        <f t="shared" si="26"/>
        <v>Moderate</v>
      </c>
      <c r="J837" t="str">
        <f t="shared" si="27"/>
        <v>2021 Q2</v>
      </c>
      <c r="K837">
        <f>raw_data!H837</f>
        <v>13.94</v>
      </c>
      <c r="L837" s="13">
        <f>raw_data!I837</f>
        <v>10.96</v>
      </c>
      <c r="M837" s="13">
        <f>raw_data!J837</f>
        <v>5.64</v>
      </c>
    </row>
    <row r="838" spans="1:13" x14ac:dyDescent="0.2">
      <c r="A838" t="str">
        <f>raw_data!A838</f>
        <v>2021Q2</v>
      </c>
      <c r="B838" t="str">
        <f>raw_data!B838</f>
        <v>Queensland</v>
      </c>
      <c r="C838" t="str">
        <f>raw_data!C838</f>
        <v>Education and Training</v>
      </c>
      <c r="D838">
        <f>raw_data!D838</f>
        <v>11.84</v>
      </c>
      <c r="E838">
        <f>raw_data!E838</f>
        <v>30.77</v>
      </c>
      <c r="F838">
        <f>raw_data!F838</f>
        <v>10.85</v>
      </c>
      <c r="G838">
        <f>raw_data!G838</f>
        <v>17.22</v>
      </c>
      <c r="H838">
        <f>(raw_data!D838*weights!$B$2)+(raw_data!E838*weights!$B$3)+(raw_data!F838*weights!$B$4)</f>
        <v>17.221999999999998</v>
      </c>
      <c r="I838" t="str">
        <f t="shared" si="26"/>
        <v>Low</v>
      </c>
      <c r="J838" t="str">
        <f t="shared" si="27"/>
        <v>2021 Q2</v>
      </c>
      <c r="K838">
        <f>raw_data!H838</f>
        <v>4.74</v>
      </c>
      <c r="L838" s="13">
        <f>raw_data!I838</f>
        <v>9.23</v>
      </c>
      <c r="M838" s="13">
        <f>raw_data!J838</f>
        <v>3.25</v>
      </c>
    </row>
    <row r="839" spans="1:13" x14ac:dyDescent="0.2">
      <c r="A839" t="str">
        <f>raw_data!A839</f>
        <v>2021Q2</v>
      </c>
      <c r="B839" t="str">
        <f>raw_data!B839</f>
        <v>Queensland</v>
      </c>
      <c r="C839" t="str">
        <f>raw_data!C839</f>
        <v>Health Care and Social Assistance</v>
      </c>
      <c r="D839">
        <f>raw_data!D839</f>
        <v>33.65</v>
      </c>
      <c r="E839">
        <f>raw_data!E839</f>
        <v>28.85</v>
      </c>
      <c r="F839">
        <f>raw_data!F839</f>
        <v>34.39</v>
      </c>
      <c r="G839">
        <f>raw_data!G839</f>
        <v>32.43</v>
      </c>
      <c r="H839">
        <f>(raw_data!D839*weights!$B$2)+(raw_data!E839*weights!$B$3)+(raw_data!F839*weights!$B$4)</f>
        <v>32.432000000000002</v>
      </c>
      <c r="I839" t="str">
        <f t="shared" si="26"/>
        <v>Moderate</v>
      </c>
      <c r="J839" t="str">
        <f t="shared" si="27"/>
        <v>2021 Q2</v>
      </c>
      <c r="K839">
        <f>raw_data!H839</f>
        <v>13.46</v>
      </c>
      <c r="L839" s="13">
        <f>raw_data!I839</f>
        <v>8.65</v>
      </c>
      <c r="M839" s="13">
        <f>raw_data!J839</f>
        <v>10.32</v>
      </c>
    </row>
    <row r="840" spans="1:13" x14ac:dyDescent="0.2">
      <c r="A840" t="str">
        <f>raw_data!A840</f>
        <v>2021Q2</v>
      </c>
      <c r="B840" t="str">
        <f>raw_data!B840</f>
        <v>Queensland</v>
      </c>
      <c r="C840" t="str">
        <f>raw_data!C840</f>
        <v>Manufacturing</v>
      </c>
      <c r="D840">
        <f>raw_data!D840</f>
        <v>28.43</v>
      </c>
      <c r="E840">
        <f>raw_data!E840</f>
        <v>26.92</v>
      </c>
      <c r="F840">
        <f>raw_data!F840</f>
        <v>15.16</v>
      </c>
      <c r="G840">
        <f>raw_data!G840</f>
        <v>23.99</v>
      </c>
      <c r="H840">
        <f>(raw_data!D840*weights!$B$2)+(raw_data!E840*weights!$B$3)+(raw_data!F840*weights!$B$4)</f>
        <v>23.996000000000002</v>
      </c>
      <c r="I840" t="str">
        <f t="shared" si="26"/>
        <v>Low</v>
      </c>
      <c r="J840" t="str">
        <f t="shared" si="27"/>
        <v>2021 Q2</v>
      </c>
      <c r="K840">
        <f>raw_data!H840</f>
        <v>11.37</v>
      </c>
      <c r="L840" s="13">
        <f>raw_data!I840</f>
        <v>8.08</v>
      </c>
      <c r="M840" s="13">
        <f>raw_data!J840</f>
        <v>4.55</v>
      </c>
    </row>
    <row r="841" spans="1:13" x14ac:dyDescent="0.2">
      <c r="A841" t="str">
        <f>raw_data!A841</f>
        <v>2021Q2</v>
      </c>
      <c r="B841" t="str">
        <f>raw_data!B841</f>
        <v>Queensland</v>
      </c>
      <c r="C841" t="str">
        <f>raw_data!C841</f>
        <v>Professional, Scientific and Technical Services</v>
      </c>
      <c r="D841">
        <f>raw_data!D841</f>
        <v>43.8</v>
      </c>
      <c r="E841">
        <f>raw_data!E841</f>
        <v>42.31</v>
      </c>
      <c r="F841">
        <f>raw_data!F841</f>
        <v>36.08</v>
      </c>
      <c r="G841">
        <f>raw_data!G841</f>
        <v>41.04</v>
      </c>
      <c r="H841">
        <f>(raw_data!D841*weights!$B$2)+(raw_data!E841*weights!$B$3)+(raw_data!F841*weights!$B$4)</f>
        <v>41.036999999999999</v>
      </c>
      <c r="I841" t="str">
        <f t="shared" si="26"/>
        <v>Moderate</v>
      </c>
      <c r="J841" t="str">
        <f t="shared" si="27"/>
        <v>2021 Q2</v>
      </c>
      <c r="K841">
        <f>raw_data!H841</f>
        <v>17.52</v>
      </c>
      <c r="L841" s="13">
        <f>raw_data!I841</f>
        <v>12.69</v>
      </c>
      <c r="M841" s="13">
        <f>raw_data!J841</f>
        <v>10.82</v>
      </c>
    </row>
    <row r="842" spans="1:13" x14ac:dyDescent="0.2">
      <c r="A842" t="str">
        <f>raw_data!A842</f>
        <v>2021Q2</v>
      </c>
      <c r="B842" t="str">
        <f>raw_data!B842</f>
        <v>Victoria</v>
      </c>
      <c r="C842" t="str">
        <f>raw_data!C842</f>
        <v>Accommodation and Food Services</v>
      </c>
      <c r="D842">
        <f>raw_data!D842</f>
        <v>56.54</v>
      </c>
      <c r="E842">
        <f>raw_data!E842</f>
        <v>26.92</v>
      </c>
      <c r="F842">
        <f>raw_data!F842</f>
        <v>17.47</v>
      </c>
      <c r="G842">
        <f>raw_data!G842</f>
        <v>35.93</v>
      </c>
      <c r="H842">
        <f>(raw_data!D842*weights!$B$2)+(raw_data!E842*weights!$B$3)+(raw_data!F842*weights!$B$4)</f>
        <v>35.933</v>
      </c>
      <c r="I842" t="str">
        <f t="shared" si="26"/>
        <v>Moderate</v>
      </c>
      <c r="J842" t="str">
        <f t="shared" si="27"/>
        <v>2021 Q2</v>
      </c>
      <c r="K842">
        <f>raw_data!H842</f>
        <v>22.61</v>
      </c>
      <c r="L842" s="13">
        <f>raw_data!I842</f>
        <v>8.08</v>
      </c>
      <c r="M842" s="13">
        <f>raw_data!J842</f>
        <v>5.24</v>
      </c>
    </row>
    <row r="843" spans="1:13" x14ac:dyDescent="0.2">
      <c r="A843" t="str">
        <f>raw_data!A843</f>
        <v>2021Q2</v>
      </c>
      <c r="B843" t="str">
        <f>raw_data!B843</f>
        <v>Victoria</v>
      </c>
      <c r="C843" t="str">
        <f>raw_data!C843</f>
        <v>Construction</v>
      </c>
      <c r="D843">
        <f>raw_data!D843</f>
        <v>25.07</v>
      </c>
      <c r="E843">
        <f>raw_data!E843</f>
        <v>36.54</v>
      </c>
      <c r="F843">
        <f>raw_data!F843</f>
        <v>16.36</v>
      </c>
      <c r="G843">
        <f>raw_data!G843</f>
        <v>25.9</v>
      </c>
      <c r="H843">
        <f>(raw_data!D843*weights!$B$2)+(raw_data!E843*weights!$B$3)+(raw_data!F843*weights!$B$4)</f>
        <v>25.898000000000003</v>
      </c>
      <c r="I843" t="str">
        <f t="shared" si="26"/>
        <v>Moderate</v>
      </c>
      <c r="J843" t="str">
        <f t="shared" si="27"/>
        <v>2021 Q2</v>
      </c>
      <c r="K843">
        <f>raw_data!H843</f>
        <v>10.029999999999999</v>
      </c>
      <c r="L843" s="13">
        <f>raw_data!I843</f>
        <v>10.96</v>
      </c>
      <c r="M843" s="13">
        <f>raw_data!J843</f>
        <v>4.91</v>
      </c>
    </row>
    <row r="844" spans="1:13" x14ac:dyDescent="0.2">
      <c r="A844" t="str">
        <f>raw_data!A844</f>
        <v>2021Q2</v>
      </c>
      <c r="B844" t="str">
        <f>raw_data!B844</f>
        <v>Victoria</v>
      </c>
      <c r="C844" t="str">
        <f>raw_data!C844</f>
        <v>Education and Training</v>
      </c>
      <c r="D844">
        <f>raw_data!D844</f>
        <v>8.07</v>
      </c>
      <c r="E844">
        <f>raw_data!E844</f>
        <v>30.77</v>
      </c>
      <c r="F844">
        <f>raw_data!F844</f>
        <v>5.52</v>
      </c>
      <c r="G844">
        <f>raw_data!G844</f>
        <v>14.11</v>
      </c>
      <c r="H844">
        <f>(raw_data!D844*weights!$B$2)+(raw_data!E844*weights!$B$3)+(raw_data!F844*weights!$B$4)</f>
        <v>14.115</v>
      </c>
      <c r="I844" t="str">
        <f t="shared" si="26"/>
        <v>Low</v>
      </c>
      <c r="J844" t="str">
        <f t="shared" si="27"/>
        <v>2021 Q2</v>
      </c>
      <c r="K844">
        <f>raw_data!H844</f>
        <v>3.23</v>
      </c>
      <c r="L844" s="13">
        <f>raw_data!I844</f>
        <v>9.23</v>
      </c>
      <c r="M844" s="13">
        <f>raw_data!J844</f>
        <v>1.66</v>
      </c>
    </row>
    <row r="845" spans="1:13" x14ac:dyDescent="0.2">
      <c r="A845" t="str">
        <f>raw_data!A845</f>
        <v>2021Q2</v>
      </c>
      <c r="B845" t="str">
        <f>raw_data!B845</f>
        <v>Victoria</v>
      </c>
      <c r="C845" t="str">
        <f>raw_data!C845</f>
        <v>Health Care and Social Assistance</v>
      </c>
      <c r="D845">
        <f>raw_data!D845</f>
        <v>26.83</v>
      </c>
      <c r="E845">
        <f>raw_data!E845</f>
        <v>28.85</v>
      </c>
      <c r="F845">
        <f>raw_data!F845</f>
        <v>31.86</v>
      </c>
      <c r="G845">
        <f>raw_data!G845</f>
        <v>28.94</v>
      </c>
      <c r="H845">
        <f>(raw_data!D845*weights!$B$2)+(raw_data!E845*weights!$B$3)+(raw_data!F845*weights!$B$4)</f>
        <v>28.945</v>
      </c>
      <c r="I845" t="str">
        <f t="shared" si="26"/>
        <v>Moderate</v>
      </c>
      <c r="J845" t="str">
        <f t="shared" si="27"/>
        <v>2021 Q2</v>
      </c>
      <c r="K845">
        <f>raw_data!H845</f>
        <v>10.73</v>
      </c>
      <c r="L845" s="13">
        <f>raw_data!I845</f>
        <v>8.65</v>
      </c>
      <c r="M845" s="13">
        <f>raw_data!J845</f>
        <v>9.56</v>
      </c>
    </row>
    <row r="846" spans="1:13" x14ac:dyDescent="0.2">
      <c r="A846" t="str">
        <f>raw_data!A846</f>
        <v>2021Q2</v>
      </c>
      <c r="B846" t="str">
        <f>raw_data!B846</f>
        <v>Victoria</v>
      </c>
      <c r="C846" t="str">
        <f>raw_data!C846</f>
        <v>Manufacturing</v>
      </c>
      <c r="D846">
        <f>raw_data!D846</f>
        <v>19.84</v>
      </c>
      <c r="E846">
        <f>raw_data!E846</f>
        <v>26.92</v>
      </c>
      <c r="F846">
        <f>raw_data!F846</f>
        <v>14.91</v>
      </c>
      <c r="G846">
        <f>raw_data!G846</f>
        <v>20.48</v>
      </c>
      <c r="H846">
        <f>(raw_data!D846*weights!$B$2)+(raw_data!E846*weights!$B$3)+(raw_data!F846*weights!$B$4)</f>
        <v>20.484999999999999</v>
      </c>
      <c r="I846" t="str">
        <f t="shared" si="26"/>
        <v>Low</v>
      </c>
      <c r="J846" t="str">
        <f t="shared" si="27"/>
        <v>2021 Q2</v>
      </c>
      <c r="K846">
        <f>raw_data!H846</f>
        <v>7.94</v>
      </c>
      <c r="L846" s="13">
        <f>raw_data!I846</f>
        <v>8.08</v>
      </c>
      <c r="M846" s="13">
        <f>raw_data!J846</f>
        <v>4.47</v>
      </c>
    </row>
    <row r="847" spans="1:13" x14ac:dyDescent="0.2">
      <c r="A847" t="str">
        <f>raw_data!A847</f>
        <v>2021Q2</v>
      </c>
      <c r="B847" t="str">
        <f>raw_data!B847</f>
        <v>Victoria</v>
      </c>
      <c r="C847" t="str">
        <f>raw_data!C847</f>
        <v>Professional, Scientific and Technical Services</v>
      </c>
      <c r="D847">
        <f>raw_data!D847</f>
        <v>25.07</v>
      </c>
      <c r="E847">
        <f>raw_data!E847</f>
        <v>42.31</v>
      </c>
      <c r="F847">
        <f>raw_data!F847</f>
        <v>37.4</v>
      </c>
      <c r="G847">
        <f>raw_data!G847</f>
        <v>33.94</v>
      </c>
      <c r="H847">
        <f>(raw_data!D847*weights!$B$2)+(raw_data!E847*weights!$B$3)+(raw_data!F847*weights!$B$4)</f>
        <v>33.941000000000003</v>
      </c>
      <c r="I847" t="str">
        <f t="shared" si="26"/>
        <v>Moderate</v>
      </c>
      <c r="J847" t="str">
        <f t="shared" si="27"/>
        <v>2021 Q2</v>
      </c>
      <c r="K847">
        <f>raw_data!H847</f>
        <v>10.029999999999999</v>
      </c>
      <c r="L847" s="13">
        <f>raw_data!I847</f>
        <v>12.69</v>
      </c>
      <c r="M847" s="13">
        <f>raw_data!J847</f>
        <v>11.22</v>
      </c>
    </row>
    <row r="848" spans="1:13" x14ac:dyDescent="0.2">
      <c r="A848" t="str">
        <f>raw_data!A848</f>
        <v>2021Q3</v>
      </c>
      <c r="B848" t="str">
        <f>raw_data!B848</f>
        <v>New South Wales</v>
      </c>
      <c r="C848" t="str">
        <f>raw_data!C848</f>
        <v>Accommodation and Food Services</v>
      </c>
      <c r="D848">
        <f>raw_data!D848</f>
        <v>47.4</v>
      </c>
      <c r="E848">
        <f>raw_data!E848</f>
        <v>42.31</v>
      </c>
      <c r="F848">
        <f>raw_data!F848</f>
        <v>4.7300000000000004</v>
      </c>
      <c r="G848">
        <f>raw_data!G848</f>
        <v>33.07</v>
      </c>
      <c r="H848">
        <f>(raw_data!D848*weights!$B$2)+(raw_data!E848*weights!$B$3)+(raw_data!F848*weights!$B$4)</f>
        <v>33.071999999999996</v>
      </c>
      <c r="I848" t="str">
        <f t="shared" si="26"/>
        <v>Moderate</v>
      </c>
      <c r="J848" t="str">
        <f t="shared" si="27"/>
        <v>2021 Q3</v>
      </c>
      <c r="K848">
        <f>raw_data!H848</f>
        <v>18.96</v>
      </c>
      <c r="L848" s="13">
        <f>raw_data!I848</f>
        <v>12.69</v>
      </c>
      <c r="M848" s="13">
        <f>raw_data!J848</f>
        <v>1.42</v>
      </c>
    </row>
    <row r="849" spans="1:13" x14ac:dyDescent="0.2">
      <c r="A849" t="str">
        <f>raw_data!A849</f>
        <v>2021Q3</v>
      </c>
      <c r="B849" t="str">
        <f>raw_data!B849</f>
        <v>New South Wales</v>
      </c>
      <c r="C849" t="str">
        <f>raw_data!C849</f>
        <v>Construction</v>
      </c>
      <c r="D849">
        <f>raw_data!D849</f>
        <v>19.739999999999998</v>
      </c>
      <c r="E849">
        <f>raw_data!E849</f>
        <v>44.23</v>
      </c>
      <c r="F849">
        <f>raw_data!F849</f>
        <v>12.54</v>
      </c>
      <c r="G849">
        <f>raw_data!G849</f>
        <v>24.93</v>
      </c>
      <c r="H849">
        <f>(raw_data!D849*weights!$B$2)+(raw_data!E849*weights!$B$3)+(raw_data!F849*weights!$B$4)</f>
        <v>24.927</v>
      </c>
      <c r="I849" t="str">
        <f t="shared" si="26"/>
        <v>Low</v>
      </c>
      <c r="J849" t="str">
        <f t="shared" si="27"/>
        <v>2021 Q3</v>
      </c>
      <c r="K849">
        <f>raw_data!H849</f>
        <v>7.9</v>
      </c>
      <c r="L849" s="13">
        <f>raw_data!I849</f>
        <v>13.27</v>
      </c>
      <c r="M849" s="13">
        <f>raw_data!J849</f>
        <v>3.76</v>
      </c>
    </row>
    <row r="850" spans="1:13" x14ac:dyDescent="0.2">
      <c r="A850" t="str">
        <f>raw_data!A850</f>
        <v>2021Q3</v>
      </c>
      <c r="B850" t="str">
        <f>raw_data!B850</f>
        <v>New South Wales</v>
      </c>
      <c r="C850" t="str">
        <f>raw_data!C850</f>
        <v>Education and Training</v>
      </c>
      <c r="D850">
        <f>raw_data!D850</f>
        <v>5.71</v>
      </c>
      <c r="E850">
        <f>raw_data!E850</f>
        <v>36.54</v>
      </c>
      <c r="F850">
        <f>raw_data!F850</f>
        <v>5.37</v>
      </c>
      <c r="G850">
        <f>raw_data!G850</f>
        <v>14.86</v>
      </c>
      <c r="H850">
        <f>(raw_data!D850*weights!$B$2)+(raw_data!E850*weights!$B$3)+(raw_data!F850*weights!$B$4)</f>
        <v>14.857000000000001</v>
      </c>
      <c r="I850" t="str">
        <f t="shared" si="26"/>
        <v>Low</v>
      </c>
      <c r="J850" t="str">
        <f t="shared" si="27"/>
        <v>2021 Q3</v>
      </c>
      <c r="K850">
        <f>raw_data!H850</f>
        <v>2.2799999999999998</v>
      </c>
      <c r="L850" s="13">
        <f>raw_data!I850</f>
        <v>10.96</v>
      </c>
      <c r="M850" s="13">
        <f>raw_data!J850</f>
        <v>1.61</v>
      </c>
    </row>
    <row r="851" spans="1:13" x14ac:dyDescent="0.2">
      <c r="A851" t="str">
        <f>raw_data!A851</f>
        <v>2021Q3</v>
      </c>
      <c r="B851" t="str">
        <f>raw_data!B851</f>
        <v>New South Wales</v>
      </c>
      <c r="C851" t="str">
        <f>raw_data!C851</f>
        <v>Health Care and Social Assistance</v>
      </c>
      <c r="D851">
        <f>raw_data!D851</f>
        <v>23.49</v>
      </c>
      <c r="E851">
        <f>raw_data!E851</f>
        <v>30.77</v>
      </c>
      <c r="F851">
        <f>raw_data!F851</f>
        <v>22.47</v>
      </c>
      <c r="G851">
        <f>raw_data!G851</f>
        <v>25.37</v>
      </c>
      <c r="H851">
        <f>(raw_data!D851*weights!$B$2)+(raw_data!E851*weights!$B$3)+(raw_data!F851*weights!$B$4)</f>
        <v>25.367999999999999</v>
      </c>
      <c r="I851" t="str">
        <f t="shared" si="26"/>
        <v>Moderate</v>
      </c>
      <c r="J851" t="str">
        <f t="shared" si="27"/>
        <v>2021 Q3</v>
      </c>
      <c r="K851">
        <f>raw_data!H851</f>
        <v>9.4</v>
      </c>
      <c r="L851" s="13">
        <f>raw_data!I851</f>
        <v>9.23</v>
      </c>
      <c r="M851" s="13">
        <f>raw_data!J851</f>
        <v>6.74</v>
      </c>
    </row>
    <row r="852" spans="1:13" x14ac:dyDescent="0.2">
      <c r="A852" t="str">
        <f>raw_data!A852</f>
        <v>2021Q3</v>
      </c>
      <c r="B852" t="str">
        <f>raw_data!B852</f>
        <v>New South Wales</v>
      </c>
      <c r="C852" t="str">
        <f>raw_data!C852</f>
        <v>Manufacturing</v>
      </c>
      <c r="D852">
        <f>raw_data!D852</f>
        <v>22.14</v>
      </c>
      <c r="E852">
        <f>raw_data!E852</f>
        <v>32.69</v>
      </c>
      <c r="F852">
        <f>raw_data!F852</f>
        <v>14.53</v>
      </c>
      <c r="G852">
        <f>raw_data!G852</f>
        <v>23.02</v>
      </c>
      <c r="H852">
        <f>(raw_data!D852*weights!$B$2)+(raw_data!E852*weights!$B$3)+(raw_data!F852*weights!$B$4)</f>
        <v>23.021999999999998</v>
      </c>
      <c r="I852" t="str">
        <f t="shared" si="26"/>
        <v>Low</v>
      </c>
      <c r="J852" t="str">
        <f t="shared" si="27"/>
        <v>2021 Q3</v>
      </c>
      <c r="K852">
        <f>raw_data!H852</f>
        <v>8.86</v>
      </c>
      <c r="L852" s="13">
        <f>raw_data!I852</f>
        <v>9.81</v>
      </c>
      <c r="M852" s="13">
        <f>raw_data!J852</f>
        <v>4.3600000000000003</v>
      </c>
    </row>
    <row r="853" spans="1:13" x14ac:dyDescent="0.2">
      <c r="A853" t="str">
        <f>raw_data!A853</f>
        <v>2021Q3</v>
      </c>
      <c r="B853" t="str">
        <f>raw_data!B853</f>
        <v>New South Wales</v>
      </c>
      <c r="C853" t="str">
        <f>raw_data!C853</f>
        <v>Professional, Scientific and Technical Services</v>
      </c>
      <c r="D853">
        <f>raw_data!D853</f>
        <v>19.68</v>
      </c>
      <c r="E853">
        <f>raw_data!E853</f>
        <v>59.62</v>
      </c>
      <c r="F853">
        <f>raw_data!F853</f>
        <v>15.52</v>
      </c>
      <c r="G853">
        <f>raw_data!G853</f>
        <v>30.41</v>
      </c>
      <c r="H853">
        <f>(raw_data!D853*weights!$B$2)+(raw_data!E853*weights!$B$3)+(raw_data!F853*weights!$B$4)</f>
        <v>30.413999999999998</v>
      </c>
      <c r="I853" t="str">
        <f t="shared" si="26"/>
        <v>Moderate</v>
      </c>
      <c r="J853" t="str">
        <f t="shared" si="27"/>
        <v>2021 Q3</v>
      </c>
      <c r="K853">
        <f>raw_data!H853</f>
        <v>7.87</v>
      </c>
      <c r="L853" s="13">
        <f>raw_data!I853</f>
        <v>17.88</v>
      </c>
      <c r="M853" s="13">
        <f>raw_data!J853</f>
        <v>4.66</v>
      </c>
    </row>
    <row r="854" spans="1:13" x14ac:dyDescent="0.2">
      <c r="A854" t="str">
        <f>raw_data!A854</f>
        <v>2021Q3</v>
      </c>
      <c r="B854" t="str">
        <f>raw_data!B854</f>
        <v>Queensland</v>
      </c>
      <c r="C854" t="str">
        <f>raw_data!C854</f>
        <v>Accommodation and Food Services</v>
      </c>
      <c r="D854">
        <f>raw_data!D854</f>
        <v>44.85</v>
      </c>
      <c r="E854">
        <f>raw_data!E854</f>
        <v>42.31</v>
      </c>
      <c r="F854">
        <f>raw_data!F854</f>
        <v>9.9499999999999993</v>
      </c>
      <c r="G854">
        <f>raw_data!G854</f>
        <v>33.619999999999997</v>
      </c>
      <c r="H854">
        <f>(raw_data!D854*weights!$B$2)+(raw_data!E854*weights!$B$3)+(raw_data!F854*weights!$B$4)</f>
        <v>33.618000000000002</v>
      </c>
      <c r="I854" t="str">
        <f t="shared" si="26"/>
        <v>Moderate</v>
      </c>
      <c r="J854" t="str">
        <f t="shared" si="27"/>
        <v>2021 Q3</v>
      </c>
      <c r="K854">
        <f>raw_data!H854</f>
        <v>17.940000000000001</v>
      </c>
      <c r="L854" s="13">
        <f>raw_data!I854</f>
        <v>12.69</v>
      </c>
      <c r="M854" s="13">
        <f>raw_data!J854</f>
        <v>2.98</v>
      </c>
    </row>
    <row r="855" spans="1:13" x14ac:dyDescent="0.2">
      <c r="A855" t="str">
        <f>raw_data!A855</f>
        <v>2021Q3</v>
      </c>
      <c r="B855" t="str">
        <f>raw_data!B855</f>
        <v>Queensland</v>
      </c>
      <c r="C855" t="str">
        <f>raw_data!C855</f>
        <v>Construction</v>
      </c>
      <c r="D855">
        <f>raw_data!D855</f>
        <v>25.61</v>
      </c>
      <c r="E855">
        <f>raw_data!E855</f>
        <v>44.23</v>
      </c>
      <c r="F855">
        <f>raw_data!F855</f>
        <v>12.07</v>
      </c>
      <c r="G855">
        <f>raw_data!G855</f>
        <v>27.14</v>
      </c>
      <c r="H855">
        <f>(raw_data!D855*weights!$B$2)+(raw_data!E855*weights!$B$3)+(raw_data!F855*weights!$B$4)</f>
        <v>27.133999999999997</v>
      </c>
      <c r="I855" t="str">
        <f t="shared" si="26"/>
        <v>Moderate</v>
      </c>
      <c r="J855" t="str">
        <f t="shared" si="27"/>
        <v>2021 Q3</v>
      </c>
      <c r="K855">
        <f>raw_data!H855</f>
        <v>10.25</v>
      </c>
      <c r="L855" s="13">
        <f>raw_data!I855</f>
        <v>13.27</v>
      </c>
      <c r="M855" s="13">
        <f>raw_data!J855</f>
        <v>3.62</v>
      </c>
    </row>
    <row r="856" spans="1:13" x14ac:dyDescent="0.2">
      <c r="A856" t="str">
        <f>raw_data!A856</f>
        <v>2021Q3</v>
      </c>
      <c r="B856" t="str">
        <f>raw_data!B856</f>
        <v>Queensland</v>
      </c>
      <c r="C856" t="str">
        <f>raw_data!C856</f>
        <v>Education and Training</v>
      </c>
      <c r="D856">
        <f>raw_data!D856</f>
        <v>10.67</v>
      </c>
      <c r="E856">
        <f>raw_data!E856</f>
        <v>36.54</v>
      </c>
      <c r="F856">
        <f>raw_data!F856</f>
        <v>17.53</v>
      </c>
      <c r="G856">
        <f>raw_data!G856</f>
        <v>20.49</v>
      </c>
      <c r="H856">
        <f>(raw_data!D856*weights!$B$2)+(raw_data!E856*weights!$B$3)+(raw_data!F856*weights!$B$4)</f>
        <v>20.489000000000001</v>
      </c>
      <c r="I856" t="str">
        <f t="shared" si="26"/>
        <v>Low</v>
      </c>
      <c r="J856" t="str">
        <f t="shared" si="27"/>
        <v>2021 Q3</v>
      </c>
      <c r="K856">
        <f>raw_data!H856</f>
        <v>4.2699999999999996</v>
      </c>
      <c r="L856" s="13">
        <f>raw_data!I856</f>
        <v>10.96</v>
      </c>
      <c r="M856" s="13">
        <f>raw_data!J856</f>
        <v>5.26</v>
      </c>
    </row>
    <row r="857" spans="1:13" x14ac:dyDescent="0.2">
      <c r="A857" t="str">
        <f>raw_data!A857</f>
        <v>2021Q3</v>
      </c>
      <c r="B857" t="str">
        <f>raw_data!B857</f>
        <v>Queensland</v>
      </c>
      <c r="C857" t="str">
        <f>raw_data!C857</f>
        <v>Health Care and Social Assistance</v>
      </c>
      <c r="D857">
        <f>raw_data!D857</f>
        <v>35.42</v>
      </c>
      <c r="E857">
        <f>raw_data!E857</f>
        <v>30.77</v>
      </c>
      <c r="F857">
        <f>raw_data!F857</f>
        <v>32.97</v>
      </c>
      <c r="G857">
        <f>raw_data!G857</f>
        <v>33.29</v>
      </c>
      <c r="H857">
        <f>(raw_data!D857*weights!$B$2)+(raw_data!E857*weights!$B$3)+(raw_data!F857*weights!$B$4)</f>
        <v>33.29</v>
      </c>
      <c r="I857" t="str">
        <f t="shared" si="26"/>
        <v>Moderate</v>
      </c>
      <c r="J857" t="str">
        <f t="shared" si="27"/>
        <v>2021 Q3</v>
      </c>
      <c r="K857">
        <f>raw_data!H857</f>
        <v>14.17</v>
      </c>
      <c r="L857" s="13">
        <f>raw_data!I857</f>
        <v>9.23</v>
      </c>
      <c r="M857" s="13">
        <f>raw_data!J857</f>
        <v>9.89</v>
      </c>
    </row>
    <row r="858" spans="1:13" x14ac:dyDescent="0.2">
      <c r="A858" t="str">
        <f>raw_data!A858</f>
        <v>2021Q3</v>
      </c>
      <c r="B858" t="str">
        <f>raw_data!B858</f>
        <v>Queensland</v>
      </c>
      <c r="C858" t="str">
        <f>raw_data!C858</f>
        <v>Manufacturing</v>
      </c>
      <c r="D858">
        <f>raw_data!D858</f>
        <v>30.54</v>
      </c>
      <c r="E858">
        <f>raw_data!E858</f>
        <v>32.69</v>
      </c>
      <c r="F858">
        <f>raw_data!F858</f>
        <v>14.4</v>
      </c>
      <c r="G858">
        <f>raw_data!G858</f>
        <v>26.34</v>
      </c>
      <c r="H858">
        <f>(raw_data!D858*weights!$B$2)+(raw_data!E858*weights!$B$3)+(raw_data!F858*weights!$B$4)</f>
        <v>26.343</v>
      </c>
      <c r="I858" t="str">
        <f t="shared" si="26"/>
        <v>Moderate</v>
      </c>
      <c r="J858" t="str">
        <f t="shared" si="27"/>
        <v>2021 Q3</v>
      </c>
      <c r="K858">
        <f>raw_data!H858</f>
        <v>12.22</v>
      </c>
      <c r="L858" s="13">
        <f>raw_data!I858</f>
        <v>9.81</v>
      </c>
      <c r="M858" s="13">
        <f>raw_data!J858</f>
        <v>4.32</v>
      </c>
    </row>
    <row r="859" spans="1:13" x14ac:dyDescent="0.2">
      <c r="A859" t="str">
        <f>raw_data!A859</f>
        <v>2021Q3</v>
      </c>
      <c r="B859" t="str">
        <f>raw_data!B859</f>
        <v>Queensland</v>
      </c>
      <c r="C859" t="str">
        <f>raw_data!C859</f>
        <v>Professional, Scientific and Technical Services</v>
      </c>
      <c r="D859">
        <f>raw_data!D859</f>
        <v>44.97</v>
      </c>
      <c r="E859">
        <f>raw_data!E859</f>
        <v>59.62</v>
      </c>
      <c r="F859">
        <f>raw_data!F859</f>
        <v>25.52</v>
      </c>
      <c r="G859">
        <f>raw_data!G859</f>
        <v>43.53</v>
      </c>
      <c r="H859">
        <f>(raw_data!D859*weights!$B$2)+(raw_data!E859*weights!$B$3)+(raw_data!F859*weights!$B$4)</f>
        <v>43.529999999999994</v>
      </c>
      <c r="I859" t="str">
        <f t="shared" si="26"/>
        <v>Moderate</v>
      </c>
      <c r="J859" t="str">
        <f t="shared" si="27"/>
        <v>2021 Q3</v>
      </c>
      <c r="K859">
        <f>raw_data!H859</f>
        <v>17.989999999999998</v>
      </c>
      <c r="L859" s="13">
        <f>raw_data!I859</f>
        <v>17.88</v>
      </c>
      <c r="M859" s="13">
        <f>raw_data!J859</f>
        <v>7.66</v>
      </c>
    </row>
    <row r="860" spans="1:13" x14ac:dyDescent="0.2">
      <c r="A860" t="str">
        <f>raw_data!A860</f>
        <v>2021Q3</v>
      </c>
      <c r="B860" t="str">
        <f>raw_data!B860</f>
        <v>Victoria</v>
      </c>
      <c r="C860" t="str">
        <f>raw_data!C860</f>
        <v>Accommodation and Food Services</v>
      </c>
      <c r="D860">
        <f>raw_data!D860</f>
        <v>42.37</v>
      </c>
      <c r="E860">
        <f>raw_data!E860</f>
        <v>42.31</v>
      </c>
      <c r="F860">
        <f>raw_data!F860</f>
        <v>11.17</v>
      </c>
      <c r="G860">
        <f>raw_data!G860</f>
        <v>32.99</v>
      </c>
      <c r="H860">
        <f>(raw_data!D860*weights!$B$2)+(raw_data!E860*weights!$B$3)+(raw_data!F860*weights!$B$4)</f>
        <v>32.991999999999997</v>
      </c>
      <c r="I860" t="str">
        <f t="shared" si="26"/>
        <v>Moderate</v>
      </c>
      <c r="J860" t="str">
        <f t="shared" si="27"/>
        <v>2021 Q3</v>
      </c>
      <c r="K860">
        <f>raw_data!H860</f>
        <v>16.95</v>
      </c>
      <c r="L860" s="13">
        <f>raw_data!I860</f>
        <v>12.69</v>
      </c>
      <c r="M860" s="13">
        <f>raw_data!J860</f>
        <v>3.35</v>
      </c>
    </row>
    <row r="861" spans="1:13" x14ac:dyDescent="0.2">
      <c r="A861" t="str">
        <f>raw_data!A861</f>
        <v>2021Q3</v>
      </c>
      <c r="B861" t="str">
        <f>raw_data!B861</f>
        <v>Victoria</v>
      </c>
      <c r="C861" t="str">
        <f>raw_data!C861</f>
        <v>Construction</v>
      </c>
      <c r="D861">
        <f>raw_data!D861</f>
        <v>18.760000000000002</v>
      </c>
      <c r="E861">
        <f>raw_data!E861</f>
        <v>44.23</v>
      </c>
      <c r="F861">
        <f>raw_data!F861</f>
        <v>17.940000000000001</v>
      </c>
      <c r="G861">
        <f>raw_data!G861</f>
        <v>26.16</v>
      </c>
      <c r="H861">
        <f>(raw_data!D861*weights!$B$2)+(raw_data!E861*weights!$B$3)+(raw_data!F861*weights!$B$4)</f>
        <v>26.155000000000001</v>
      </c>
      <c r="I861" t="str">
        <f t="shared" si="26"/>
        <v>Moderate</v>
      </c>
      <c r="J861" t="str">
        <f t="shared" si="27"/>
        <v>2021 Q3</v>
      </c>
      <c r="K861">
        <f>raw_data!H861</f>
        <v>7.51</v>
      </c>
      <c r="L861" s="13">
        <f>raw_data!I861</f>
        <v>13.27</v>
      </c>
      <c r="M861" s="13">
        <f>raw_data!J861</f>
        <v>5.38</v>
      </c>
    </row>
    <row r="862" spans="1:13" x14ac:dyDescent="0.2">
      <c r="A862" t="str">
        <f>raw_data!A862</f>
        <v>2021Q3</v>
      </c>
      <c r="B862" t="str">
        <f>raw_data!B862</f>
        <v>Victoria</v>
      </c>
      <c r="C862" t="str">
        <f>raw_data!C862</f>
        <v>Education and Training</v>
      </c>
      <c r="D862">
        <f>raw_data!D862</f>
        <v>7.64</v>
      </c>
      <c r="E862">
        <f>raw_data!E862</f>
        <v>36.54</v>
      </c>
      <c r="F862">
        <f>raw_data!F862</f>
        <v>10.31</v>
      </c>
      <c r="G862">
        <f>raw_data!G862</f>
        <v>17.11</v>
      </c>
      <c r="H862">
        <f>(raw_data!D862*weights!$B$2)+(raw_data!E862*weights!$B$3)+(raw_data!F862*weights!$B$4)</f>
        <v>17.111000000000001</v>
      </c>
      <c r="I862" t="str">
        <f t="shared" si="26"/>
        <v>Low</v>
      </c>
      <c r="J862" t="str">
        <f t="shared" si="27"/>
        <v>2021 Q3</v>
      </c>
      <c r="K862">
        <f>raw_data!H862</f>
        <v>3.06</v>
      </c>
      <c r="L862" s="13">
        <f>raw_data!I862</f>
        <v>10.96</v>
      </c>
      <c r="M862" s="13">
        <f>raw_data!J862</f>
        <v>3.09</v>
      </c>
    </row>
    <row r="863" spans="1:13" x14ac:dyDescent="0.2">
      <c r="A863" t="str">
        <f>raw_data!A863</f>
        <v>2021Q3</v>
      </c>
      <c r="B863" t="str">
        <f>raw_data!B863</f>
        <v>Victoria</v>
      </c>
      <c r="C863" t="str">
        <f>raw_data!C863</f>
        <v>Health Care and Social Assistance</v>
      </c>
      <c r="D863">
        <f>raw_data!D863</f>
        <v>27.65</v>
      </c>
      <c r="E863">
        <f>raw_data!E863</f>
        <v>30.77</v>
      </c>
      <c r="F863">
        <f>raw_data!F863</f>
        <v>38.380000000000003</v>
      </c>
      <c r="G863">
        <f>raw_data!G863</f>
        <v>31.8</v>
      </c>
      <c r="H863">
        <f>(raw_data!D863*weights!$B$2)+(raw_data!E863*weights!$B$3)+(raw_data!F863*weights!$B$4)</f>
        <v>31.805</v>
      </c>
      <c r="I863" t="str">
        <f t="shared" si="26"/>
        <v>Moderate</v>
      </c>
      <c r="J863" t="str">
        <f t="shared" si="27"/>
        <v>2021 Q3</v>
      </c>
      <c r="K863">
        <f>raw_data!H863</f>
        <v>11.06</v>
      </c>
      <c r="L863" s="13">
        <f>raw_data!I863</f>
        <v>9.23</v>
      </c>
      <c r="M863" s="13">
        <f>raw_data!J863</f>
        <v>11.51</v>
      </c>
    </row>
    <row r="864" spans="1:13" x14ac:dyDescent="0.2">
      <c r="A864" t="str">
        <f>raw_data!A864</f>
        <v>2021Q3</v>
      </c>
      <c r="B864" t="str">
        <f>raw_data!B864</f>
        <v>Victoria</v>
      </c>
      <c r="C864" t="str">
        <f>raw_data!C864</f>
        <v>Manufacturing</v>
      </c>
      <c r="D864">
        <f>raw_data!D864</f>
        <v>21.03</v>
      </c>
      <c r="E864">
        <f>raw_data!E864</f>
        <v>32.69</v>
      </c>
      <c r="F864">
        <f>raw_data!F864</f>
        <v>24.63</v>
      </c>
      <c r="G864">
        <f>raw_data!G864</f>
        <v>25.61</v>
      </c>
      <c r="H864">
        <f>(raw_data!D864*weights!$B$2)+(raw_data!E864*weights!$B$3)+(raw_data!F864*weights!$B$4)</f>
        <v>25.608000000000001</v>
      </c>
      <c r="I864" t="str">
        <f t="shared" si="26"/>
        <v>Moderate</v>
      </c>
      <c r="J864" t="str">
        <f t="shared" si="27"/>
        <v>2021 Q3</v>
      </c>
      <c r="K864">
        <f>raw_data!H864</f>
        <v>8.41</v>
      </c>
      <c r="L864" s="13">
        <f>raw_data!I864</f>
        <v>9.81</v>
      </c>
      <c r="M864" s="13">
        <f>raw_data!J864</f>
        <v>7.39</v>
      </c>
    </row>
    <row r="865" spans="1:13" x14ac:dyDescent="0.2">
      <c r="A865" t="str">
        <f>raw_data!A865</f>
        <v>2021Q3</v>
      </c>
      <c r="B865" t="str">
        <f>raw_data!B865</f>
        <v>Victoria</v>
      </c>
      <c r="C865" t="str">
        <f>raw_data!C865</f>
        <v>Professional, Scientific and Technical Services</v>
      </c>
      <c r="D865">
        <f>raw_data!D865</f>
        <v>25.73</v>
      </c>
      <c r="E865">
        <f>raw_data!E865</f>
        <v>59.62</v>
      </c>
      <c r="F865">
        <f>raw_data!F865</f>
        <v>38.380000000000003</v>
      </c>
      <c r="G865">
        <f>raw_data!G865</f>
        <v>39.69</v>
      </c>
      <c r="H865">
        <f>(raw_data!D865*weights!$B$2)+(raw_data!E865*weights!$B$3)+(raw_data!F865*weights!$B$4)</f>
        <v>39.692</v>
      </c>
      <c r="I865" t="str">
        <f t="shared" si="26"/>
        <v>Moderate</v>
      </c>
      <c r="J865" t="str">
        <f t="shared" si="27"/>
        <v>2021 Q3</v>
      </c>
      <c r="K865">
        <f>raw_data!H865</f>
        <v>10.29</v>
      </c>
      <c r="L865" s="13">
        <f>raw_data!I865</f>
        <v>17.88</v>
      </c>
      <c r="M865" s="13">
        <f>raw_data!J865</f>
        <v>11.51</v>
      </c>
    </row>
    <row r="866" spans="1:13" x14ac:dyDescent="0.2">
      <c r="A866" t="str">
        <f>raw_data!A866</f>
        <v>2021Q4</v>
      </c>
      <c r="B866" t="str">
        <f>raw_data!B866</f>
        <v>New South Wales</v>
      </c>
      <c r="C866" t="str">
        <f>raw_data!C866</f>
        <v>Accommodation and Food Services</v>
      </c>
      <c r="D866">
        <f>raw_data!D866</f>
        <v>63.41</v>
      </c>
      <c r="E866">
        <f>raw_data!E866</f>
        <v>61.54</v>
      </c>
      <c r="F866">
        <f>raw_data!F866</f>
        <v>12.43</v>
      </c>
      <c r="G866">
        <f>raw_data!G866</f>
        <v>47.56</v>
      </c>
      <c r="H866">
        <f>(raw_data!D866*weights!$B$2)+(raw_data!E866*weights!$B$3)+(raw_data!F866*weights!$B$4)</f>
        <v>47.555</v>
      </c>
      <c r="I866" t="str">
        <f t="shared" si="26"/>
        <v>High</v>
      </c>
      <c r="J866" t="str">
        <f t="shared" si="27"/>
        <v>2021 Q4</v>
      </c>
      <c r="K866">
        <f>raw_data!H866</f>
        <v>25.37</v>
      </c>
      <c r="L866" s="13">
        <f>raw_data!I866</f>
        <v>18.46</v>
      </c>
      <c r="M866" s="13">
        <f>raw_data!J866</f>
        <v>3.73</v>
      </c>
    </row>
    <row r="867" spans="1:13" x14ac:dyDescent="0.2">
      <c r="A867" t="str">
        <f>raw_data!A867</f>
        <v>2021Q4</v>
      </c>
      <c r="B867" t="str">
        <f>raw_data!B867</f>
        <v>New South Wales</v>
      </c>
      <c r="C867" t="str">
        <f>raw_data!C867</f>
        <v>Construction</v>
      </c>
      <c r="D867">
        <f>raw_data!D867</f>
        <v>23.26</v>
      </c>
      <c r="E867">
        <f>raw_data!E867</f>
        <v>40.380000000000003</v>
      </c>
      <c r="F867">
        <f>raw_data!F867</f>
        <v>17.02</v>
      </c>
      <c r="G867">
        <f>raw_data!G867</f>
        <v>26.53</v>
      </c>
      <c r="H867">
        <f>(raw_data!D867*weights!$B$2)+(raw_data!E867*weights!$B$3)+(raw_data!F867*weights!$B$4)</f>
        <v>26.524000000000001</v>
      </c>
      <c r="I867" t="str">
        <f t="shared" si="26"/>
        <v>Moderate</v>
      </c>
      <c r="J867" t="str">
        <f t="shared" si="27"/>
        <v>2021 Q4</v>
      </c>
      <c r="K867">
        <f>raw_data!H867</f>
        <v>9.31</v>
      </c>
      <c r="L867" s="13">
        <f>raw_data!I867</f>
        <v>12.12</v>
      </c>
      <c r="M867" s="13">
        <f>raw_data!J867</f>
        <v>5.1100000000000003</v>
      </c>
    </row>
    <row r="868" spans="1:13" x14ac:dyDescent="0.2">
      <c r="A868" t="str">
        <f>raw_data!A868</f>
        <v>2021Q4</v>
      </c>
      <c r="B868" t="str">
        <f>raw_data!B868</f>
        <v>New South Wales</v>
      </c>
      <c r="C868" t="str">
        <f>raw_data!C868</f>
        <v>Education and Training</v>
      </c>
      <c r="D868">
        <f>raw_data!D868</f>
        <v>5.9</v>
      </c>
      <c r="E868">
        <f>raw_data!E868</f>
        <v>34.619999999999997</v>
      </c>
      <c r="F868">
        <f>raw_data!F868</f>
        <v>5.91</v>
      </c>
      <c r="G868">
        <f>raw_data!G868</f>
        <v>14.52</v>
      </c>
      <c r="H868">
        <f>(raw_data!D868*weights!$B$2)+(raw_data!E868*weights!$B$3)+(raw_data!F868*weights!$B$4)</f>
        <v>14.518999999999998</v>
      </c>
      <c r="I868" t="str">
        <f t="shared" si="26"/>
        <v>Low</v>
      </c>
      <c r="J868" t="str">
        <f t="shared" si="27"/>
        <v>2021 Q4</v>
      </c>
      <c r="K868">
        <f>raw_data!H868</f>
        <v>2.36</v>
      </c>
      <c r="L868" s="13">
        <f>raw_data!I868</f>
        <v>10.38</v>
      </c>
      <c r="M868" s="13">
        <f>raw_data!J868</f>
        <v>1.77</v>
      </c>
    </row>
    <row r="869" spans="1:13" x14ac:dyDescent="0.2">
      <c r="A869" t="str">
        <f>raw_data!A869</f>
        <v>2021Q4</v>
      </c>
      <c r="B869" t="str">
        <f>raw_data!B869</f>
        <v>New South Wales</v>
      </c>
      <c r="C869" t="str">
        <f>raw_data!C869</f>
        <v>Health Care and Social Assistance</v>
      </c>
      <c r="D869">
        <f>raw_data!D869</f>
        <v>27.9</v>
      </c>
      <c r="E869">
        <f>raw_data!E869</f>
        <v>40.380000000000003</v>
      </c>
      <c r="F869">
        <f>raw_data!F869</f>
        <v>26.52</v>
      </c>
      <c r="G869">
        <f>raw_data!G869</f>
        <v>31.23</v>
      </c>
      <c r="H869">
        <f>(raw_data!D869*weights!$B$2)+(raw_data!E869*weights!$B$3)+(raw_data!F869*weights!$B$4)</f>
        <v>31.23</v>
      </c>
      <c r="I869" t="str">
        <f t="shared" si="26"/>
        <v>Moderate</v>
      </c>
      <c r="J869" t="str">
        <f t="shared" si="27"/>
        <v>2021 Q4</v>
      </c>
      <c r="K869">
        <f>raw_data!H869</f>
        <v>11.16</v>
      </c>
      <c r="L869" s="13">
        <f>raw_data!I869</f>
        <v>12.12</v>
      </c>
      <c r="M869" s="13">
        <f>raw_data!J869</f>
        <v>7.96</v>
      </c>
    </row>
    <row r="870" spans="1:13" x14ac:dyDescent="0.2">
      <c r="A870" t="str">
        <f>raw_data!A870</f>
        <v>2021Q4</v>
      </c>
      <c r="B870" t="str">
        <f>raw_data!B870</f>
        <v>New South Wales</v>
      </c>
      <c r="C870" t="str">
        <f>raw_data!C870</f>
        <v>Manufacturing</v>
      </c>
      <c r="D870">
        <f>raw_data!D870</f>
        <v>34.29</v>
      </c>
      <c r="E870">
        <f>raw_data!E870</f>
        <v>42.31</v>
      </c>
      <c r="F870">
        <f>raw_data!F870</f>
        <v>16.350000000000001</v>
      </c>
      <c r="G870">
        <f>raw_data!G870</f>
        <v>31.31</v>
      </c>
      <c r="H870">
        <f>(raw_data!D870*weights!$B$2)+(raw_data!E870*weights!$B$3)+(raw_data!F870*weights!$B$4)</f>
        <v>31.314</v>
      </c>
      <c r="I870" t="str">
        <f t="shared" si="26"/>
        <v>Moderate</v>
      </c>
      <c r="J870" t="str">
        <f t="shared" si="27"/>
        <v>2021 Q4</v>
      </c>
      <c r="K870">
        <f>raw_data!H870</f>
        <v>13.72</v>
      </c>
      <c r="L870" s="13">
        <f>raw_data!I870</f>
        <v>12.69</v>
      </c>
      <c r="M870" s="13">
        <f>raw_data!J870</f>
        <v>4.9000000000000004</v>
      </c>
    </row>
    <row r="871" spans="1:13" x14ac:dyDescent="0.2">
      <c r="A871" t="str">
        <f>raw_data!A871</f>
        <v>2021Q4</v>
      </c>
      <c r="B871" t="str">
        <f>raw_data!B871</f>
        <v>New South Wales</v>
      </c>
      <c r="C871" t="str">
        <f>raw_data!C871</f>
        <v>Professional, Scientific and Technical Services</v>
      </c>
      <c r="D871">
        <f>raw_data!D871</f>
        <v>23.53</v>
      </c>
      <c r="E871">
        <f>raw_data!E871</f>
        <v>42.31</v>
      </c>
      <c r="F871">
        <f>raw_data!F871</f>
        <v>18.32</v>
      </c>
      <c r="G871">
        <f>raw_data!G871</f>
        <v>27.6</v>
      </c>
      <c r="H871">
        <f>(raw_data!D871*weights!$B$2)+(raw_data!E871*weights!$B$3)+(raw_data!F871*weights!$B$4)</f>
        <v>27.600999999999999</v>
      </c>
      <c r="I871" t="str">
        <f t="shared" si="26"/>
        <v>Moderate</v>
      </c>
      <c r="J871" t="str">
        <f t="shared" si="27"/>
        <v>2021 Q4</v>
      </c>
      <c r="K871">
        <f>raw_data!H871</f>
        <v>9.41</v>
      </c>
      <c r="L871" s="13">
        <f>raw_data!I871</f>
        <v>12.69</v>
      </c>
      <c r="M871" s="13">
        <f>raw_data!J871</f>
        <v>5.49</v>
      </c>
    </row>
    <row r="872" spans="1:13" x14ac:dyDescent="0.2">
      <c r="A872" t="str">
        <f>raw_data!A872</f>
        <v>2021Q4</v>
      </c>
      <c r="B872" t="str">
        <f>raw_data!B872</f>
        <v>Queensland</v>
      </c>
      <c r="C872" t="str">
        <f>raw_data!C872</f>
        <v>Accommodation and Food Services</v>
      </c>
      <c r="D872">
        <f>raw_data!D872</f>
        <v>72.87</v>
      </c>
      <c r="E872">
        <f>raw_data!E872</f>
        <v>61.54</v>
      </c>
      <c r="F872">
        <f>raw_data!F872</f>
        <v>19.489999999999998</v>
      </c>
      <c r="G872">
        <f>raw_data!G872</f>
        <v>53.45</v>
      </c>
      <c r="H872">
        <f>(raw_data!D872*weights!$B$2)+(raw_data!E872*weights!$B$3)+(raw_data!F872*weights!$B$4)</f>
        <v>53.457000000000001</v>
      </c>
      <c r="I872" t="str">
        <f t="shared" si="26"/>
        <v>High</v>
      </c>
      <c r="J872" t="str">
        <f t="shared" si="27"/>
        <v>2021 Q4</v>
      </c>
      <c r="K872">
        <f>raw_data!H872</f>
        <v>29.15</v>
      </c>
      <c r="L872" s="13">
        <f>raw_data!I872</f>
        <v>18.46</v>
      </c>
      <c r="M872" s="13">
        <f>raw_data!J872</f>
        <v>5.85</v>
      </c>
    </row>
    <row r="873" spans="1:13" x14ac:dyDescent="0.2">
      <c r="A873" t="str">
        <f>raw_data!A873</f>
        <v>2021Q4</v>
      </c>
      <c r="B873" t="str">
        <f>raw_data!B873</f>
        <v>Queensland</v>
      </c>
      <c r="C873" t="str">
        <f>raw_data!C873</f>
        <v>Construction</v>
      </c>
      <c r="D873">
        <f>raw_data!D873</f>
        <v>34.840000000000003</v>
      </c>
      <c r="E873">
        <f>raw_data!E873</f>
        <v>40.380000000000003</v>
      </c>
      <c r="F873">
        <f>raw_data!F873</f>
        <v>30.12</v>
      </c>
      <c r="G873">
        <f>raw_data!G873</f>
        <v>35.090000000000003</v>
      </c>
      <c r="H873">
        <f>(raw_data!D873*weights!$B$2)+(raw_data!E873*weights!$B$3)+(raw_data!F873*weights!$B$4)</f>
        <v>35.086000000000006</v>
      </c>
      <c r="I873" t="str">
        <f t="shared" si="26"/>
        <v>Moderate</v>
      </c>
      <c r="J873" t="str">
        <f t="shared" si="27"/>
        <v>2021 Q4</v>
      </c>
      <c r="K873">
        <f>raw_data!H873</f>
        <v>13.94</v>
      </c>
      <c r="L873" s="13">
        <f>raw_data!I873</f>
        <v>12.12</v>
      </c>
      <c r="M873" s="13">
        <f>raw_data!J873</f>
        <v>9.0299999999999994</v>
      </c>
    </row>
    <row r="874" spans="1:13" x14ac:dyDescent="0.2">
      <c r="A874" t="str">
        <f>raw_data!A874</f>
        <v>2021Q4</v>
      </c>
      <c r="B874" t="str">
        <f>raw_data!B874</f>
        <v>Queensland</v>
      </c>
      <c r="C874" t="str">
        <f>raw_data!C874</f>
        <v>Education and Training</v>
      </c>
      <c r="D874">
        <f>raw_data!D874</f>
        <v>10.48</v>
      </c>
      <c r="E874">
        <f>raw_data!E874</f>
        <v>34.619999999999997</v>
      </c>
      <c r="F874">
        <f>raw_data!F874</f>
        <v>27.17</v>
      </c>
      <c r="G874">
        <f>raw_data!G874</f>
        <v>22.73</v>
      </c>
      <c r="H874">
        <f>(raw_data!D874*weights!$B$2)+(raw_data!E874*weights!$B$3)+(raw_data!F874*weights!$B$4)</f>
        <v>22.728999999999999</v>
      </c>
      <c r="I874" t="str">
        <f t="shared" si="26"/>
        <v>Low</v>
      </c>
      <c r="J874" t="str">
        <f t="shared" si="27"/>
        <v>2021 Q4</v>
      </c>
      <c r="K874">
        <f>raw_data!H874</f>
        <v>4.1900000000000004</v>
      </c>
      <c r="L874" s="13">
        <f>raw_data!I874</f>
        <v>10.38</v>
      </c>
      <c r="M874" s="13">
        <f>raw_data!J874</f>
        <v>8.15</v>
      </c>
    </row>
    <row r="875" spans="1:13" x14ac:dyDescent="0.2">
      <c r="A875" t="str">
        <f>raw_data!A875</f>
        <v>2021Q4</v>
      </c>
      <c r="B875" t="str">
        <f>raw_data!B875</f>
        <v>Queensland</v>
      </c>
      <c r="C875" t="str">
        <f>raw_data!C875</f>
        <v>Health Care and Social Assistance</v>
      </c>
      <c r="D875">
        <f>raw_data!D875</f>
        <v>41.05</v>
      </c>
      <c r="E875">
        <f>raw_data!E875</f>
        <v>40.380000000000003</v>
      </c>
      <c r="F875">
        <f>raw_data!F875</f>
        <v>62.18</v>
      </c>
      <c r="G875">
        <f>raw_data!G875</f>
        <v>47.19</v>
      </c>
      <c r="H875">
        <f>(raw_data!D875*weights!$B$2)+(raw_data!E875*weights!$B$3)+(raw_data!F875*weights!$B$4)</f>
        <v>47.188000000000002</v>
      </c>
      <c r="I875" t="str">
        <f t="shared" si="26"/>
        <v>High</v>
      </c>
      <c r="J875" t="str">
        <f t="shared" si="27"/>
        <v>2021 Q4</v>
      </c>
      <c r="K875">
        <f>raw_data!H875</f>
        <v>16.420000000000002</v>
      </c>
      <c r="L875" s="13">
        <f>raw_data!I875</f>
        <v>12.12</v>
      </c>
      <c r="M875" s="13">
        <f>raw_data!J875</f>
        <v>18.649999999999999</v>
      </c>
    </row>
    <row r="876" spans="1:13" x14ac:dyDescent="0.2">
      <c r="A876" t="str">
        <f>raw_data!A876</f>
        <v>2021Q4</v>
      </c>
      <c r="B876" t="str">
        <f>raw_data!B876</f>
        <v>Queensland</v>
      </c>
      <c r="C876" t="str">
        <f>raw_data!C876</f>
        <v>Manufacturing</v>
      </c>
      <c r="D876">
        <f>raw_data!D876</f>
        <v>44.73</v>
      </c>
      <c r="E876">
        <f>raw_data!E876</f>
        <v>42.31</v>
      </c>
      <c r="F876">
        <f>raw_data!F876</f>
        <v>36.520000000000003</v>
      </c>
      <c r="G876">
        <f>raw_data!G876</f>
        <v>41.54</v>
      </c>
      <c r="H876">
        <f>(raw_data!D876*weights!$B$2)+(raw_data!E876*weights!$B$3)+(raw_data!F876*weights!$B$4)</f>
        <v>41.541000000000004</v>
      </c>
      <c r="I876" t="str">
        <f t="shared" si="26"/>
        <v>Moderate</v>
      </c>
      <c r="J876" t="str">
        <f t="shared" si="27"/>
        <v>2021 Q4</v>
      </c>
      <c r="K876">
        <f>raw_data!H876</f>
        <v>17.89</v>
      </c>
      <c r="L876" s="13">
        <f>raw_data!I876</f>
        <v>12.69</v>
      </c>
      <c r="M876" s="13">
        <f>raw_data!J876</f>
        <v>10.96</v>
      </c>
    </row>
    <row r="877" spans="1:13" x14ac:dyDescent="0.2">
      <c r="A877" t="str">
        <f>raw_data!A877</f>
        <v>2021Q4</v>
      </c>
      <c r="B877" t="str">
        <f>raw_data!B877</f>
        <v>Queensland</v>
      </c>
      <c r="C877" t="str">
        <f>raw_data!C877</f>
        <v>Professional, Scientific and Technical Services</v>
      </c>
      <c r="D877">
        <f>raw_data!D877</f>
        <v>48.08</v>
      </c>
      <c r="E877">
        <f>raw_data!E877</f>
        <v>42.31</v>
      </c>
      <c r="F877">
        <f>raw_data!F877</f>
        <v>44.54</v>
      </c>
      <c r="G877">
        <f>raw_data!G877</f>
        <v>45.29</v>
      </c>
      <c r="H877">
        <f>(raw_data!D877*weights!$B$2)+(raw_data!E877*weights!$B$3)+(raw_data!F877*weights!$B$4)</f>
        <v>45.286999999999999</v>
      </c>
      <c r="I877" t="str">
        <f t="shared" si="26"/>
        <v>High</v>
      </c>
      <c r="J877" t="str">
        <f t="shared" si="27"/>
        <v>2021 Q4</v>
      </c>
      <c r="K877">
        <f>raw_data!H877</f>
        <v>19.23</v>
      </c>
      <c r="L877" s="13">
        <f>raw_data!I877</f>
        <v>12.69</v>
      </c>
      <c r="M877" s="13">
        <f>raw_data!J877</f>
        <v>13.36</v>
      </c>
    </row>
    <row r="878" spans="1:13" x14ac:dyDescent="0.2">
      <c r="A878" t="str">
        <f>raw_data!A878</f>
        <v>2021Q4</v>
      </c>
      <c r="B878" t="str">
        <f>raw_data!B878</f>
        <v>Victoria</v>
      </c>
      <c r="C878" t="str">
        <f>raw_data!C878</f>
        <v>Accommodation and Food Services</v>
      </c>
      <c r="D878">
        <f>raw_data!D878</f>
        <v>73.09</v>
      </c>
      <c r="E878">
        <f>raw_data!E878</f>
        <v>61.54</v>
      </c>
      <c r="F878">
        <f>raw_data!F878</f>
        <v>12.39</v>
      </c>
      <c r="G878">
        <f>raw_data!G878</f>
        <v>51.41</v>
      </c>
      <c r="H878">
        <f>(raw_data!D878*weights!$B$2)+(raw_data!E878*weights!$B$3)+(raw_data!F878*weights!$B$4)</f>
        <v>51.415000000000006</v>
      </c>
      <c r="I878" t="str">
        <f t="shared" si="26"/>
        <v>High</v>
      </c>
      <c r="J878" t="str">
        <f t="shared" si="27"/>
        <v>2021 Q4</v>
      </c>
      <c r="K878">
        <f>raw_data!H878</f>
        <v>29.23</v>
      </c>
      <c r="L878" s="13">
        <f>raw_data!I878</f>
        <v>18.46</v>
      </c>
      <c r="M878" s="13">
        <f>raw_data!J878</f>
        <v>3.72</v>
      </c>
    </row>
    <row r="879" spans="1:13" x14ac:dyDescent="0.2">
      <c r="A879" t="str">
        <f>raw_data!A879</f>
        <v>2021Q4</v>
      </c>
      <c r="B879" t="str">
        <f>raw_data!B879</f>
        <v>Victoria</v>
      </c>
      <c r="C879" t="str">
        <f>raw_data!C879</f>
        <v>Construction</v>
      </c>
      <c r="D879">
        <f>raw_data!D879</f>
        <v>24.95</v>
      </c>
      <c r="E879">
        <f>raw_data!E879</f>
        <v>40.380000000000003</v>
      </c>
      <c r="F879">
        <f>raw_data!F879</f>
        <v>21.5</v>
      </c>
      <c r="G879">
        <f>raw_data!G879</f>
        <v>28.55</v>
      </c>
      <c r="H879">
        <f>(raw_data!D879*weights!$B$2)+(raw_data!E879*weights!$B$3)+(raw_data!F879*weights!$B$4)</f>
        <v>28.544</v>
      </c>
      <c r="I879" t="str">
        <f t="shared" si="26"/>
        <v>Moderate</v>
      </c>
      <c r="J879" t="str">
        <f t="shared" si="27"/>
        <v>2021 Q4</v>
      </c>
      <c r="K879">
        <f>raw_data!H879</f>
        <v>9.98</v>
      </c>
      <c r="L879" s="13">
        <f>raw_data!I879</f>
        <v>12.12</v>
      </c>
      <c r="M879" s="13">
        <f>raw_data!J879</f>
        <v>6.45</v>
      </c>
    </row>
    <row r="880" spans="1:13" x14ac:dyDescent="0.2">
      <c r="A880" t="str">
        <f>raw_data!A880</f>
        <v>2021Q4</v>
      </c>
      <c r="B880" t="str">
        <f>raw_data!B880</f>
        <v>Victoria</v>
      </c>
      <c r="C880" t="str">
        <f>raw_data!C880</f>
        <v>Education and Training</v>
      </c>
      <c r="D880">
        <f>raw_data!D880</f>
        <v>7.55</v>
      </c>
      <c r="E880">
        <f>raw_data!E880</f>
        <v>34.619999999999997</v>
      </c>
      <c r="F880">
        <f>raw_data!F880</f>
        <v>14.25</v>
      </c>
      <c r="G880">
        <f>raw_data!G880</f>
        <v>17.68</v>
      </c>
      <c r="H880">
        <f>(raw_data!D880*weights!$B$2)+(raw_data!E880*weights!$B$3)+(raw_data!F880*weights!$B$4)</f>
        <v>17.680999999999997</v>
      </c>
      <c r="I880" t="str">
        <f t="shared" si="26"/>
        <v>Low</v>
      </c>
      <c r="J880" t="str">
        <f t="shared" si="27"/>
        <v>2021 Q4</v>
      </c>
      <c r="K880">
        <f>raw_data!H880</f>
        <v>3.02</v>
      </c>
      <c r="L880" s="13">
        <f>raw_data!I880</f>
        <v>10.38</v>
      </c>
      <c r="M880" s="13">
        <f>raw_data!J880</f>
        <v>4.28</v>
      </c>
    </row>
    <row r="881" spans="1:13" x14ac:dyDescent="0.2">
      <c r="A881" t="str">
        <f>raw_data!A881</f>
        <v>2021Q4</v>
      </c>
      <c r="B881" t="str">
        <f>raw_data!B881</f>
        <v>Victoria</v>
      </c>
      <c r="C881" t="str">
        <f>raw_data!C881</f>
        <v>Health Care and Social Assistance</v>
      </c>
      <c r="D881">
        <f>raw_data!D881</f>
        <v>32.33</v>
      </c>
      <c r="E881">
        <f>raw_data!E881</f>
        <v>40.380000000000003</v>
      </c>
      <c r="F881">
        <f>raw_data!F881</f>
        <v>46.4</v>
      </c>
      <c r="G881">
        <f>raw_data!G881</f>
        <v>38.97</v>
      </c>
      <c r="H881">
        <f>(raw_data!D881*weights!$B$2)+(raw_data!E881*weights!$B$3)+(raw_data!F881*weights!$B$4)</f>
        <v>38.966000000000001</v>
      </c>
      <c r="I881" t="str">
        <f t="shared" si="26"/>
        <v>Moderate</v>
      </c>
      <c r="J881" t="str">
        <f t="shared" si="27"/>
        <v>2021 Q4</v>
      </c>
      <c r="K881">
        <f>raw_data!H881</f>
        <v>12.93</v>
      </c>
      <c r="L881" s="13">
        <f>raw_data!I881</f>
        <v>12.12</v>
      </c>
      <c r="M881" s="13">
        <f>raw_data!J881</f>
        <v>13.92</v>
      </c>
    </row>
    <row r="882" spans="1:13" x14ac:dyDescent="0.2">
      <c r="A882" t="str">
        <f>raw_data!A882</f>
        <v>2021Q4</v>
      </c>
      <c r="B882" t="str">
        <f>raw_data!B882</f>
        <v>Victoria</v>
      </c>
      <c r="C882" t="str">
        <f>raw_data!C882</f>
        <v>Manufacturing</v>
      </c>
      <c r="D882">
        <f>raw_data!D882</f>
        <v>30.34</v>
      </c>
      <c r="E882">
        <f>raw_data!E882</f>
        <v>42.31</v>
      </c>
      <c r="F882">
        <f>raw_data!F882</f>
        <v>36.43</v>
      </c>
      <c r="G882">
        <f>raw_data!G882</f>
        <v>35.76</v>
      </c>
      <c r="H882">
        <f>(raw_data!D882*weights!$B$2)+(raw_data!E882*weights!$B$3)+(raw_data!F882*weights!$B$4)</f>
        <v>35.758000000000003</v>
      </c>
      <c r="I882" t="str">
        <f t="shared" si="26"/>
        <v>Moderate</v>
      </c>
      <c r="J882" t="str">
        <f t="shared" si="27"/>
        <v>2021 Q4</v>
      </c>
      <c r="K882">
        <f>raw_data!H882</f>
        <v>12.14</v>
      </c>
      <c r="L882" s="13">
        <f>raw_data!I882</f>
        <v>12.69</v>
      </c>
      <c r="M882" s="13">
        <f>raw_data!J882</f>
        <v>10.93</v>
      </c>
    </row>
    <row r="883" spans="1:13" x14ac:dyDescent="0.2">
      <c r="A883" t="str">
        <f>raw_data!A883</f>
        <v>2021Q4</v>
      </c>
      <c r="B883" t="str">
        <f>raw_data!B883</f>
        <v>Victoria</v>
      </c>
      <c r="C883" t="str">
        <f>raw_data!C883</f>
        <v>Professional, Scientific and Technical Services</v>
      </c>
      <c r="D883">
        <f>raw_data!D883</f>
        <v>29.77</v>
      </c>
      <c r="E883">
        <f>raw_data!E883</f>
        <v>42.31</v>
      </c>
      <c r="F883">
        <f>raw_data!F883</f>
        <v>16.84</v>
      </c>
      <c r="G883">
        <f>raw_data!G883</f>
        <v>29.65</v>
      </c>
      <c r="H883">
        <f>(raw_data!D883*weights!$B$2)+(raw_data!E883*weights!$B$3)+(raw_data!F883*weights!$B$4)</f>
        <v>29.652999999999999</v>
      </c>
      <c r="I883" t="str">
        <f t="shared" si="26"/>
        <v>Moderate</v>
      </c>
      <c r="J883" t="str">
        <f t="shared" si="27"/>
        <v>2021 Q4</v>
      </c>
      <c r="K883">
        <f>raw_data!H883</f>
        <v>11.91</v>
      </c>
      <c r="L883" s="13">
        <f>raw_data!I883</f>
        <v>12.69</v>
      </c>
      <c r="M883" s="13">
        <f>raw_data!J883</f>
        <v>5.05</v>
      </c>
    </row>
    <row r="884" spans="1:13" x14ac:dyDescent="0.2">
      <c r="A884" t="str">
        <f>raw_data!A884</f>
        <v>2022Q1</v>
      </c>
      <c r="B884" t="str">
        <f>raw_data!B884</f>
        <v>New South Wales</v>
      </c>
      <c r="C884" t="str">
        <f>raw_data!C884</f>
        <v>Accommodation and Food Services</v>
      </c>
      <c r="D884">
        <f>raw_data!D884</f>
        <v>58.9</v>
      </c>
      <c r="E884">
        <f>raw_data!E884</f>
        <v>44.23</v>
      </c>
      <c r="F884">
        <f>raw_data!F884</f>
        <v>16.87</v>
      </c>
      <c r="G884">
        <f>raw_data!G884</f>
        <v>41.89</v>
      </c>
      <c r="H884">
        <f>(raw_data!D884*weights!$B$2)+(raw_data!E884*weights!$B$3)+(raw_data!F884*weights!$B$4)</f>
        <v>41.89</v>
      </c>
      <c r="I884" t="str">
        <f t="shared" si="26"/>
        <v>Moderate</v>
      </c>
      <c r="J884" t="str">
        <f t="shared" si="27"/>
        <v>2022 Q1</v>
      </c>
      <c r="K884">
        <f>raw_data!H884</f>
        <v>23.56</v>
      </c>
      <c r="L884" s="13">
        <f>raw_data!I884</f>
        <v>13.27</v>
      </c>
      <c r="M884" s="13">
        <f>raw_data!J884</f>
        <v>5.0599999999999996</v>
      </c>
    </row>
    <row r="885" spans="1:13" x14ac:dyDescent="0.2">
      <c r="A885" t="str">
        <f>raw_data!A885</f>
        <v>2022Q1</v>
      </c>
      <c r="B885" t="str">
        <f>raw_data!B885</f>
        <v>New South Wales</v>
      </c>
      <c r="C885" t="str">
        <f>raw_data!C885</f>
        <v>Construction</v>
      </c>
      <c r="D885">
        <f>raw_data!D885</f>
        <v>25.95</v>
      </c>
      <c r="E885">
        <f>raw_data!E885</f>
        <v>42.31</v>
      </c>
      <c r="F885">
        <f>raw_data!F885</f>
        <v>17.79</v>
      </c>
      <c r="G885">
        <f>raw_data!G885</f>
        <v>28.41</v>
      </c>
      <c r="H885">
        <f>(raw_data!D885*weights!$B$2)+(raw_data!E885*weights!$B$3)+(raw_data!F885*weights!$B$4)</f>
        <v>28.41</v>
      </c>
      <c r="I885" t="str">
        <f t="shared" si="26"/>
        <v>Moderate</v>
      </c>
      <c r="J885" t="str">
        <f t="shared" si="27"/>
        <v>2022 Q1</v>
      </c>
      <c r="K885">
        <f>raw_data!H885</f>
        <v>10.38</v>
      </c>
      <c r="L885" s="13">
        <f>raw_data!I885</f>
        <v>12.69</v>
      </c>
      <c r="M885" s="13">
        <f>raw_data!J885</f>
        <v>5.34</v>
      </c>
    </row>
    <row r="886" spans="1:13" x14ac:dyDescent="0.2">
      <c r="A886" t="str">
        <f>raw_data!A886</f>
        <v>2022Q1</v>
      </c>
      <c r="B886" t="str">
        <f>raw_data!B886</f>
        <v>New South Wales</v>
      </c>
      <c r="C886" t="str">
        <f>raw_data!C886</f>
        <v>Education and Training</v>
      </c>
      <c r="D886">
        <f>raw_data!D886</f>
        <v>7.81</v>
      </c>
      <c r="E886">
        <f>raw_data!E886</f>
        <v>36.54</v>
      </c>
      <c r="F886">
        <f>raw_data!F886</f>
        <v>6.56</v>
      </c>
      <c r="G886">
        <f>raw_data!G886</f>
        <v>16.05</v>
      </c>
      <c r="H886">
        <f>(raw_data!D886*weights!$B$2)+(raw_data!E886*weights!$B$3)+(raw_data!F886*weights!$B$4)</f>
        <v>16.053999999999998</v>
      </c>
      <c r="I886" t="str">
        <f t="shared" si="26"/>
        <v>Low</v>
      </c>
      <c r="J886" t="str">
        <f t="shared" si="27"/>
        <v>2022 Q1</v>
      </c>
      <c r="K886">
        <f>raw_data!H886</f>
        <v>3.12</v>
      </c>
      <c r="L886" s="13">
        <f>raw_data!I886</f>
        <v>10.96</v>
      </c>
      <c r="M886" s="13">
        <f>raw_data!J886</f>
        <v>1.97</v>
      </c>
    </row>
    <row r="887" spans="1:13" x14ac:dyDescent="0.2">
      <c r="A887" t="str">
        <f>raw_data!A887</f>
        <v>2022Q1</v>
      </c>
      <c r="B887" t="str">
        <f>raw_data!B887</f>
        <v>New South Wales</v>
      </c>
      <c r="C887" t="str">
        <f>raw_data!C887</f>
        <v>Health Care and Social Assistance</v>
      </c>
      <c r="D887">
        <f>raw_data!D887</f>
        <v>25.51</v>
      </c>
      <c r="E887">
        <f>raw_data!E887</f>
        <v>34.619999999999997</v>
      </c>
      <c r="F887">
        <f>raw_data!F887</f>
        <v>27.61</v>
      </c>
      <c r="G887">
        <f>raw_data!G887</f>
        <v>28.87</v>
      </c>
      <c r="H887">
        <f>(raw_data!D887*weights!$B$2)+(raw_data!E887*weights!$B$3)+(raw_data!F887*weights!$B$4)</f>
        <v>28.872999999999998</v>
      </c>
      <c r="I887" t="str">
        <f t="shared" si="26"/>
        <v>Moderate</v>
      </c>
      <c r="J887" t="str">
        <f t="shared" si="27"/>
        <v>2022 Q1</v>
      </c>
      <c r="K887">
        <f>raw_data!H887</f>
        <v>10.199999999999999</v>
      </c>
      <c r="L887" s="13">
        <f>raw_data!I887</f>
        <v>10.38</v>
      </c>
      <c r="M887" s="13">
        <f>raw_data!J887</f>
        <v>8.2799999999999994</v>
      </c>
    </row>
    <row r="888" spans="1:13" x14ac:dyDescent="0.2">
      <c r="A888" t="str">
        <f>raw_data!A888</f>
        <v>2022Q1</v>
      </c>
      <c r="B888" t="str">
        <f>raw_data!B888</f>
        <v>New South Wales</v>
      </c>
      <c r="C888" t="str">
        <f>raw_data!C888</f>
        <v>Manufacturing</v>
      </c>
      <c r="D888">
        <f>raw_data!D888</f>
        <v>35.729999999999997</v>
      </c>
      <c r="E888">
        <f>raw_data!E888</f>
        <v>46.15</v>
      </c>
      <c r="F888">
        <f>raw_data!F888</f>
        <v>38.76</v>
      </c>
      <c r="G888">
        <f>raw_data!G888</f>
        <v>39.770000000000003</v>
      </c>
      <c r="H888">
        <f>(raw_data!D888*weights!$B$2)+(raw_data!E888*weights!$B$3)+(raw_data!F888*weights!$B$4)</f>
        <v>39.765000000000001</v>
      </c>
      <c r="I888" t="str">
        <f t="shared" si="26"/>
        <v>Moderate</v>
      </c>
      <c r="J888" t="str">
        <f t="shared" si="27"/>
        <v>2022 Q1</v>
      </c>
      <c r="K888">
        <f>raw_data!H888</f>
        <v>14.29</v>
      </c>
      <c r="L888" s="13">
        <f>raw_data!I888</f>
        <v>13.85</v>
      </c>
      <c r="M888" s="13">
        <f>raw_data!J888</f>
        <v>11.63</v>
      </c>
    </row>
    <row r="889" spans="1:13" x14ac:dyDescent="0.2">
      <c r="A889" t="str">
        <f>raw_data!A889</f>
        <v>2022Q1</v>
      </c>
      <c r="B889" t="str">
        <f>raw_data!B889</f>
        <v>New South Wales</v>
      </c>
      <c r="C889" t="str">
        <f>raw_data!C889</f>
        <v>Professional, Scientific and Technical Services</v>
      </c>
      <c r="D889">
        <f>raw_data!D889</f>
        <v>26.96</v>
      </c>
      <c r="E889">
        <f>raw_data!E889</f>
        <v>46.15</v>
      </c>
      <c r="F889">
        <f>raw_data!F889</f>
        <v>53.84</v>
      </c>
      <c r="G889">
        <f>raw_data!G889</f>
        <v>40.78</v>
      </c>
      <c r="H889">
        <f>(raw_data!D889*weights!$B$2)+(raw_data!E889*weights!$B$3)+(raw_data!F889*weights!$B$4)</f>
        <v>40.780999999999999</v>
      </c>
      <c r="I889" t="str">
        <f t="shared" si="26"/>
        <v>Moderate</v>
      </c>
      <c r="J889" t="str">
        <f t="shared" si="27"/>
        <v>2022 Q1</v>
      </c>
      <c r="K889">
        <f>raw_data!H889</f>
        <v>10.78</v>
      </c>
      <c r="L889" s="13">
        <f>raw_data!I889</f>
        <v>13.85</v>
      </c>
      <c r="M889" s="13">
        <f>raw_data!J889</f>
        <v>16.149999999999999</v>
      </c>
    </row>
    <row r="890" spans="1:13" x14ac:dyDescent="0.2">
      <c r="A890" t="str">
        <f>raw_data!A890</f>
        <v>2022Q1</v>
      </c>
      <c r="B890" t="str">
        <f>raw_data!B890</f>
        <v>Queensland</v>
      </c>
      <c r="C890" t="str">
        <f>raw_data!C890</f>
        <v>Accommodation and Food Services</v>
      </c>
      <c r="D890">
        <f>raw_data!D890</f>
        <v>72.23</v>
      </c>
      <c r="E890">
        <f>raw_data!E890</f>
        <v>44.23</v>
      </c>
      <c r="F890">
        <f>raw_data!F890</f>
        <v>23.95</v>
      </c>
      <c r="G890">
        <f>raw_data!G890</f>
        <v>49.35</v>
      </c>
      <c r="H890">
        <f>(raw_data!D890*weights!$B$2)+(raw_data!E890*weights!$B$3)+(raw_data!F890*weights!$B$4)</f>
        <v>49.346000000000004</v>
      </c>
      <c r="I890" t="str">
        <f t="shared" si="26"/>
        <v>High</v>
      </c>
      <c r="J890" t="str">
        <f t="shared" si="27"/>
        <v>2022 Q1</v>
      </c>
      <c r="K890">
        <f>raw_data!H890</f>
        <v>28.89</v>
      </c>
      <c r="L890" s="13">
        <f>raw_data!I890</f>
        <v>13.27</v>
      </c>
      <c r="M890" s="13">
        <f>raw_data!J890</f>
        <v>7.19</v>
      </c>
    </row>
    <row r="891" spans="1:13" x14ac:dyDescent="0.2">
      <c r="A891" t="str">
        <f>raw_data!A891</f>
        <v>2022Q1</v>
      </c>
      <c r="B891" t="str">
        <f>raw_data!B891</f>
        <v>Queensland</v>
      </c>
      <c r="C891" t="str">
        <f>raw_data!C891</f>
        <v>Construction</v>
      </c>
      <c r="D891">
        <f>raw_data!D891</f>
        <v>40</v>
      </c>
      <c r="E891">
        <f>raw_data!E891</f>
        <v>42.31</v>
      </c>
      <c r="F891">
        <f>raw_data!F891</f>
        <v>23.32</v>
      </c>
      <c r="G891">
        <f>raw_data!G891</f>
        <v>35.69</v>
      </c>
      <c r="H891">
        <f>(raw_data!D891*weights!$B$2)+(raw_data!E891*weights!$B$3)+(raw_data!F891*weights!$B$4)</f>
        <v>35.689</v>
      </c>
      <c r="I891" t="str">
        <f t="shared" si="26"/>
        <v>Moderate</v>
      </c>
      <c r="J891" t="str">
        <f t="shared" si="27"/>
        <v>2022 Q1</v>
      </c>
      <c r="K891">
        <f>raw_data!H891</f>
        <v>16</v>
      </c>
      <c r="L891" s="13">
        <f>raw_data!I891</f>
        <v>12.69</v>
      </c>
      <c r="M891" s="13">
        <f>raw_data!J891</f>
        <v>7</v>
      </c>
    </row>
    <row r="892" spans="1:13" x14ac:dyDescent="0.2">
      <c r="A892" t="str">
        <f>raw_data!A892</f>
        <v>2022Q1</v>
      </c>
      <c r="B892" t="str">
        <f>raw_data!B892</f>
        <v>Queensland</v>
      </c>
      <c r="C892" t="str">
        <f>raw_data!C892</f>
        <v>Education and Training</v>
      </c>
      <c r="D892">
        <f>raw_data!D892</f>
        <v>11.66</v>
      </c>
      <c r="E892">
        <f>raw_data!E892</f>
        <v>36.54</v>
      </c>
      <c r="F892">
        <f>raw_data!F892</f>
        <v>6.25</v>
      </c>
      <c r="G892">
        <f>raw_data!G892</f>
        <v>17.5</v>
      </c>
      <c r="H892">
        <f>(raw_data!D892*weights!$B$2)+(raw_data!E892*weights!$B$3)+(raw_data!F892*weights!$B$4)</f>
        <v>17.501000000000001</v>
      </c>
      <c r="I892" t="str">
        <f t="shared" si="26"/>
        <v>Low</v>
      </c>
      <c r="J892" t="str">
        <f t="shared" si="27"/>
        <v>2022 Q1</v>
      </c>
      <c r="K892">
        <f>raw_data!H892</f>
        <v>4.66</v>
      </c>
      <c r="L892" s="13">
        <f>raw_data!I892</f>
        <v>10.96</v>
      </c>
      <c r="M892" s="13">
        <f>raw_data!J892</f>
        <v>1.88</v>
      </c>
    </row>
    <row r="893" spans="1:13" x14ac:dyDescent="0.2">
      <c r="A893" t="str">
        <f>raw_data!A893</f>
        <v>2022Q1</v>
      </c>
      <c r="B893" t="str">
        <f>raw_data!B893</f>
        <v>Queensland</v>
      </c>
      <c r="C893" t="str">
        <f>raw_data!C893</f>
        <v>Health Care and Social Assistance</v>
      </c>
      <c r="D893">
        <f>raw_data!D893</f>
        <v>36.9</v>
      </c>
      <c r="E893">
        <f>raw_data!E893</f>
        <v>34.619999999999997</v>
      </c>
      <c r="F893">
        <f>raw_data!F893</f>
        <v>46.07</v>
      </c>
      <c r="G893">
        <f>raw_data!G893</f>
        <v>38.97</v>
      </c>
      <c r="H893">
        <f>(raw_data!D893*weights!$B$2)+(raw_data!E893*weights!$B$3)+(raw_data!F893*weights!$B$4)</f>
        <v>38.966999999999999</v>
      </c>
      <c r="I893" t="str">
        <f t="shared" si="26"/>
        <v>Moderate</v>
      </c>
      <c r="J893" t="str">
        <f t="shared" si="27"/>
        <v>2022 Q1</v>
      </c>
      <c r="K893">
        <f>raw_data!H893</f>
        <v>14.76</v>
      </c>
      <c r="L893" s="13">
        <f>raw_data!I893</f>
        <v>10.38</v>
      </c>
      <c r="M893" s="13">
        <f>raw_data!J893</f>
        <v>13.82</v>
      </c>
    </row>
    <row r="894" spans="1:13" x14ac:dyDescent="0.2">
      <c r="A894" t="str">
        <f>raw_data!A894</f>
        <v>2022Q1</v>
      </c>
      <c r="B894" t="str">
        <f>raw_data!B894</f>
        <v>Queensland</v>
      </c>
      <c r="C894" t="str">
        <f>raw_data!C894</f>
        <v>Manufacturing</v>
      </c>
      <c r="D894">
        <f>raw_data!D894</f>
        <v>44.43</v>
      </c>
      <c r="E894">
        <f>raw_data!E894</f>
        <v>46.15</v>
      </c>
      <c r="F894">
        <f>raw_data!F894</f>
        <v>24.7</v>
      </c>
      <c r="G894">
        <f>raw_data!G894</f>
        <v>39.03</v>
      </c>
      <c r="H894">
        <f>(raw_data!D894*weights!$B$2)+(raw_data!E894*weights!$B$3)+(raw_data!F894*weights!$B$4)</f>
        <v>39.027000000000001</v>
      </c>
      <c r="I894" t="str">
        <f t="shared" si="26"/>
        <v>Moderate</v>
      </c>
      <c r="J894" t="str">
        <f t="shared" si="27"/>
        <v>2022 Q1</v>
      </c>
      <c r="K894">
        <f>raw_data!H894</f>
        <v>17.77</v>
      </c>
      <c r="L894" s="13">
        <f>raw_data!I894</f>
        <v>13.85</v>
      </c>
      <c r="M894" s="13">
        <f>raw_data!J894</f>
        <v>7.41</v>
      </c>
    </row>
    <row r="895" spans="1:13" x14ac:dyDescent="0.2">
      <c r="A895" t="str">
        <f>raw_data!A895</f>
        <v>2022Q1</v>
      </c>
      <c r="B895" t="str">
        <f>raw_data!B895</f>
        <v>Queensland</v>
      </c>
      <c r="C895" t="str">
        <f>raw_data!C895</f>
        <v>Professional, Scientific and Technical Services</v>
      </c>
      <c r="D895">
        <f>raw_data!D895</f>
        <v>52.67</v>
      </c>
      <c r="E895">
        <f>raw_data!E895</f>
        <v>46.15</v>
      </c>
      <c r="F895">
        <f>raw_data!F895</f>
        <v>65.44</v>
      </c>
      <c r="G895">
        <f>raw_data!G895</f>
        <v>54.55</v>
      </c>
      <c r="H895">
        <f>(raw_data!D895*weights!$B$2)+(raw_data!E895*weights!$B$3)+(raw_data!F895*weights!$B$4)</f>
        <v>54.544999999999995</v>
      </c>
      <c r="I895" t="str">
        <f t="shared" si="26"/>
        <v>High</v>
      </c>
      <c r="J895" t="str">
        <f t="shared" si="27"/>
        <v>2022 Q1</v>
      </c>
      <c r="K895">
        <f>raw_data!H895</f>
        <v>21.07</v>
      </c>
      <c r="L895" s="13">
        <f>raw_data!I895</f>
        <v>13.85</v>
      </c>
      <c r="M895" s="13">
        <f>raw_data!J895</f>
        <v>19.63</v>
      </c>
    </row>
    <row r="896" spans="1:13" x14ac:dyDescent="0.2">
      <c r="A896" t="str">
        <f>raw_data!A896</f>
        <v>2022Q1</v>
      </c>
      <c r="B896" t="str">
        <f>raw_data!B896</f>
        <v>Victoria</v>
      </c>
      <c r="C896" t="str">
        <f>raw_data!C896</f>
        <v>Accommodation and Food Services</v>
      </c>
      <c r="D896">
        <f>raw_data!D896</f>
        <v>73.61</v>
      </c>
      <c r="E896">
        <f>raw_data!E896</f>
        <v>44.23</v>
      </c>
      <c r="F896">
        <f>raw_data!F896</f>
        <v>19.12</v>
      </c>
      <c r="G896">
        <f>raw_data!G896</f>
        <v>48.45</v>
      </c>
      <c r="H896">
        <f>(raw_data!D896*weights!$B$2)+(raw_data!E896*weights!$B$3)+(raw_data!F896*weights!$B$4)</f>
        <v>48.448999999999998</v>
      </c>
      <c r="I896" t="str">
        <f t="shared" si="26"/>
        <v>High</v>
      </c>
      <c r="J896" t="str">
        <f t="shared" si="27"/>
        <v>2022 Q1</v>
      </c>
      <c r="K896">
        <f>raw_data!H896</f>
        <v>29.44</v>
      </c>
      <c r="L896" s="13">
        <f>raw_data!I896</f>
        <v>13.27</v>
      </c>
      <c r="M896" s="13">
        <f>raw_data!J896</f>
        <v>5.74</v>
      </c>
    </row>
    <row r="897" spans="1:13" x14ac:dyDescent="0.2">
      <c r="A897" t="str">
        <f>raw_data!A897</f>
        <v>2022Q1</v>
      </c>
      <c r="B897" t="str">
        <f>raw_data!B897</f>
        <v>Victoria</v>
      </c>
      <c r="C897" t="str">
        <f>raw_data!C897</f>
        <v>Construction</v>
      </c>
      <c r="D897">
        <f>raw_data!D897</f>
        <v>30.99</v>
      </c>
      <c r="E897">
        <f>raw_data!E897</f>
        <v>42.31</v>
      </c>
      <c r="F897">
        <f>raw_data!F897</f>
        <v>31.07</v>
      </c>
      <c r="G897">
        <f>raw_data!G897</f>
        <v>34.409999999999997</v>
      </c>
      <c r="H897">
        <f>(raw_data!D897*weights!$B$2)+(raw_data!E897*weights!$B$3)+(raw_data!F897*weights!$B$4)</f>
        <v>34.409999999999997</v>
      </c>
      <c r="I897" t="str">
        <f t="shared" si="26"/>
        <v>Moderate</v>
      </c>
      <c r="J897" t="str">
        <f t="shared" si="27"/>
        <v>2022 Q1</v>
      </c>
      <c r="K897">
        <f>raw_data!H897</f>
        <v>12.39</v>
      </c>
      <c r="L897" s="13">
        <f>raw_data!I897</f>
        <v>12.69</v>
      </c>
      <c r="M897" s="13">
        <f>raw_data!J897</f>
        <v>9.32</v>
      </c>
    </row>
    <row r="898" spans="1:13" x14ac:dyDescent="0.2">
      <c r="A898" t="str">
        <f>raw_data!A898</f>
        <v>2022Q1</v>
      </c>
      <c r="B898" t="str">
        <f>raw_data!B898</f>
        <v>Victoria</v>
      </c>
      <c r="C898" t="str">
        <f>raw_data!C898</f>
        <v>Education and Training</v>
      </c>
      <c r="D898">
        <f>raw_data!D898</f>
        <v>8.68</v>
      </c>
      <c r="E898">
        <f>raw_data!E898</f>
        <v>36.54</v>
      </c>
      <c r="F898">
        <f>raw_data!F898</f>
        <v>7.06</v>
      </c>
      <c r="G898">
        <f>raw_data!G898</f>
        <v>16.55</v>
      </c>
      <c r="H898">
        <f>(raw_data!D898*weights!$B$2)+(raw_data!E898*weights!$B$3)+(raw_data!F898*weights!$B$4)</f>
        <v>16.552</v>
      </c>
      <c r="I898" t="str">
        <f t="shared" si="26"/>
        <v>Low</v>
      </c>
      <c r="J898" t="str">
        <f t="shared" si="27"/>
        <v>2022 Q1</v>
      </c>
      <c r="K898">
        <f>raw_data!H898</f>
        <v>3.47</v>
      </c>
      <c r="L898" s="13">
        <f>raw_data!I898</f>
        <v>10.96</v>
      </c>
      <c r="M898" s="13">
        <f>raw_data!J898</f>
        <v>2.12</v>
      </c>
    </row>
    <row r="899" spans="1:13" x14ac:dyDescent="0.2">
      <c r="A899" t="str">
        <f>raw_data!A899</f>
        <v>2022Q1</v>
      </c>
      <c r="B899" t="str">
        <f>raw_data!B899</f>
        <v>Victoria</v>
      </c>
      <c r="C899" t="str">
        <f>raw_data!C899</f>
        <v>Health Care and Social Assistance</v>
      </c>
      <c r="D899">
        <f>raw_data!D899</f>
        <v>31.15</v>
      </c>
      <c r="E899">
        <f>raw_data!E899</f>
        <v>34.619999999999997</v>
      </c>
      <c r="F899">
        <f>raw_data!F899</f>
        <v>31.64</v>
      </c>
      <c r="G899">
        <f>raw_data!G899</f>
        <v>32.33</v>
      </c>
      <c r="H899">
        <f>(raw_data!D899*weights!$B$2)+(raw_data!E899*weights!$B$3)+(raw_data!F899*weights!$B$4)</f>
        <v>32.338000000000001</v>
      </c>
      <c r="I899" t="str">
        <f t="shared" ref="I899:I962" si="28">IF(H899&gt;=60,"Critical",IF(H899&gt;=45,"High",IF(H899&gt;=25,"Moderate","Low")))</f>
        <v>Moderate</v>
      </c>
      <c r="J899" t="str">
        <f t="shared" ref="J899:J962" si="29">LEFT(A899,4)&amp;" "&amp;RIGHT(A899,2)</f>
        <v>2022 Q1</v>
      </c>
      <c r="K899">
        <f>raw_data!H899</f>
        <v>12.46</v>
      </c>
      <c r="L899" s="13">
        <f>raw_data!I899</f>
        <v>10.38</v>
      </c>
      <c r="M899" s="13">
        <f>raw_data!J899</f>
        <v>9.49</v>
      </c>
    </row>
    <row r="900" spans="1:13" x14ac:dyDescent="0.2">
      <c r="A900" t="str">
        <f>raw_data!A900</f>
        <v>2022Q1</v>
      </c>
      <c r="B900" t="str">
        <f>raw_data!B900</f>
        <v>Victoria</v>
      </c>
      <c r="C900" t="str">
        <f>raw_data!C900</f>
        <v>Manufacturing</v>
      </c>
      <c r="D900">
        <f>raw_data!D900</f>
        <v>31.72</v>
      </c>
      <c r="E900">
        <f>raw_data!E900</f>
        <v>46.15</v>
      </c>
      <c r="F900">
        <f>raw_data!F900</f>
        <v>22.29</v>
      </c>
      <c r="G900">
        <f>raw_data!G900</f>
        <v>33.22</v>
      </c>
      <c r="H900">
        <f>(raw_data!D900*weights!$B$2)+(raw_data!E900*weights!$B$3)+(raw_data!F900*weights!$B$4)</f>
        <v>33.22</v>
      </c>
      <c r="I900" t="str">
        <f t="shared" si="28"/>
        <v>Moderate</v>
      </c>
      <c r="J900" t="str">
        <f t="shared" si="29"/>
        <v>2022 Q1</v>
      </c>
      <c r="K900">
        <f>raw_data!H900</f>
        <v>12.69</v>
      </c>
      <c r="L900" s="13">
        <f>raw_data!I900</f>
        <v>13.85</v>
      </c>
      <c r="M900" s="13">
        <f>raw_data!J900</f>
        <v>6.69</v>
      </c>
    </row>
    <row r="901" spans="1:13" x14ac:dyDescent="0.2">
      <c r="A901" t="str">
        <f>raw_data!A901</f>
        <v>2022Q1</v>
      </c>
      <c r="B901" t="str">
        <f>raw_data!B901</f>
        <v>Victoria</v>
      </c>
      <c r="C901" t="str">
        <f>raw_data!C901</f>
        <v>Professional, Scientific and Technical Services</v>
      </c>
      <c r="D901">
        <f>raw_data!D901</f>
        <v>29.97</v>
      </c>
      <c r="E901">
        <f>raw_data!E901</f>
        <v>46.15</v>
      </c>
      <c r="F901">
        <f>raw_data!F901</f>
        <v>22.6</v>
      </c>
      <c r="G901">
        <f>raw_data!G901</f>
        <v>32.61</v>
      </c>
      <c r="H901">
        <f>(raw_data!D901*weights!$B$2)+(raw_data!E901*weights!$B$3)+(raw_data!F901*weights!$B$4)</f>
        <v>32.613</v>
      </c>
      <c r="I901" t="str">
        <f t="shared" si="28"/>
        <v>Moderate</v>
      </c>
      <c r="J901" t="str">
        <f t="shared" si="29"/>
        <v>2022 Q1</v>
      </c>
      <c r="K901">
        <f>raw_data!H901</f>
        <v>11.99</v>
      </c>
      <c r="L901" s="13">
        <f>raw_data!I901</f>
        <v>13.85</v>
      </c>
      <c r="M901" s="13">
        <f>raw_data!J901</f>
        <v>6.78</v>
      </c>
    </row>
    <row r="902" spans="1:13" x14ac:dyDescent="0.2">
      <c r="A902" t="str">
        <f>raw_data!A902</f>
        <v>2022Q2</v>
      </c>
      <c r="B902" t="str">
        <f>raw_data!B902</f>
        <v>New South Wales</v>
      </c>
      <c r="C902" t="str">
        <f>raw_data!C902</f>
        <v>Accommodation and Food Services</v>
      </c>
      <c r="D902">
        <f>raw_data!D902</f>
        <v>65.599999999999994</v>
      </c>
      <c r="E902">
        <f>raw_data!E902</f>
        <v>40.380000000000003</v>
      </c>
      <c r="F902">
        <f>raw_data!F902</f>
        <v>15.41</v>
      </c>
      <c r="G902">
        <f>raw_data!G902</f>
        <v>42.98</v>
      </c>
      <c r="H902">
        <f>(raw_data!D902*weights!$B$2)+(raw_data!E902*weights!$B$3)+(raw_data!F902*weights!$B$4)</f>
        <v>42.976999999999997</v>
      </c>
      <c r="I902" t="str">
        <f t="shared" si="28"/>
        <v>Moderate</v>
      </c>
      <c r="J902" t="str">
        <f t="shared" si="29"/>
        <v>2022 Q2</v>
      </c>
      <c r="K902">
        <f>raw_data!H902</f>
        <v>26.24</v>
      </c>
      <c r="L902" s="13">
        <f>raw_data!I902</f>
        <v>12.12</v>
      </c>
      <c r="M902" s="13">
        <f>raw_data!J902</f>
        <v>4.62</v>
      </c>
    </row>
    <row r="903" spans="1:13" x14ac:dyDescent="0.2">
      <c r="A903" t="str">
        <f>raw_data!A903</f>
        <v>2022Q2</v>
      </c>
      <c r="B903" t="str">
        <f>raw_data!B903</f>
        <v>New South Wales</v>
      </c>
      <c r="C903" t="str">
        <f>raw_data!C903</f>
        <v>Construction</v>
      </c>
      <c r="D903">
        <f>raw_data!D903</f>
        <v>29.03</v>
      </c>
      <c r="E903">
        <f>raw_data!E903</f>
        <v>59.62</v>
      </c>
      <c r="F903">
        <f>raw_data!F903</f>
        <v>22.41</v>
      </c>
      <c r="G903">
        <f>raw_data!G903</f>
        <v>36.22</v>
      </c>
      <c r="H903">
        <f>(raw_data!D903*weights!$B$2)+(raw_data!E903*weights!$B$3)+(raw_data!F903*weights!$B$4)</f>
        <v>36.221000000000004</v>
      </c>
      <c r="I903" t="str">
        <f t="shared" si="28"/>
        <v>Moderate</v>
      </c>
      <c r="J903" t="str">
        <f t="shared" si="29"/>
        <v>2022 Q2</v>
      </c>
      <c r="K903">
        <f>raw_data!H903</f>
        <v>11.61</v>
      </c>
      <c r="L903" s="13">
        <f>raw_data!I903</f>
        <v>17.88</v>
      </c>
      <c r="M903" s="13">
        <f>raw_data!J903</f>
        <v>6.72</v>
      </c>
    </row>
    <row r="904" spans="1:13" x14ac:dyDescent="0.2">
      <c r="A904" t="str">
        <f>raw_data!A904</f>
        <v>2022Q2</v>
      </c>
      <c r="B904" t="str">
        <f>raw_data!B904</f>
        <v>New South Wales</v>
      </c>
      <c r="C904" t="str">
        <f>raw_data!C904</f>
        <v>Education and Training</v>
      </c>
      <c r="D904">
        <f>raw_data!D904</f>
        <v>8.57</v>
      </c>
      <c r="E904">
        <f>raw_data!E904</f>
        <v>38.46</v>
      </c>
      <c r="F904">
        <f>raw_data!F904</f>
        <v>7.67</v>
      </c>
      <c r="G904">
        <f>raw_data!G904</f>
        <v>17.27</v>
      </c>
      <c r="H904">
        <f>(raw_data!D904*weights!$B$2)+(raw_data!E904*weights!$B$3)+(raw_data!F904*weights!$B$4)</f>
        <v>17.266999999999999</v>
      </c>
      <c r="I904" t="str">
        <f t="shared" si="28"/>
        <v>Low</v>
      </c>
      <c r="J904" t="str">
        <f t="shared" si="29"/>
        <v>2022 Q2</v>
      </c>
      <c r="K904">
        <f>raw_data!H904</f>
        <v>3.43</v>
      </c>
      <c r="L904" s="13">
        <f>raw_data!I904</f>
        <v>11.54</v>
      </c>
      <c r="M904" s="13">
        <f>raw_data!J904</f>
        <v>2.2999999999999998</v>
      </c>
    </row>
    <row r="905" spans="1:13" x14ac:dyDescent="0.2">
      <c r="A905" t="str">
        <f>raw_data!A905</f>
        <v>2022Q2</v>
      </c>
      <c r="B905" t="str">
        <f>raw_data!B905</f>
        <v>New South Wales</v>
      </c>
      <c r="C905" t="str">
        <f>raw_data!C905</f>
        <v>Health Care and Social Assistance</v>
      </c>
      <c r="D905">
        <f>raw_data!D905</f>
        <v>30.93</v>
      </c>
      <c r="E905">
        <f>raw_data!E905</f>
        <v>38.46</v>
      </c>
      <c r="F905">
        <f>raw_data!F905</f>
        <v>28.5</v>
      </c>
      <c r="G905">
        <f>raw_data!G905</f>
        <v>32.46</v>
      </c>
      <c r="H905">
        <f>(raw_data!D905*weights!$B$2)+(raw_data!E905*weights!$B$3)+(raw_data!F905*weights!$B$4)</f>
        <v>32.46</v>
      </c>
      <c r="I905" t="str">
        <f t="shared" si="28"/>
        <v>Moderate</v>
      </c>
      <c r="J905" t="str">
        <f t="shared" si="29"/>
        <v>2022 Q2</v>
      </c>
      <c r="K905">
        <f>raw_data!H905</f>
        <v>12.37</v>
      </c>
      <c r="L905" s="13">
        <f>raw_data!I905</f>
        <v>11.54</v>
      </c>
      <c r="M905" s="13">
        <f>raw_data!J905</f>
        <v>8.5500000000000007</v>
      </c>
    </row>
    <row r="906" spans="1:13" x14ac:dyDescent="0.2">
      <c r="A906" t="str">
        <f>raw_data!A906</f>
        <v>2022Q2</v>
      </c>
      <c r="B906" t="str">
        <f>raw_data!B906</f>
        <v>New South Wales</v>
      </c>
      <c r="C906" t="str">
        <f>raw_data!C906</f>
        <v>Manufacturing</v>
      </c>
      <c r="D906">
        <f>raw_data!D906</f>
        <v>32.28</v>
      </c>
      <c r="E906">
        <f>raw_data!E906</f>
        <v>53.85</v>
      </c>
      <c r="F906">
        <f>raw_data!F906</f>
        <v>18.2</v>
      </c>
      <c r="G906">
        <f>raw_data!G906</f>
        <v>34.520000000000003</v>
      </c>
      <c r="H906">
        <f>(raw_data!D906*weights!$B$2)+(raw_data!E906*weights!$B$3)+(raw_data!F906*weights!$B$4)</f>
        <v>34.527000000000001</v>
      </c>
      <c r="I906" t="str">
        <f t="shared" si="28"/>
        <v>Moderate</v>
      </c>
      <c r="J906" t="str">
        <f t="shared" si="29"/>
        <v>2022 Q2</v>
      </c>
      <c r="K906">
        <f>raw_data!H906</f>
        <v>12.91</v>
      </c>
      <c r="L906" s="13">
        <f>raw_data!I906</f>
        <v>16.149999999999999</v>
      </c>
      <c r="M906" s="13">
        <f>raw_data!J906</f>
        <v>5.46</v>
      </c>
    </row>
    <row r="907" spans="1:13" x14ac:dyDescent="0.2">
      <c r="A907" t="str">
        <f>raw_data!A907</f>
        <v>2022Q2</v>
      </c>
      <c r="B907" t="str">
        <f>raw_data!B907</f>
        <v>New South Wales</v>
      </c>
      <c r="C907" t="str">
        <f>raw_data!C907</f>
        <v>Professional, Scientific and Technical Services</v>
      </c>
      <c r="D907">
        <f>raw_data!D907</f>
        <v>25.79</v>
      </c>
      <c r="E907">
        <f>raw_data!E907</f>
        <v>50</v>
      </c>
      <c r="F907">
        <f>raw_data!F907</f>
        <v>26.91</v>
      </c>
      <c r="G907">
        <f>raw_data!G907</f>
        <v>33.39</v>
      </c>
      <c r="H907">
        <f>(raw_data!D907*weights!$B$2)+(raw_data!E907*weights!$B$3)+(raw_data!F907*weights!$B$4)</f>
        <v>33.389000000000003</v>
      </c>
      <c r="I907" t="str">
        <f t="shared" si="28"/>
        <v>Moderate</v>
      </c>
      <c r="J907" t="str">
        <f t="shared" si="29"/>
        <v>2022 Q2</v>
      </c>
      <c r="K907">
        <f>raw_data!H907</f>
        <v>10.31</v>
      </c>
      <c r="L907" s="13">
        <f>raw_data!I907</f>
        <v>15</v>
      </c>
      <c r="M907" s="13">
        <f>raw_data!J907</f>
        <v>8.07</v>
      </c>
    </row>
    <row r="908" spans="1:13" x14ac:dyDescent="0.2">
      <c r="A908" t="str">
        <f>raw_data!A908</f>
        <v>2022Q2</v>
      </c>
      <c r="B908" t="str">
        <f>raw_data!B908</f>
        <v>Queensland</v>
      </c>
      <c r="C908" t="str">
        <f>raw_data!C908</f>
        <v>Accommodation and Food Services</v>
      </c>
      <c r="D908">
        <f>raw_data!D908</f>
        <v>81.569999999999993</v>
      </c>
      <c r="E908">
        <f>raw_data!E908</f>
        <v>40.380000000000003</v>
      </c>
      <c r="F908">
        <f>raw_data!F908</f>
        <v>17.75</v>
      </c>
      <c r="G908">
        <f>raw_data!G908</f>
        <v>50.07</v>
      </c>
      <c r="H908">
        <f>(raw_data!D908*weights!$B$2)+(raw_data!E908*weights!$B$3)+(raw_data!F908*weights!$B$4)</f>
        <v>50.067000000000007</v>
      </c>
      <c r="I908" t="str">
        <f t="shared" si="28"/>
        <v>High</v>
      </c>
      <c r="J908" t="str">
        <f t="shared" si="29"/>
        <v>2022 Q2</v>
      </c>
      <c r="K908">
        <f>raw_data!H908</f>
        <v>32.630000000000003</v>
      </c>
      <c r="L908" s="13">
        <f>raw_data!I908</f>
        <v>12.12</v>
      </c>
      <c r="M908" s="13">
        <f>raw_data!J908</f>
        <v>5.33</v>
      </c>
    </row>
    <row r="909" spans="1:13" x14ac:dyDescent="0.2">
      <c r="A909" t="str">
        <f>raw_data!A909</f>
        <v>2022Q2</v>
      </c>
      <c r="B909" t="str">
        <f>raw_data!B909</f>
        <v>Queensland</v>
      </c>
      <c r="C909" t="str">
        <f>raw_data!C909</f>
        <v>Construction</v>
      </c>
      <c r="D909">
        <f>raw_data!D909</f>
        <v>46.44</v>
      </c>
      <c r="E909">
        <f>raw_data!E909</f>
        <v>59.62</v>
      </c>
      <c r="F909">
        <f>raw_data!F909</f>
        <v>30.58</v>
      </c>
      <c r="G909">
        <f>raw_data!G909</f>
        <v>45.64</v>
      </c>
      <c r="H909">
        <f>(raw_data!D909*weights!$B$2)+(raw_data!E909*weights!$B$3)+(raw_data!F909*weights!$B$4)</f>
        <v>45.636000000000003</v>
      </c>
      <c r="I909" t="str">
        <f t="shared" si="28"/>
        <v>High</v>
      </c>
      <c r="J909" t="str">
        <f t="shared" si="29"/>
        <v>2022 Q2</v>
      </c>
      <c r="K909">
        <f>raw_data!H909</f>
        <v>18.579999999999998</v>
      </c>
      <c r="L909" s="13">
        <f>raw_data!I909</f>
        <v>17.88</v>
      </c>
      <c r="M909" s="13">
        <f>raw_data!J909</f>
        <v>9.17</v>
      </c>
    </row>
    <row r="910" spans="1:13" x14ac:dyDescent="0.2">
      <c r="A910" t="str">
        <f>raw_data!A910</f>
        <v>2022Q2</v>
      </c>
      <c r="B910" t="str">
        <f>raw_data!B910</f>
        <v>Queensland</v>
      </c>
      <c r="C910" t="str">
        <f>raw_data!C910</f>
        <v>Education and Training</v>
      </c>
      <c r="D910">
        <f>raw_data!D910</f>
        <v>12.47</v>
      </c>
      <c r="E910">
        <f>raw_data!E910</f>
        <v>38.46</v>
      </c>
      <c r="F910">
        <f>raw_data!F910</f>
        <v>17.11</v>
      </c>
      <c r="G910">
        <f>raw_data!G910</f>
        <v>21.66</v>
      </c>
      <c r="H910">
        <f>(raw_data!D910*weights!$B$2)+(raw_data!E910*weights!$B$3)+(raw_data!F910*weights!$B$4)</f>
        <v>21.658999999999999</v>
      </c>
      <c r="I910" t="str">
        <f t="shared" si="28"/>
        <v>Low</v>
      </c>
      <c r="J910" t="str">
        <f t="shared" si="29"/>
        <v>2022 Q2</v>
      </c>
      <c r="K910">
        <f>raw_data!H910</f>
        <v>4.99</v>
      </c>
      <c r="L910" s="13">
        <f>raw_data!I910</f>
        <v>11.54</v>
      </c>
      <c r="M910" s="13">
        <f>raw_data!J910</f>
        <v>5.13</v>
      </c>
    </row>
    <row r="911" spans="1:13" x14ac:dyDescent="0.2">
      <c r="A911" t="str">
        <f>raw_data!A911</f>
        <v>2022Q2</v>
      </c>
      <c r="B911" t="str">
        <f>raw_data!B911</f>
        <v>Queensland</v>
      </c>
      <c r="C911" t="str">
        <f>raw_data!C911</f>
        <v>Health Care and Social Assistance</v>
      </c>
      <c r="D911">
        <f>raw_data!D911</f>
        <v>39.43</v>
      </c>
      <c r="E911">
        <f>raw_data!E911</f>
        <v>38.46</v>
      </c>
      <c r="F911">
        <f>raw_data!F911</f>
        <v>60.92</v>
      </c>
      <c r="G911">
        <f>raw_data!G911</f>
        <v>45.59</v>
      </c>
      <c r="H911">
        <f>(raw_data!D911*weights!$B$2)+(raw_data!E911*weights!$B$3)+(raw_data!F911*weights!$B$4)</f>
        <v>45.585999999999999</v>
      </c>
      <c r="I911" t="str">
        <f t="shared" si="28"/>
        <v>High</v>
      </c>
      <c r="J911" t="str">
        <f t="shared" si="29"/>
        <v>2022 Q2</v>
      </c>
      <c r="K911">
        <f>raw_data!H911</f>
        <v>15.77</v>
      </c>
      <c r="L911" s="13">
        <f>raw_data!I911</f>
        <v>11.54</v>
      </c>
      <c r="M911" s="13">
        <f>raw_data!J911</f>
        <v>18.28</v>
      </c>
    </row>
    <row r="912" spans="1:13" x14ac:dyDescent="0.2">
      <c r="A912" t="str">
        <f>raw_data!A912</f>
        <v>2022Q2</v>
      </c>
      <c r="B912" t="str">
        <f>raw_data!B912</f>
        <v>Queensland</v>
      </c>
      <c r="C912" t="str">
        <f>raw_data!C912</f>
        <v>Manufacturing</v>
      </c>
      <c r="D912">
        <f>raw_data!D912</f>
        <v>46.51</v>
      </c>
      <c r="E912">
        <f>raw_data!E912</f>
        <v>53.85</v>
      </c>
      <c r="F912">
        <f>raw_data!F912</f>
        <v>21.7</v>
      </c>
      <c r="G912">
        <f>raw_data!G912</f>
        <v>41.27</v>
      </c>
      <c r="H912">
        <f>(raw_data!D912*weights!$B$2)+(raw_data!E912*weights!$B$3)+(raw_data!F912*weights!$B$4)</f>
        <v>41.268999999999998</v>
      </c>
      <c r="I912" t="str">
        <f t="shared" si="28"/>
        <v>Moderate</v>
      </c>
      <c r="J912" t="str">
        <f t="shared" si="29"/>
        <v>2022 Q2</v>
      </c>
      <c r="K912">
        <f>raw_data!H912</f>
        <v>18.61</v>
      </c>
      <c r="L912" s="13">
        <f>raw_data!I912</f>
        <v>16.149999999999999</v>
      </c>
      <c r="M912" s="13">
        <f>raw_data!J912</f>
        <v>6.51</v>
      </c>
    </row>
    <row r="913" spans="1:13" x14ac:dyDescent="0.2">
      <c r="A913" t="str">
        <f>raw_data!A913</f>
        <v>2022Q2</v>
      </c>
      <c r="B913" t="str">
        <f>raw_data!B913</f>
        <v>Queensland</v>
      </c>
      <c r="C913" t="str">
        <f>raw_data!C913</f>
        <v>Professional, Scientific and Technical Services</v>
      </c>
      <c r="D913">
        <f>raw_data!D913</f>
        <v>54.42</v>
      </c>
      <c r="E913">
        <f>raw_data!E913</f>
        <v>50</v>
      </c>
      <c r="F913">
        <f>raw_data!F913</f>
        <v>69.94</v>
      </c>
      <c r="G913">
        <f>raw_data!G913</f>
        <v>57.75</v>
      </c>
      <c r="H913">
        <f>(raw_data!D913*weights!$B$2)+(raw_data!E913*weights!$B$3)+(raw_data!F913*weights!$B$4)</f>
        <v>57.75</v>
      </c>
      <c r="I913" t="str">
        <f t="shared" si="28"/>
        <v>High</v>
      </c>
      <c r="J913" t="str">
        <f t="shared" si="29"/>
        <v>2022 Q2</v>
      </c>
      <c r="K913">
        <f>raw_data!H913</f>
        <v>21.77</v>
      </c>
      <c r="L913" s="13">
        <f>raw_data!I913</f>
        <v>15</v>
      </c>
      <c r="M913" s="13">
        <f>raw_data!J913</f>
        <v>20.98</v>
      </c>
    </row>
    <row r="914" spans="1:13" x14ac:dyDescent="0.2">
      <c r="A914" t="str">
        <f>raw_data!A914</f>
        <v>2022Q2</v>
      </c>
      <c r="B914" t="str">
        <f>raw_data!B914</f>
        <v>Victoria</v>
      </c>
      <c r="C914" t="str">
        <f>raw_data!C914</f>
        <v>Accommodation and Food Services</v>
      </c>
      <c r="D914">
        <f>raw_data!D914</f>
        <v>77.31</v>
      </c>
      <c r="E914">
        <f>raw_data!E914</f>
        <v>40.380000000000003</v>
      </c>
      <c r="F914">
        <f>raw_data!F914</f>
        <v>26.16</v>
      </c>
      <c r="G914">
        <f>raw_data!G914</f>
        <v>50.89</v>
      </c>
      <c r="H914">
        <f>(raw_data!D914*weights!$B$2)+(raw_data!E914*weights!$B$3)+(raw_data!F914*weights!$B$4)</f>
        <v>50.886000000000003</v>
      </c>
      <c r="I914" t="str">
        <f t="shared" si="28"/>
        <v>High</v>
      </c>
      <c r="J914" t="str">
        <f t="shared" si="29"/>
        <v>2022 Q2</v>
      </c>
      <c r="K914">
        <f>raw_data!H914</f>
        <v>30.92</v>
      </c>
      <c r="L914" s="13">
        <f>raw_data!I914</f>
        <v>12.12</v>
      </c>
      <c r="M914" s="13">
        <f>raw_data!J914</f>
        <v>7.85</v>
      </c>
    </row>
    <row r="915" spans="1:13" x14ac:dyDescent="0.2">
      <c r="A915" t="str">
        <f>raw_data!A915</f>
        <v>2022Q2</v>
      </c>
      <c r="B915" t="str">
        <f>raw_data!B915</f>
        <v>Victoria</v>
      </c>
      <c r="C915" t="str">
        <f>raw_data!C915</f>
        <v>Construction</v>
      </c>
      <c r="D915">
        <f>raw_data!D915</f>
        <v>32.82</v>
      </c>
      <c r="E915">
        <f>raw_data!E915</f>
        <v>59.62</v>
      </c>
      <c r="F915">
        <f>raw_data!F915</f>
        <v>35.9</v>
      </c>
      <c r="G915">
        <f>raw_data!G915</f>
        <v>41.78</v>
      </c>
      <c r="H915">
        <f>(raw_data!D915*weights!$B$2)+(raw_data!E915*weights!$B$3)+(raw_data!F915*weights!$B$4)</f>
        <v>41.783999999999999</v>
      </c>
      <c r="I915" t="str">
        <f t="shared" si="28"/>
        <v>Moderate</v>
      </c>
      <c r="J915" t="str">
        <f t="shared" si="29"/>
        <v>2022 Q2</v>
      </c>
      <c r="K915">
        <f>raw_data!H915</f>
        <v>13.13</v>
      </c>
      <c r="L915" s="13">
        <f>raw_data!I915</f>
        <v>17.88</v>
      </c>
      <c r="M915" s="13">
        <f>raw_data!J915</f>
        <v>10.77</v>
      </c>
    </row>
    <row r="916" spans="1:13" x14ac:dyDescent="0.2">
      <c r="A916" t="str">
        <f>raw_data!A916</f>
        <v>2022Q2</v>
      </c>
      <c r="B916" t="str">
        <f>raw_data!B916</f>
        <v>Victoria</v>
      </c>
      <c r="C916" t="str">
        <f>raw_data!C916</f>
        <v>Education and Training</v>
      </c>
      <c r="D916">
        <f>raw_data!D916</f>
        <v>9.9600000000000009</v>
      </c>
      <c r="E916">
        <f>raw_data!E916</f>
        <v>38.46</v>
      </c>
      <c r="F916">
        <f>raw_data!F916</f>
        <v>25.58</v>
      </c>
      <c r="G916">
        <f>raw_data!G916</f>
        <v>23.2</v>
      </c>
      <c r="H916">
        <f>(raw_data!D916*weights!$B$2)+(raw_data!E916*weights!$B$3)+(raw_data!F916*weights!$B$4)</f>
        <v>23.195999999999998</v>
      </c>
      <c r="I916" t="str">
        <f t="shared" si="28"/>
        <v>Low</v>
      </c>
      <c r="J916" t="str">
        <f t="shared" si="29"/>
        <v>2022 Q2</v>
      </c>
      <c r="K916">
        <f>raw_data!H916</f>
        <v>3.99</v>
      </c>
      <c r="L916" s="13">
        <f>raw_data!I916</f>
        <v>11.54</v>
      </c>
      <c r="M916" s="13">
        <f>raw_data!J916</f>
        <v>7.67</v>
      </c>
    </row>
    <row r="917" spans="1:13" x14ac:dyDescent="0.2">
      <c r="A917" t="str">
        <f>raw_data!A917</f>
        <v>2022Q2</v>
      </c>
      <c r="B917" t="str">
        <f>raw_data!B917</f>
        <v>Victoria</v>
      </c>
      <c r="C917" t="str">
        <f>raw_data!C917</f>
        <v>Health Care and Social Assistance</v>
      </c>
      <c r="D917">
        <f>raw_data!D917</f>
        <v>36.51</v>
      </c>
      <c r="E917">
        <f>raw_data!E917</f>
        <v>38.46</v>
      </c>
      <c r="F917">
        <f>raw_data!F917</f>
        <v>26.57</v>
      </c>
      <c r="G917">
        <f>raw_data!G917</f>
        <v>34.11</v>
      </c>
      <c r="H917">
        <f>(raw_data!D917*weights!$B$2)+(raw_data!E917*weights!$B$3)+(raw_data!F917*weights!$B$4)</f>
        <v>34.113</v>
      </c>
      <c r="I917" t="str">
        <f t="shared" si="28"/>
        <v>Moderate</v>
      </c>
      <c r="J917" t="str">
        <f t="shared" si="29"/>
        <v>2022 Q2</v>
      </c>
      <c r="K917">
        <f>raw_data!H917</f>
        <v>14.6</v>
      </c>
      <c r="L917" s="13">
        <f>raw_data!I917</f>
        <v>11.54</v>
      </c>
      <c r="M917" s="13">
        <f>raw_data!J917</f>
        <v>7.97</v>
      </c>
    </row>
    <row r="918" spans="1:13" x14ac:dyDescent="0.2">
      <c r="A918" t="str">
        <f>raw_data!A918</f>
        <v>2022Q2</v>
      </c>
      <c r="B918" t="str">
        <f>raw_data!B918</f>
        <v>Victoria</v>
      </c>
      <c r="C918" t="str">
        <f>raw_data!C918</f>
        <v>Manufacturing</v>
      </c>
      <c r="D918">
        <f>raw_data!D918</f>
        <v>31.79</v>
      </c>
      <c r="E918">
        <f>raw_data!E918</f>
        <v>53.85</v>
      </c>
      <c r="F918">
        <f>raw_data!F918</f>
        <v>19.62</v>
      </c>
      <c r="G918">
        <f>raw_data!G918</f>
        <v>34.76</v>
      </c>
      <c r="H918">
        <f>(raw_data!D918*weights!$B$2)+(raw_data!E918*weights!$B$3)+(raw_data!F918*weights!$B$4)</f>
        <v>34.757000000000005</v>
      </c>
      <c r="I918" t="str">
        <f t="shared" si="28"/>
        <v>Moderate</v>
      </c>
      <c r="J918" t="str">
        <f t="shared" si="29"/>
        <v>2022 Q2</v>
      </c>
      <c r="K918">
        <f>raw_data!H918</f>
        <v>12.72</v>
      </c>
      <c r="L918" s="13">
        <f>raw_data!I918</f>
        <v>16.149999999999999</v>
      </c>
      <c r="M918" s="13">
        <f>raw_data!J918</f>
        <v>5.89</v>
      </c>
    </row>
    <row r="919" spans="1:13" x14ac:dyDescent="0.2">
      <c r="A919" t="str">
        <f>raw_data!A919</f>
        <v>2022Q2</v>
      </c>
      <c r="B919" t="str">
        <f>raw_data!B919</f>
        <v>Victoria</v>
      </c>
      <c r="C919" t="str">
        <f>raw_data!C919</f>
        <v>Professional, Scientific and Technical Services</v>
      </c>
      <c r="D919">
        <f>raw_data!D919</f>
        <v>31.81</v>
      </c>
      <c r="E919">
        <f>raw_data!E919</f>
        <v>50</v>
      </c>
      <c r="F919">
        <f>raw_data!F919</f>
        <v>56.27</v>
      </c>
      <c r="G919">
        <f>raw_data!G919</f>
        <v>44.61</v>
      </c>
      <c r="H919">
        <f>(raw_data!D919*weights!$B$2)+(raw_data!E919*weights!$B$3)+(raw_data!F919*weights!$B$4)</f>
        <v>44.605000000000004</v>
      </c>
      <c r="I919" t="str">
        <f t="shared" si="28"/>
        <v>Moderate</v>
      </c>
      <c r="J919" t="str">
        <f t="shared" si="29"/>
        <v>2022 Q2</v>
      </c>
      <c r="K919">
        <f>raw_data!H919</f>
        <v>12.72</v>
      </c>
      <c r="L919" s="13">
        <f>raw_data!I919</f>
        <v>15</v>
      </c>
      <c r="M919" s="13">
        <f>raw_data!J919</f>
        <v>16.88</v>
      </c>
    </row>
    <row r="920" spans="1:13" x14ac:dyDescent="0.2">
      <c r="A920" t="str">
        <f>raw_data!A920</f>
        <v>2022Q3</v>
      </c>
      <c r="B920" t="str">
        <f>raw_data!B920</f>
        <v>New South Wales</v>
      </c>
      <c r="C920" t="str">
        <f>raw_data!C920</f>
        <v>Accommodation and Food Services</v>
      </c>
      <c r="D920">
        <f>raw_data!D920</f>
        <v>73.91</v>
      </c>
      <c r="E920">
        <f>raw_data!E920</f>
        <v>46.15</v>
      </c>
      <c r="F920">
        <f>raw_data!F920</f>
        <v>14.84</v>
      </c>
      <c r="G920">
        <f>raw_data!G920</f>
        <v>47.86</v>
      </c>
      <c r="H920">
        <f>(raw_data!D920*weights!$B$2)+(raw_data!E920*weights!$B$3)+(raw_data!F920*weights!$B$4)</f>
        <v>47.860999999999997</v>
      </c>
      <c r="I920" t="str">
        <f t="shared" si="28"/>
        <v>High</v>
      </c>
      <c r="J920" t="str">
        <f t="shared" si="29"/>
        <v>2022 Q3</v>
      </c>
      <c r="K920">
        <f>raw_data!H920</f>
        <v>29.56</v>
      </c>
      <c r="L920" s="13">
        <f>raw_data!I920</f>
        <v>13.85</v>
      </c>
      <c r="M920" s="13">
        <f>raw_data!J920</f>
        <v>4.45</v>
      </c>
    </row>
    <row r="921" spans="1:13" x14ac:dyDescent="0.2">
      <c r="A921" t="str">
        <f>raw_data!A921</f>
        <v>2022Q3</v>
      </c>
      <c r="B921" t="str">
        <f>raw_data!B921</f>
        <v>New South Wales</v>
      </c>
      <c r="C921" t="str">
        <f>raw_data!C921</f>
        <v>Construction</v>
      </c>
      <c r="D921">
        <f>raw_data!D921</f>
        <v>22.7</v>
      </c>
      <c r="E921">
        <f>raw_data!E921</f>
        <v>59.62</v>
      </c>
      <c r="F921">
        <f>raw_data!F921</f>
        <v>17.309999999999999</v>
      </c>
      <c r="G921">
        <f>raw_data!G921</f>
        <v>32.159999999999997</v>
      </c>
      <c r="H921">
        <f>(raw_data!D921*weights!$B$2)+(raw_data!E921*weights!$B$3)+(raw_data!F921*weights!$B$4)</f>
        <v>32.158999999999999</v>
      </c>
      <c r="I921" t="str">
        <f t="shared" si="28"/>
        <v>Moderate</v>
      </c>
      <c r="J921" t="str">
        <f t="shared" si="29"/>
        <v>2022 Q3</v>
      </c>
      <c r="K921">
        <f>raw_data!H921</f>
        <v>9.08</v>
      </c>
      <c r="L921" s="13">
        <f>raw_data!I921</f>
        <v>17.88</v>
      </c>
      <c r="M921" s="13">
        <f>raw_data!J921</f>
        <v>5.19</v>
      </c>
    </row>
    <row r="922" spans="1:13" x14ac:dyDescent="0.2">
      <c r="A922" t="str">
        <f>raw_data!A922</f>
        <v>2022Q3</v>
      </c>
      <c r="B922" t="str">
        <f>raw_data!B922</f>
        <v>New South Wales</v>
      </c>
      <c r="C922" t="str">
        <f>raw_data!C922</f>
        <v>Education and Training</v>
      </c>
      <c r="D922">
        <f>raw_data!D922</f>
        <v>7.17</v>
      </c>
      <c r="E922">
        <f>raw_data!E922</f>
        <v>36.54</v>
      </c>
      <c r="F922">
        <f>raw_data!F922</f>
        <v>18.75</v>
      </c>
      <c r="G922">
        <f>raw_data!G922</f>
        <v>19.45</v>
      </c>
      <c r="H922">
        <f>(raw_data!D922*weights!$B$2)+(raw_data!E922*weights!$B$3)+(raw_data!F922*weights!$B$4)</f>
        <v>19.454999999999998</v>
      </c>
      <c r="I922" t="str">
        <f t="shared" si="28"/>
        <v>Low</v>
      </c>
      <c r="J922" t="str">
        <f t="shared" si="29"/>
        <v>2022 Q3</v>
      </c>
      <c r="K922">
        <f>raw_data!H922</f>
        <v>2.87</v>
      </c>
      <c r="L922" s="13">
        <f>raw_data!I922</f>
        <v>10.96</v>
      </c>
      <c r="M922" s="13">
        <f>raw_data!J922</f>
        <v>5.63</v>
      </c>
    </row>
    <row r="923" spans="1:13" x14ac:dyDescent="0.2">
      <c r="A923" t="str">
        <f>raw_data!A923</f>
        <v>2022Q3</v>
      </c>
      <c r="B923" t="str">
        <f>raw_data!B923</f>
        <v>New South Wales</v>
      </c>
      <c r="C923" t="str">
        <f>raw_data!C923</f>
        <v>Health Care and Social Assistance</v>
      </c>
      <c r="D923">
        <f>raw_data!D923</f>
        <v>32.25</v>
      </c>
      <c r="E923">
        <f>raw_data!E923</f>
        <v>50</v>
      </c>
      <c r="F923">
        <f>raw_data!F923</f>
        <v>33.31</v>
      </c>
      <c r="G923">
        <f>raw_data!G923</f>
        <v>37.89</v>
      </c>
      <c r="H923">
        <f>(raw_data!D923*weights!$B$2)+(raw_data!E923*weights!$B$3)+(raw_data!F923*weights!$B$4)</f>
        <v>37.893000000000001</v>
      </c>
      <c r="I923" t="str">
        <f t="shared" si="28"/>
        <v>Moderate</v>
      </c>
      <c r="J923" t="str">
        <f t="shared" si="29"/>
        <v>2022 Q3</v>
      </c>
      <c r="K923">
        <f>raw_data!H923</f>
        <v>12.9</v>
      </c>
      <c r="L923" s="13">
        <f>raw_data!I923</f>
        <v>15</v>
      </c>
      <c r="M923" s="13">
        <f>raw_data!J923</f>
        <v>9.99</v>
      </c>
    </row>
    <row r="924" spans="1:13" x14ac:dyDescent="0.2">
      <c r="A924" t="str">
        <f>raw_data!A924</f>
        <v>2022Q3</v>
      </c>
      <c r="B924" t="str">
        <f>raw_data!B924</f>
        <v>New South Wales</v>
      </c>
      <c r="C924" t="str">
        <f>raw_data!C924</f>
        <v>Manufacturing</v>
      </c>
      <c r="D924">
        <f>raw_data!D924</f>
        <v>32.26</v>
      </c>
      <c r="E924">
        <f>raw_data!E924</f>
        <v>63.46</v>
      </c>
      <c r="F924">
        <f>raw_data!F924</f>
        <v>36.299999999999997</v>
      </c>
      <c r="G924">
        <f>raw_data!G924</f>
        <v>42.83</v>
      </c>
      <c r="H924">
        <f>(raw_data!D924*weights!$B$2)+(raw_data!E924*weights!$B$3)+(raw_data!F924*weights!$B$4)</f>
        <v>42.832000000000001</v>
      </c>
      <c r="I924" t="str">
        <f t="shared" si="28"/>
        <v>Moderate</v>
      </c>
      <c r="J924" t="str">
        <f t="shared" si="29"/>
        <v>2022 Q3</v>
      </c>
      <c r="K924">
        <f>raw_data!H924</f>
        <v>12.9</v>
      </c>
      <c r="L924" s="13">
        <f>raw_data!I924</f>
        <v>19.04</v>
      </c>
      <c r="M924" s="13">
        <f>raw_data!J924</f>
        <v>10.89</v>
      </c>
    </row>
    <row r="925" spans="1:13" x14ac:dyDescent="0.2">
      <c r="A925" t="str">
        <f>raw_data!A925</f>
        <v>2022Q3</v>
      </c>
      <c r="B925" t="str">
        <f>raw_data!B925</f>
        <v>New South Wales</v>
      </c>
      <c r="C925" t="str">
        <f>raw_data!C925</f>
        <v>Professional, Scientific and Technical Services</v>
      </c>
      <c r="D925">
        <f>raw_data!D925</f>
        <v>26.57</v>
      </c>
      <c r="E925">
        <f>raw_data!E925</f>
        <v>57.69</v>
      </c>
      <c r="F925">
        <f>raw_data!F925</f>
        <v>35.14</v>
      </c>
      <c r="G925">
        <f>raw_data!G925</f>
        <v>38.479999999999997</v>
      </c>
      <c r="H925">
        <f>(raw_data!D925*weights!$B$2)+(raw_data!E925*weights!$B$3)+(raw_data!F925*weights!$B$4)</f>
        <v>38.476999999999997</v>
      </c>
      <c r="I925" t="str">
        <f t="shared" si="28"/>
        <v>Moderate</v>
      </c>
      <c r="J925" t="str">
        <f t="shared" si="29"/>
        <v>2022 Q3</v>
      </c>
      <c r="K925">
        <f>raw_data!H925</f>
        <v>10.63</v>
      </c>
      <c r="L925" s="13">
        <f>raw_data!I925</f>
        <v>17.309999999999999</v>
      </c>
      <c r="M925" s="13">
        <f>raw_data!J925</f>
        <v>10.54</v>
      </c>
    </row>
    <row r="926" spans="1:13" x14ac:dyDescent="0.2">
      <c r="A926" t="str">
        <f>raw_data!A926</f>
        <v>2022Q3</v>
      </c>
      <c r="B926" t="str">
        <f>raw_data!B926</f>
        <v>Queensland</v>
      </c>
      <c r="C926" t="str">
        <f>raw_data!C926</f>
        <v>Accommodation and Food Services</v>
      </c>
      <c r="D926">
        <f>raw_data!D926</f>
        <v>92.54</v>
      </c>
      <c r="E926">
        <f>raw_data!E926</f>
        <v>46.15</v>
      </c>
      <c r="F926">
        <f>raw_data!F926</f>
        <v>30.06</v>
      </c>
      <c r="G926">
        <f>raw_data!G926</f>
        <v>59.88</v>
      </c>
      <c r="H926">
        <f>(raw_data!D926*weights!$B$2)+(raw_data!E926*weights!$B$3)+(raw_data!F926*weights!$B$4)</f>
        <v>59.879000000000005</v>
      </c>
      <c r="I926" t="str">
        <f t="shared" si="28"/>
        <v>High</v>
      </c>
      <c r="J926" t="str">
        <f t="shared" si="29"/>
        <v>2022 Q3</v>
      </c>
      <c r="K926">
        <f>raw_data!H926</f>
        <v>37.020000000000003</v>
      </c>
      <c r="L926" s="13">
        <f>raw_data!I926</f>
        <v>13.85</v>
      </c>
      <c r="M926" s="13">
        <f>raw_data!J926</f>
        <v>9.02</v>
      </c>
    </row>
    <row r="927" spans="1:13" x14ac:dyDescent="0.2">
      <c r="A927" t="str">
        <f>raw_data!A927</f>
        <v>2022Q3</v>
      </c>
      <c r="B927" t="str">
        <f>raw_data!B927</f>
        <v>Queensland</v>
      </c>
      <c r="C927" t="str">
        <f>raw_data!C927</f>
        <v>Construction</v>
      </c>
      <c r="D927">
        <f>raw_data!D927</f>
        <v>35.07</v>
      </c>
      <c r="E927">
        <f>raw_data!E927</f>
        <v>59.62</v>
      </c>
      <c r="F927">
        <f>raw_data!F927</f>
        <v>32.28</v>
      </c>
      <c r="G927">
        <f>raw_data!G927</f>
        <v>41.6</v>
      </c>
      <c r="H927">
        <f>(raw_data!D927*weights!$B$2)+(raw_data!E927*weights!$B$3)+(raw_data!F927*weights!$B$4)</f>
        <v>41.597999999999999</v>
      </c>
      <c r="I927" t="str">
        <f t="shared" si="28"/>
        <v>Moderate</v>
      </c>
      <c r="J927" t="str">
        <f t="shared" si="29"/>
        <v>2022 Q3</v>
      </c>
      <c r="K927">
        <f>raw_data!H927</f>
        <v>14.03</v>
      </c>
      <c r="L927" s="13">
        <f>raw_data!I927</f>
        <v>17.88</v>
      </c>
      <c r="M927" s="13">
        <f>raw_data!J927</f>
        <v>9.68</v>
      </c>
    </row>
    <row r="928" spans="1:13" x14ac:dyDescent="0.2">
      <c r="A928" t="str">
        <f>raw_data!A928</f>
        <v>2022Q3</v>
      </c>
      <c r="B928" t="str">
        <f>raw_data!B928</f>
        <v>Queensland</v>
      </c>
      <c r="C928" t="str">
        <f>raw_data!C928</f>
        <v>Education and Training</v>
      </c>
      <c r="D928">
        <f>raw_data!D928</f>
        <v>10.94</v>
      </c>
      <c r="E928">
        <f>raw_data!E928</f>
        <v>36.54</v>
      </c>
      <c r="F928">
        <f>raw_data!F928</f>
        <v>29.34</v>
      </c>
      <c r="G928">
        <f>raw_data!G928</f>
        <v>24.14</v>
      </c>
      <c r="H928">
        <f>(raw_data!D928*weights!$B$2)+(raw_data!E928*weights!$B$3)+(raw_data!F928*weights!$B$4)</f>
        <v>24.14</v>
      </c>
      <c r="I928" t="str">
        <f t="shared" si="28"/>
        <v>Low</v>
      </c>
      <c r="J928" t="str">
        <f t="shared" si="29"/>
        <v>2022 Q3</v>
      </c>
      <c r="K928">
        <f>raw_data!H928</f>
        <v>4.38</v>
      </c>
      <c r="L928" s="13">
        <f>raw_data!I928</f>
        <v>10.96</v>
      </c>
      <c r="M928" s="13">
        <f>raw_data!J928</f>
        <v>8.8000000000000007</v>
      </c>
    </row>
    <row r="929" spans="1:13" x14ac:dyDescent="0.2">
      <c r="A929" t="str">
        <f>raw_data!A929</f>
        <v>2022Q3</v>
      </c>
      <c r="B929" t="str">
        <f>raw_data!B929</f>
        <v>Queensland</v>
      </c>
      <c r="C929" t="str">
        <f>raw_data!C929</f>
        <v>Health Care and Social Assistance</v>
      </c>
      <c r="D929">
        <f>raw_data!D929</f>
        <v>43.88</v>
      </c>
      <c r="E929">
        <f>raw_data!E929</f>
        <v>50</v>
      </c>
      <c r="F929">
        <f>raw_data!F929</f>
        <v>58.37</v>
      </c>
      <c r="G929">
        <f>raw_data!G929</f>
        <v>50.07</v>
      </c>
      <c r="H929">
        <f>(raw_data!D929*weights!$B$2)+(raw_data!E929*weights!$B$3)+(raw_data!F929*weights!$B$4)</f>
        <v>50.063000000000002</v>
      </c>
      <c r="I929" t="str">
        <f t="shared" si="28"/>
        <v>High</v>
      </c>
      <c r="J929" t="str">
        <f t="shared" si="29"/>
        <v>2022 Q3</v>
      </c>
      <c r="K929">
        <f>raw_data!H929</f>
        <v>17.55</v>
      </c>
      <c r="L929" s="13">
        <f>raw_data!I929</f>
        <v>15</v>
      </c>
      <c r="M929" s="13">
        <f>raw_data!J929</f>
        <v>17.510000000000002</v>
      </c>
    </row>
    <row r="930" spans="1:13" x14ac:dyDescent="0.2">
      <c r="A930" t="str">
        <f>raw_data!A930</f>
        <v>2022Q3</v>
      </c>
      <c r="B930" t="str">
        <f>raw_data!B930</f>
        <v>Queensland</v>
      </c>
      <c r="C930" t="str">
        <f>raw_data!C930</f>
        <v>Manufacturing</v>
      </c>
      <c r="D930">
        <f>raw_data!D930</f>
        <v>46.3</v>
      </c>
      <c r="E930">
        <f>raw_data!E930</f>
        <v>63.46</v>
      </c>
      <c r="F930">
        <f>raw_data!F930</f>
        <v>34.89</v>
      </c>
      <c r="G930">
        <f>raw_data!G930</f>
        <v>48.02</v>
      </c>
      <c r="H930">
        <f>(raw_data!D930*weights!$B$2)+(raw_data!E930*weights!$B$3)+(raw_data!F930*weights!$B$4)</f>
        <v>48.024999999999999</v>
      </c>
      <c r="I930" t="str">
        <f t="shared" si="28"/>
        <v>High</v>
      </c>
      <c r="J930" t="str">
        <f t="shared" si="29"/>
        <v>2022 Q3</v>
      </c>
      <c r="K930">
        <f>raw_data!H930</f>
        <v>18.52</v>
      </c>
      <c r="L930" s="13">
        <f>raw_data!I930</f>
        <v>19.04</v>
      </c>
      <c r="M930" s="13">
        <f>raw_data!J930</f>
        <v>10.47</v>
      </c>
    </row>
    <row r="931" spans="1:13" x14ac:dyDescent="0.2">
      <c r="A931" t="str">
        <f>raw_data!A931</f>
        <v>2022Q3</v>
      </c>
      <c r="B931" t="str">
        <f>raw_data!B931</f>
        <v>Victoria</v>
      </c>
      <c r="C931" t="str">
        <f>raw_data!C931</f>
        <v>Accommodation and Food Services</v>
      </c>
      <c r="D931">
        <f>raw_data!D931</f>
        <v>89.35</v>
      </c>
      <c r="E931">
        <f>raw_data!E931</f>
        <v>46.15</v>
      </c>
      <c r="F931">
        <f>raw_data!F931</f>
        <v>24.77</v>
      </c>
      <c r="G931">
        <f>raw_data!G931</f>
        <v>57.01</v>
      </c>
      <c r="H931">
        <f>(raw_data!D931*weights!$B$2)+(raw_data!E931*weights!$B$3)+(raw_data!F931*weights!$B$4)</f>
        <v>57.015999999999998</v>
      </c>
      <c r="I931" t="str">
        <f t="shared" si="28"/>
        <v>High</v>
      </c>
      <c r="J931" t="str">
        <f t="shared" si="29"/>
        <v>2022 Q3</v>
      </c>
      <c r="K931">
        <f>raw_data!H931</f>
        <v>35.74</v>
      </c>
      <c r="L931" s="13">
        <f>raw_data!I931</f>
        <v>13.85</v>
      </c>
      <c r="M931" s="13">
        <f>raw_data!J931</f>
        <v>7.43</v>
      </c>
    </row>
    <row r="932" spans="1:13" x14ac:dyDescent="0.2">
      <c r="A932" t="str">
        <f>raw_data!A932</f>
        <v>2022Q3</v>
      </c>
      <c r="B932" t="str">
        <f>raw_data!B932</f>
        <v>Victoria</v>
      </c>
      <c r="C932" t="str">
        <f>raw_data!C932</f>
        <v>Construction</v>
      </c>
      <c r="D932">
        <f>raw_data!D932</f>
        <v>26.35</v>
      </c>
      <c r="E932">
        <f>raw_data!E932</f>
        <v>59.62</v>
      </c>
      <c r="F932">
        <f>raw_data!F932</f>
        <v>32.119999999999997</v>
      </c>
      <c r="G932">
        <f>raw_data!G932</f>
        <v>38.06</v>
      </c>
      <c r="H932">
        <f>(raw_data!D932*weights!$B$2)+(raw_data!E932*weights!$B$3)+(raw_data!F932*weights!$B$4)</f>
        <v>38.061999999999998</v>
      </c>
      <c r="I932" t="str">
        <f t="shared" si="28"/>
        <v>Moderate</v>
      </c>
      <c r="J932" t="str">
        <f t="shared" si="29"/>
        <v>2022 Q3</v>
      </c>
      <c r="K932">
        <f>raw_data!H932</f>
        <v>10.54</v>
      </c>
      <c r="L932" s="13">
        <f>raw_data!I932</f>
        <v>17.88</v>
      </c>
      <c r="M932" s="13">
        <f>raw_data!J932</f>
        <v>9.64</v>
      </c>
    </row>
    <row r="933" spans="1:13" x14ac:dyDescent="0.2">
      <c r="A933" t="str">
        <f>raw_data!A933</f>
        <v>2022Q3</v>
      </c>
      <c r="B933" t="str">
        <f>raw_data!B933</f>
        <v>Victoria</v>
      </c>
      <c r="C933" t="str">
        <f>raw_data!C933</f>
        <v>Education and Training</v>
      </c>
      <c r="D933">
        <f>raw_data!D933</f>
        <v>8.56</v>
      </c>
      <c r="E933">
        <f>raw_data!E933</f>
        <v>36.54</v>
      </c>
      <c r="F933">
        <f>raw_data!F933</f>
        <v>18.61</v>
      </c>
      <c r="G933">
        <f>raw_data!G933</f>
        <v>19.97</v>
      </c>
      <c r="H933">
        <f>(raw_data!D933*weights!$B$2)+(raw_data!E933*weights!$B$3)+(raw_data!F933*weights!$B$4)</f>
        <v>19.968999999999998</v>
      </c>
      <c r="I933" t="str">
        <f t="shared" si="28"/>
        <v>Low</v>
      </c>
      <c r="J933" t="str">
        <f t="shared" si="29"/>
        <v>2022 Q3</v>
      </c>
      <c r="K933">
        <f>raw_data!H933</f>
        <v>3.42</v>
      </c>
      <c r="L933" s="13">
        <f>raw_data!I933</f>
        <v>10.96</v>
      </c>
      <c r="M933" s="13">
        <f>raw_data!J933</f>
        <v>5.58</v>
      </c>
    </row>
    <row r="934" spans="1:13" x14ac:dyDescent="0.2">
      <c r="A934" t="str">
        <f>raw_data!A934</f>
        <v>2022Q3</v>
      </c>
      <c r="B934" t="str">
        <f>raw_data!B934</f>
        <v>Victoria</v>
      </c>
      <c r="C934" t="str">
        <f>raw_data!C934</f>
        <v>Health Care and Social Assistance</v>
      </c>
      <c r="D934">
        <f>raw_data!D934</f>
        <v>36.94</v>
      </c>
      <c r="E934">
        <f>raw_data!E934</f>
        <v>50</v>
      </c>
      <c r="F934">
        <f>raw_data!F934</f>
        <v>34.71</v>
      </c>
      <c r="G934">
        <f>raw_data!G934</f>
        <v>40.19</v>
      </c>
      <c r="H934">
        <f>(raw_data!D934*weights!$B$2)+(raw_data!E934*weights!$B$3)+(raw_data!F934*weights!$B$4)</f>
        <v>40.189</v>
      </c>
      <c r="I934" t="str">
        <f t="shared" si="28"/>
        <v>Moderate</v>
      </c>
      <c r="J934" t="str">
        <f t="shared" si="29"/>
        <v>2022 Q3</v>
      </c>
      <c r="K934">
        <f>raw_data!H934</f>
        <v>14.77</v>
      </c>
      <c r="L934" s="13">
        <f>raw_data!I934</f>
        <v>15</v>
      </c>
      <c r="M934" s="13">
        <f>raw_data!J934</f>
        <v>10.41</v>
      </c>
    </row>
    <row r="935" spans="1:13" x14ac:dyDescent="0.2">
      <c r="A935" t="str">
        <f>raw_data!A935</f>
        <v>2022Q3</v>
      </c>
      <c r="B935" t="str">
        <f>raw_data!B935</f>
        <v>Victoria</v>
      </c>
      <c r="C935" t="str">
        <f>raw_data!C935</f>
        <v>Manufacturing</v>
      </c>
      <c r="D935">
        <f>raw_data!D935</f>
        <v>29.61</v>
      </c>
      <c r="E935">
        <f>raw_data!E935</f>
        <v>63.46</v>
      </c>
      <c r="F935">
        <f>raw_data!F935</f>
        <v>17.78</v>
      </c>
      <c r="G935">
        <f>raw_data!G935</f>
        <v>36.21</v>
      </c>
      <c r="H935">
        <f>(raw_data!D935*weights!$B$2)+(raw_data!E935*weights!$B$3)+(raw_data!F935*weights!$B$4)</f>
        <v>36.216000000000001</v>
      </c>
      <c r="I935" t="str">
        <f t="shared" si="28"/>
        <v>Moderate</v>
      </c>
      <c r="J935" t="str">
        <f t="shared" si="29"/>
        <v>2022 Q3</v>
      </c>
      <c r="K935">
        <f>raw_data!H935</f>
        <v>11.84</v>
      </c>
      <c r="L935" s="13">
        <f>raw_data!I935</f>
        <v>19.04</v>
      </c>
      <c r="M935" s="13">
        <f>raw_data!J935</f>
        <v>5.33</v>
      </c>
    </row>
    <row r="936" spans="1:13" x14ac:dyDescent="0.2">
      <c r="A936" t="str">
        <f>raw_data!A936</f>
        <v>2022Q3</v>
      </c>
      <c r="B936" t="str">
        <f>raw_data!B936</f>
        <v>Victoria</v>
      </c>
      <c r="C936" t="str">
        <f>raw_data!C936</f>
        <v>Professional, Scientific and Technical Services</v>
      </c>
      <c r="D936">
        <f>raw_data!D936</f>
        <v>33.92</v>
      </c>
      <c r="E936">
        <f>raw_data!E936</f>
        <v>57.69</v>
      </c>
      <c r="F936">
        <f>raw_data!F936</f>
        <v>45.3</v>
      </c>
      <c r="G936">
        <f>raw_data!G936</f>
        <v>44.47</v>
      </c>
      <c r="H936">
        <f>(raw_data!D936*weights!$B$2)+(raw_data!E936*weights!$B$3)+(raw_data!F936*weights!$B$4)</f>
        <v>44.464999999999996</v>
      </c>
      <c r="I936" t="str">
        <f t="shared" si="28"/>
        <v>Moderate</v>
      </c>
      <c r="J936" t="str">
        <f t="shared" si="29"/>
        <v>2022 Q3</v>
      </c>
      <c r="K936">
        <f>raw_data!H936</f>
        <v>13.57</v>
      </c>
      <c r="L936" s="13">
        <f>raw_data!I936</f>
        <v>17.309999999999999</v>
      </c>
      <c r="M936" s="13">
        <f>raw_data!J936</f>
        <v>13.59</v>
      </c>
    </row>
    <row r="937" spans="1:13" x14ac:dyDescent="0.2">
      <c r="A937" t="str">
        <f>raw_data!A937</f>
        <v>2022Q4</v>
      </c>
      <c r="B937" t="str">
        <f>raw_data!B937</f>
        <v>New South Wales</v>
      </c>
      <c r="C937" t="str">
        <f>raw_data!C937</f>
        <v>Accommodation and Food Services</v>
      </c>
      <c r="D937">
        <f>raw_data!D937</f>
        <v>64.11</v>
      </c>
      <c r="E937">
        <f>raw_data!E937</f>
        <v>61.54</v>
      </c>
      <c r="F937">
        <f>raw_data!F937</f>
        <v>24.84</v>
      </c>
      <c r="G937">
        <f>raw_data!G937</f>
        <v>51.55</v>
      </c>
      <c r="H937">
        <f>(raw_data!D937*weights!$B$2)+(raw_data!E937*weights!$B$3)+(raw_data!F937*weights!$B$4)</f>
        <v>51.558</v>
      </c>
      <c r="I937" t="str">
        <f t="shared" si="28"/>
        <v>High</v>
      </c>
      <c r="J937" t="str">
        <f t="shared" si="29"/>
        <v>2022 Q4</v>
      </c>
      <c r="K937">
        <f>raw_data!H937</f>
        <v>25.64</v>
      </c>
      <c r="L937" s="13">
        <f>raw_data!I937</f>
        <v>18.46</v>
      </c>
      <c r="M937" s="13">
        <f>raw_data!J937</f>
        <v>7.45</v>
      </c>
    </row>
    <row r="938" spans="1:13" x14ac:dyDescent="0.2">
      <c r="A938" t="str">
        <f>raw_data!A938</f>
        <v>2022Q4</v>
      </c>
      <c r="B938" t="str">
        <f>raw_data!B938</f>
        <v>New South Wales</v>
      </c>
      <c r="C938" t="str">
        <f>raw_data!C938</f>
        <v>Construction</v>
      </c>
      <c r="D938">
        <f>raw_data!D938</f>
        <v>19.48</v>
      </c>
      <c r="E938">
        <f>raw_data!E938</f>
        <v>67.31</v>
      </c>
      <c r="F938">
        <f>raw_data!F938</f>
        <v>19.13</v>
      </c>
      <c r="G938">
        <f>raw_data!G938</f>
        <v>33.72</v>
      </c>
      <c r="H938">
        <f>(raw_data!D938*weights!$B$2)+(raw_data!E938*weights!$B$3)+(raw_data!F938*weights!$B$4)</f>
        <v>33.724000000000004</v>
      </c>
      <c r="I938" t="str">
        <f t="shared" si="28"/>
        <v>Moderate</v>
      </c>
      <c r="J938" t="str">
        <f t="shared" si="29"/>
        <v>2022 Q4</v>
      </c>
      <c r="K938">
        <f>raw_data!H938</f>
        <v>7.79</v>
      </c>
      <c r="L938" s="13">
        <f>raw_data!I938</f>
        <v>20.190000000000001</v>
      </c>
      <c r="M938" s="13">
        <f>raw_data!J938</f>
        <v>5.74</v>
      </c>
    </row>
    <row r="939" spans="1:13" x14ac:dyDescent="0.2">
      <c r="A939" t="str">
        <f>raw_data!A939</f>
        <v>2022Q4</v>
      </c>
      <c r="B939" t="str">
        <f>raw_data!B939</f>
        <v>New South Wales</v>
      </c>
      <c r="C939" t="str">
        <f>raw_data!C939</f>
        <v>Education and Training</v>
      </c>
      <c r="D939">
        <f>raw_data!D939</f>
        <v>6.76</v>
      </c>
      <c r="E939">
        <f>raw_data!E939</f>
        <v>40.380000000000003</v>
      </c>
      <c r="F939">
        <f>raw_data!F939</f>
        <v>18.670000000000002</v>
      </c>
      <c r="G939">
        <f>raw_data!G939</f>
        <v>20.420000000000002</v>
      </c>
      <c r="H939">
        <f>(raw_data!D939*weights!$B$2)+(raw_data!E939*weights!$B$3)+(raw_data!F939*weights!$B$4)</f>
        <v>20.419</v>
      </c>
      <c r="I939" t="str">
        <f t="shared" si="28"/>
        <v>Low</v>
      </c>
      <c r="J939" t="str">
        <f t="shared" si="29"/>
        <v>2022 Q4</v>
      </c>
      <c r="K939">
        <f>raw_data!H939</f>
        <v>2.7</v>
      </c>
      <c r="L939" s="13">
        <f>raw_data!I939</f>
        <v>12.12</v>
      </c>
      <c r="M939" s="13">
        <f>raw_data!J939</f>
        <v>5.6</v>
      </c>
    </row>
    <row r="940" spans="1:13" x14ac:dyDescent="0.2">
      <c r="A940" t="str">
        <f>raw_data!A940</f>
        <v>2022Q4</v>
      </c>
      <c r="B940" t="str">
        <f>raw_data!B940</f>
        <v>New South Wales</v>
      </c>
      <c r="C940" t="str">
        <f>raw_data!C940</f>
        <v>Health Care and Social Assistance</v>
      </c>
      <c r="D940">
        <f>raw_data!D940</f>
        <v>25.86</v>
      </c>
      <c r="E940">
        <f>raw_data!E940</f>
        <v>51.92</v>
      </c>
      <c r="F940">
        <f>raw_data!F940</f>
        <v>46.03</v>
      </c>
      <c r="G940">
        <f>raw_data!G940</f>
        <v>39.729999999999997</v>
      </c>
      <c r="H940">
        <f>(raw_data!D940*weights!$B$2)+(raw_data!E940*weights!$B$3)+(raw_data!F940*weights!$B$4)</f>
        <v>39.728999999999999</v>
      </c>
      <c r="I940" t="str">
        <f t="shared" si="28"/>
        <v>Moderate</v>
      </c>
      <c r="J940" t="str">
        <f t="shared" si="29"/>
        <v>2022 Q4</v>
      </c>
      <c r="K940">
        <f>raw_data!H940</f>
        <v>10.34</v>
      </c>
      <c r="L940" s="13">
        <f>raw_data!I940</f>
        <v>15.58</v>
      </c>
      <c r="M940" s="13">
        <f>raw_data!J940</f>
        <v>13.81</v>
      </c>
    </row>
    <row r="941" spans="1:13" x14ac:dyDescent="0.2">
      <c r="A941" t="str">
        <f>raw_data!A941</f>
        <v>2022Q4</v>
      </c>
      <c r="B941" t="str">
        <f>raw_data!B941</f>
        <v>New South Wales</v>
      </c>
      <c r="C941" t="str">
        <f>raw_data!C941</f>
        <v>Manufacturing</v>
      </c>
      <c r="D941">
        <f>raw_data!D941</f>
        <v>26.38</v>
      </c>
      <c r="E941">
        <f>raw_data!E941</f>
        <v>71.150000000000006</v>
      </c>
      <c r="F941">
        <f>raw_data!F941</f>
        <v>27.52</v>
      </c>
      <c r="G941">
        <f>raw_data!G941</f>
        <v>40.15</v>
      </c>
      <c r="H941">
        <f>(raw_data!D941*weights!$B$2)+(raw_data!E941*weights!$B$3)+(raw_data!F941*weights!$B$4)</f>
        <v>40.153000000000006</v>
      </c>
      <c r="I941" t="str">
        <f t="shared" si="28"/>
        <v>Moderate</v>
      </c>
      <c r="J941" t="str">
        <f t="shared" si="29"/>
        <v>2022 Q4</v>
      </c>
      <c r="K941">
        <f>raw_data!H941</f>
        <v>10.55</v>
      </c>
      <c r="L941" s="13">
        <f>raw_data!I941</f>
        <v>21.35</v>
      </c>
      <c r="M941" s="13">
        <f>raw_data!J941</f>
        <v>8.26</v>
      </c>
    </row>
    <row r="942" spans="1:13" x14ac:dyDescent="0.2">
      <c r="A942" t="str">
        <f>raw_data!A942</f>
        <v>2022Q4</v>
      </c>
      <c r="B942" t="str">
        <f>raw_data!B942</f>
        <v>New South Wales</v>
      </c>
      <c r="C942" t="str">
        <f>raw_data!C942</f>
        <v>Professional, Scientific and Technical Services</v>
      </c>
      <c r="D942">
        <f>raw_data!D942</f>
        <v>23.93</v>
      </c>
      <c r="E942">
        <f>raw_data!E942</f>
        <v>63.46</v>
      </c>
      <c r="F942">
        <f>raw_data!F942</f>
        <v>40.270000000000003</v>
      </c>
      <c r="G942">
        <f>raw_data!G942</f>
        <v>40.69</v>
      </c>
      <c r="H942">
        <f>(raw_data!D942*weights!$B$2)+(raw_data!E942*weights!$B$3)+(raw_data!F942*weights!$B$4)</f>
        <v>40.691000000000003</v>
      </c>
      <c r="I942" t="str">
        <f t="shared" si="28"/>
        <v>Moderate</v>
      </c>
      <c r="J942" t="str">
        <f t="shared" si="29"/>
        <v>2022 Q4</v>
      </c>
      <c r="K942">
        <f>raw_data!H942</f>
        <v>9.57</v>
      </c>
      <c r="L942" s="13">
        <f>raw_data!I942</f>
        <v>19.04</v>
      </c>
      <c r="M942" s="13">
        <f>raw_data!J942</f>
        <v>12.08</v>
      </c>
    </row>
    <row r="943" spans="1:13" x14ac:dyDescent="0.2">
      <c r="A943" t="str">
        <f>raw_data!A943</f>
        <v>2022Q4</v>
      </c>
      <c r="B943" t="str">
        <f>raw_data!B943</f>
        <v>Queensland</v>
      </c>
      <c r="C943" t="str">
        <f>raw_data!C943</f>
        <v>Accommodation and Food Services</v>
      </c>
      <c r="D943">
        <f>raw_data!D943</f>
        <v>87.84</v>
      </c>
      <c r="E943">
        <f>raw_data!E943</f>
        <v>61.54</v>
      </c>
      <c r="F943">
        <f>raw_data!F943</f>
        <v>26.96</v>
      </c>
      <c r="G943">
        <f>raw_data!G943</f>
        <v>61.69</v>
      </c>
      <c r="H943">
        <f>(raw_data!D943*weights!$B$2)+(raw_data!E943*weights!$B$3)+(raw_data!F943*weights!$B$4)</f>
        <v>61.686</v>
      </c>
      <c r="I943" t="str">
        <f t="shared" si="28"/>
        <v>Critical</v>
      </c>
      <c r="J943" t="str">
        <f t="shared" si="29"/>
        <v>2022 Q4</v>
      </c>
      <c r="K943">
        <f>raw_data!H943</f>
        <v>35.130000000000003</v>
      </c>
      <c r="L943" s="13">
        <f>raw_data!I943</f>
        <v>18.46</v>
      </c>
      <c r="M943" s="13">
        <f>raw_data!J943</f>
        <v>8.09</v>
      </c>
    </row>
    <row r="944" spans="1:13" x14ac:dyDescent="0.2">
      <c r="A944" t="str">
        <f>raw_data!A944</f>
        <v>2022Q4</v>
      </c>
      <c r="B944" t="str">
        <f>raw_data!B944</f>
        <v>Queensland</v>
      </c>
      <c r="C944" t="str">
        <f>raw_data!C944</f>
        <v>Construction</v>
      </c>
      <c r="D944">
        <f>raw_data!D944</f>
        <v>30.91</v>
      </c>
      <c r="E944">
        <f>raw_data!E944</f>
        <v>67.31</v>
      </c>
      <c r="F944">
        <f>raw_data!F944</f>
        <v>48.75</v>
      </c>
      <c r="G944">
        <f>raw_data!G944</f>
        <v>47.18</v>
      </c>
      <c r="H944">
        <f>(raw_data!D944*weights!$B$2)+(raw_data!E944*weights!$B$3)+(raw_data!F944*weights!$B$4)</f>
        <v>47.182000000000002</v>
      </c>
      <c r="I944" t="str">
        <f t="shared" si="28"/>
        <v>High</v>
      </c>
      <c r="J944" t="str">
        <f t="shared" si="29"/>
        <v>2022 Q4</v>
      </c>
      <c r="K944">
        <f>raw_data!H944</f>
        <v>12.37</v>
      </c>
      <c r="L944" s="13">
        <f>raw_data!I944</f>
        <v>20.190000000000001</v>
      </c>
      <c r="M944" s="13">
        <f>raw_data!J944</f>
        <v>14.63</v>
      </c>
    </row>
    <row r="945" spans="1:13" x14ac:dyDescent="0.2">
      <c r="A945" t="str">
        <f>raw_data!A945</f>
        <v>2022Q4</v>
      </c>
      <c r="B945" t="str">
        <f>raw_data!B945</f>
        <v>Queensland</v>
      </c>
      <c r="C945" t="str">
        <f>raw_data!C945</f>
        <v>Education and Training</v>
      </c>
      <c r="D945">
        <f>raw_data!D945</f>
        <v>11.08</v>
      </c>
      <c r="E945">
        <f>raw_data!E945</f>
        <v>40.380000000000003</v>
      </c>
      <c r="F945">
        <f>raw_data!F945</f>
        <v>12.47</v>
      </c>
      <c r="G945">
        <f>raw_data!G945</f>
        <v>20.29</v>
      </c>
      <c r="H945">
        <f>(raw_data!D945*weights!$B$2)+(raw_data!E945*weights!$B$3)+(raw_data!F945*weights!$B$4)</f>
        <v>20.286999999999999</v>
      </c>
      <c r="I945" t="str">
        <f t="shared" si="28"/>
        <v>Low</v>
      </c>
      <c r="J945" t="str">
        <f t="shared" si="29"/>
        <v>2022 Q4</v>
      </c>
      <c r="K945">
        <f>raw_data!H945</f>
        <v>4.43</v>
      </c>
      <c r="L945" s="13">
        <f>raw_data!I945</f>
        <v>12.12</v>
      </c>
      <c r="M945" s="13">
        <f>raw_data!J945</f>
        <v>3.74</v>
      </c>
    </row>
    <row r="946" spans="1:13" x14ac:dyDescent="0.2">
      <c r="A946" t="str">
        <f>raw_data!A946</f>
        <v>2022Q4</v>
      </c>
      <c r="B946" t="str">
        <f>raw_data!B946</f>
        <v>Queensland</v>
      </c>
      <c r="C946" t="str">
        <f>raw_data!C946</f>
        <v>Health Care and Social Assistance</v>
      </c>
      <c r="D946">
        <f>raw_data!D946</f>
        <v>37.659999999999997</v>
      </c>
      <c r="E946">
        <f>raw_data!E946</f>
        <v>51.92</v>
      </c>
      <c r="F946">
        <f>raw_data!F946</f>
        <v>81.16</v>
      </c>
      <c r="G946">
        <f>raw_data!G946</f>
        <v>54.99</v>
      </c>
      <c r="H946">
        <f>(raw_data!D946*weights!$B$2)+(raw_data!E946*weights!$B$3)+(raw_data!F946*weights!$B$4)</f>
        <v>54.988</v>
      </c>
      <c r="I946" t="str">
        <f t="shared" si="28"/>
        <v>High</v>
      </c>
      <c r="J946" t="str">
        <f t="shared" si="29"/>
        <v>2022 Q4</v>
      </c>
      <c r="K946">
        <f>raw_data!H946</f>
        <v>15.06</v>
      </c>
      <c r="L946" s="13">
        <f>raw_data!I946</f>
        <v>15.58</v>
      </c>
      <c r="M946" s="13">
        <f>raw_data!J946</f>
        <v>24.35</v>
      </c>
    </row>
    <row r="947" spans="1:13" x14ac:dyDescent="0.2">
      <c r="A947" t="str">
        <f>raw_data!A947</f>
        <v>2022Q4</v>
      </c>
      <c r="B947" t="str">
        <f>raw_data!B947</f>
        <v>Queensland</v>
      </c>
      <c r="C947" t="str">
        <f>raw_data!C947</f>
        <v>Manufacturing</v>
      </c>
      <c r="D947">
        <f>raw_data!D947</f>
        <v>40.14</v>
      </c>
      <c r="E947">
        <f>raw_data!E947</f>
        <v>71.150000000000006</v>
      </c>
      <c r="F947">
        <f>raw_data!F947</f>
        <v>71.83</v>
      </c>
      <c r="G947">
        <f>raw_data!G947</f>
        <v>58.95</v>
      </c>
      <c r="H947">
        <f>(raw_data!D947*weights!$B$2)+(raw_data!E947*weights!$B$3)+(raw_data!F947*weights!$B$4)</f>
        <v>58.95</v>
      </c>
      <c r="I947" t="str">
        <f t="shared" si="28"/>
        <v>High</v>
      </c>
      <c r="J947" t="str">
        <f t="shared" si="29"/>
        <v>2022 Q4</v>
      </c>
      <c r="K947">
        <f>raw_data!H947</f>
        <v>16.059999999999999</v>
      </c>
      <c r="L947" s="13">
        <f>raw_data!I947</f>
        <v>21.35</v>
      </c>
      <c r="M947" s="13">
        <f>raw_data!J947</f>
        <v>21.55</v>
      </c>
    </row>
    <row r="948" spans="1:13" x14ac:dyDescent="0.2">
      <c r="A948" t="str">
        <f>raw_data!A948</f>
        <v>2022Q4</v>
      </c>
      <c r="B948" t="str">
        <f>raw_data!B948</f>
        <v>Queensland</v>
      </c>
      <c r="C948" t="str">
        <f>raw_data!C948</f>
        <v>Professional, Scientific and Technical Services</v>
      </c>
      <c r="D948">
        <f>raw_data!D948</f>
        <v>51.19</v>
      </c>
      <c r="E948">
        <f>raw_data!E948</f>
        <v>63.46</v>
      </c>
      <c r="F948">
        <f>raw_data!F948</f>
        <v>82.97</v>
      </c>
      <c r="G948">
        <f>raw_data!G948</f>
        <v>64.400000000000006</v>
      </c>
      <c r="H948">
        <f>(raw_data!D948*weights!$B$2)+(raw_data!E948*weights!$B$3)+(raw_data!F948*weights!$B$4)</f>
        <v>64.405000000000001</v>
      </c>
      <c r="I948" t="str">
        <f t="shared" si="28"/>
        <v>Critical</v>
      </c>
      <c r="J948" t="str">
        <f t="shared" si="29"/>
        <v>2022 Q4</v>
      </c>
      <c r="K948">
        <f>raw_data!H948</f>
        <v>20.47</v>
      </c>
      <c r="L948" s="13">
        <f>raw_data!I948</f>
        <v>19.04</v>
      </c>
      <c r="M948" s="13">
        <f>raw_data!J948</f>
        <v>24.89</v>
      </c>
    </row>
    <row r="949" spans="1:13" x14ac:dyDescent="0.2">
      <c r="A949" t="str">
        <f>raw_data!A949</f>
        <v>2022Q4</v>
      </c>
      <c r="B949" t="str">
        <f>raw_data!B949</f>
        <v>Victoria</v>
      </c>
      <c r="C949" t="str">
        <f>raw_data!C949</f>
        <v>Accommodation and Food Services</v>
      </c>
      <c r="D949">
        <f>raw_data!D949</f>
        <v>85.48</v>
      </c>
      <c r="E949">
        <f>raw_data!E949</f>
        <v>61.54</v>
      </c>
      <c r="F949">
        <f>raw_data!F949</f>
        <v>31.45</v>
      </c>
      <c r="G949">
        <f>raw_data!G949</f>
        <v>62.09</v>
      </c>
      <c r="H949">
        <f>(raw_data!D949*weights!$B$2)+(raw_data!E949*weights!$B$3)+(raw_data!F949*weights!$B$4)</f>
        <v>62.088999999999999</v>
      </c>
      <c r="I949" t="str">
        <f t="shared" si="28"/>
        <v>Critical</v>
      </c>
      <c r="J949" t="str">
        <f t="shared" si="29"/>
        <v>2022 Q4</v>
      </c>
      <c r="K949">
        <f>raw_data!H949</f>
        <v>34.19</v>
      </c>
      <c r="L949" s="13">
        <f>raw_data!I949</f>
        <v>18.46</v>
      </c>
      <c r="M949" s="13">
        <f>raw_data!J949</f>
        <v>9.44</v>
      </c>
    </row>
    <row r="950" spans="1:13" x14ac:dyDescent="0.2">
      <c r="A950" t="str">
        <f>raw_data!A950</f>
        <v>2022Q4</v>
      </c>
      <c r="B950" t="str">
        <f>raw_data!B950</f>
        <v>Victoria</v>
      </c>
      <c r="C950" t="str">
        <f>raw_data!C950</f>
        <v>Construction</v>
      </c>
      <c r="D950">
        <f>raw_data!D950</f>
        <v>21.96</v>
      </c>
      <c r="E950">
        <f>raw_data!E950</f>
        <v>67.31</v>
      </c>
      <c r="F950">
        <f>raw_data!F950</f>
        <v>30.2</v>
      </c>
      <c r="G950">
        <f>raw_data!G950</f>
        <v>38.04</v>
      </c>
      <c r="H950">
        <f>(raw_data!D950*weights!$B$2)+(raw_data!E950*weights!$B$3)+(raw_data!F950*weights!$B$4)</f>
        <v>38.037000000000006</v>
      </c>
      <c r="I950" t="str">
        <f t="shared" si="28"/>
        <v>Moderate</v>
      </c>
      <c r="J950" t="str">
        <f t="shared" si="29"/>
        <v>2022 Q4</v>
      </c>
      <c r="K950">
        <f>raw_data!H950</f>
        <v>8.7799999999999994</v>
      </c>
      <c r="L950" s="13">
        <f>raw_data!I950</f>
        <v>20.190000000000001</v>
      </c>
      <c r="M950" s="13">
        <f>raw_data!J950</f>
        <v>9.06</v>
      </c>
    </row>
    <row r="951" spans="1:13" x14ac:dyDescent="0.2">
      <c r="A951" t="str">
        <f>raw_data!A951</f>
        <v>2022Q4</v>
      </c>
      <c r="B951" t="str">
        <f>raw_data!B951</f>
        <v>Victoria</v>
      </c>
      <c r="C951" t="str">
        <f>raw_data!C951</f>
        <v>Education and Training</v>
      </c>
      <c r="D951">
        <f>raw_data!D951</f>
        <v>7.9</v>
      </c>
      <c r="E951">
        <f>raw_data!E951</f>
        <v>40.380000000000003</v>
      </c>
      <c r="F951">
        <f>raw_data!F951</f>
        <v>51.4</v>
      </c>
      <c r="G951">
        <f>raw_data!G951</f>
        <v>30.7</v>
      </c>
      <c r="H951">
        <f>(raw_data!D951*weights!$B$2)+(raw_data!E951*weights!$B$3)+(raw_data!F951*weights!$B$4)</f>
        <v>30.693999999999999</v>
      </c>
      <c r="I951" t="str">
        <f t="shared" si="28"/>
        <v>Moderate</v>
      </c>
      <c r="J951" t="str">
        <f t="shared" si="29"/>
        <v>2022 Q4</v>
      </c>
      <c r="K951">
        <f>raw_data!H951</f>
        <v>3.16</v>
      </c>
      <c r="L951" s="13">
        <f>raw_data!I951</f>
        <v>12.12</v>
      </c>
      <c r="M951" s="13">
        <f>raw_data!J951</f>
        <v>15.42</v>
      </c>
    </row>
    <row r="952" spans="1:13" x14ac:dyDescent="0.2">
      <c r="A952" t="str">
        <f>raw_data!A952</f>
        <v>2022Q4</v>
      </c>
      <c r="B952" t="str">
        <f>raw_data!B952</f>
        <v>Victoria</v>
      </c>
      <c r="C952" t="str">
        <f>raw_data!C952</f>
        <v>Health Care and Social Assistance</v>
      </c>
      <c r="D952">
        <f>raw_data!D952</f>
        <v>30.77</v>
      </c>
      <c r="E952">
        <f>raw_data!E952</f>
        <v>51.92</v>
      </c>
      <c r="F952">
        <f>raw_data!F952</f>
        <v>47.08</v>
      </c>
      <c r="G952">
        <f>raw_data!G952</f>
        <v>42.01</v>
      </c>
      <c r="H952">
        <f>(raw_data!D952*weights!$B$2)+(raw_data!E952*weights!$B$3)+(raw_data!F952*weights!$B$4)</f>
        <v>42.007999999999996</v>
      </c>
      <c r="I952" t="str">
        <f t="shared" si="28"/>
        <v>Moderate</v>
      </c>
      <c r="J952" t="str">
        <f t="shared" si="29"/>
        <v>2022 Q4</v>
      </c>
      <c r="K952">
        <f>raw_data!H952</f>
        <v>12.31</v>
      </c>
      <c r="L952" s="13">
        <f>raw_data!I952</f>
        <v>15.58</v>
      </c>
      <c r="M952" s="13">
        <f>raw_data!J952</f>
        <v>14.13</v>
      </c>
    </row>
    <row r="953" spans="1:13" x14ac:dyDescent="0.2">
      <c r="A953" t="str">
        <f>raw_data!A953</f>
        <v>2022Q4</v>
      </c>
      <c r="B953" t="str">
        <f>raw_data!B953</f>
        <v>Victoria</v>
      </c>
      <c r="C953" t="str">
        <f>raw_data!C953</f>
        <v>Manufacturing</v>
      </c>
      <c r="D953">
        <f>raw_data!D953</f>
        <v>26.42</v>
      </c>
      <c r="E953">
        <f>raw_data!E953</f>
        <v>71.150000000000006</v>
      </c>
      <c r="F953">
        <f>raw_data!F953</f>
        <v>23.28</v>
      </c>
      <c r="G953">
        <f>raw_data!G953</f>
        <v>38.9</v>
      </c>
      <c r="H953">
        <f>(raw_data!D953*weights!$B$2)+(raw_data!E953*weights!$B$3)+(raw_data!F953*weights!$B$4)</f>
        <v>38.897000000000006</v>
      </c>
      <c r="I953" t="str">
        <f t="shared" si="28"/>
        <v>Moderate</v>
      </c>
      <c r="J953" t="str">
        <f t="shared" si="29"/>
        <v>2022 Q4</v>
      </c>
      <c r="K953">
        <f>raw_data!H953</f>
        <v>10.57</v>
      </c>
      <c r="L953" s="13">
        <f>raw_data!I953</f>
        <v>21.35</v>
      </c>
      <c r="M953" s="13">
        <f>raw_data!J953</f>
        <v>6.98</v>
      </c>
    </row>
    <row r="954" spans="1:13" x14ac:dyDescent="0.2">
      <c r="A954" t="str">
        <f>raw_data!A954</f>
        <v>2022Q4</v>
      </c>
      <c r="B954" t="str">
        <f>raw_data!B954</f>
        <v>Victoria</v>
      </c>
      <c r="C954" t="str">
        <f>raw_data!C954</f>
        <v>Professional, Scientific and Technical Services</v>
      </c>
      <c r="D954">
        <f>raw_data!D954</f>
        <v>31.7</v>
      </c>
      <c r="E954">
        <f>raw_data!E954</f>
        <v>63.46</v>
      </c>
      <c r="F954">
        <f>raw_data!F954</f>
        <v>35.79</v>
      </c>
      <c r="G954">
        <f>raw_data!G954</f>
        <v>42.45</v>
      </c>
      <c r="H954">
        <f>(raw_data!D954*weights!$B$2)+(raw_data!E954*weights!$B$3)+(raw_data!F954*weights!$B$4)</f>
        <v>42.454999999999998</v>
      </c>
      <c r="I954" t="str">
        <f t="shared" si="28"/>
        <v>Moderate</v>
      </c>
      <c r="J954" t="str">
        <f t="shared" si="29"/>
        <v>2022 Q4</v>
      </c>
      <c r="K954">
        <f>raw_data!H954</f>
        <v>12.68</v>
      </c>
      <c r="L954" s="13">
        <f>raw_data!I954</f>
        <v>19.04</v>
      </c>
      <c r="M954" s="13">
        <f>raw_data!J954</f>
        <v>10.74</v>
      </c>
    </row>
    <row r="955" spans="1:13" x14ac:dyDescent="0.2">
      <c r="A955" t="str">
        <f>raw_data!A955</f>
        <v>2023Q1</v>
      </c>
      <c r="B955" t="str">
        <f>raw_data!B955</f>
        <v>New South Wales</v>
      </c>
      <c r="C955" t="str">
        <f>raw_data!C955</f>
        <v>Accommodation and Food Services</v>
      </c>
      <c r="D955">
        <f>raw_data!D955</f>
        <v>64.77</v>
      </c>
      <c r="E955">
        <f>raw_data!E955</f>
        <v>57.69</v>
      </c>
      <c r="F955">
        <f>raw_data!F955</f>
        <v>26.88</v>
      </c>
      <c r="G955">
        <f>raw_data!G955</f>
        <v>51.28</v>
      </c>
      <c r="H955">
        <f>(raw_data!D955*weights!$B$2)+(raw_data!E955*weights!$B$3)+(raw_data!F955*weights!$B$4)</f>
        <v>51.279000000000003</v>
      </c>
      <c r="I955" t="str">
        <f t="shared" si="28"/>
        <v>High</v>
      </c>
      <c r="J955" t="str">
        <f t="shared" si="29"/>
        <v>2023 Q1</v>
      </c>
      <c r="K955">
        <f>raw_data!H955</f>
        <v>25.91</v>
      </c>
      <c r="L955" s="13">
        <f>raw_data!I955</f>
        <v>17.309999999999999</v>
      </c>
      <c r="M955" s="13">
        <f>raw_data!J955</f>
        <v>8.07</v>
      </c>
    </row>
    <row r="956" spans="1:13" x14ac:dyDescent="0.2">
      <c r="A956" t="str">
        <f>raw_data!A956</f>
        <v>2023Q1</v>
      </c>
      <c r="B956" t="str">
        <f>raw_data!B956</f>
        <v>New South Wales</v>
      </c>
      <c r="C956" t="str">
        <f>raw_data!C956</f>
        <v>Construction</v>
      </c>
      <c r="D956">
        <f>raw_data!D956</f>
        <v>20.149999999999999</v>
      </c>
      <c r="E956">
        <f>raw_data!E956</f>
        <v>69.23</v>
      </c>
      <c r="F956">
        <f>raw_data!F956</f>
        <v>14.43</v>
      </c>
      <c r="G956">
        <f>raw_data!G956</f>
        <v>33.159999999999997</v>
      </c>
      <c r="H956">
        <f>(raw_data!D956*weights!$B$2)+(raw_data!E956*weights!$B$3)+(raw_data!F956*weights!$B$4)</f>
        <v>33.158000000000001</v>
      </c>
      <c r="I956" t="str">
        <f t="shared" si="28"/>
        <v>Moderate</v>
      </c>
      <c r="J956" t="str">
        <f t="shared" si="29"/>
        <v>2023 Q1</v>
      </c>
      <c r="K956">
        <f>raw_data!H956</f>
        <v>8.06</v>
      </c>
      <c r="L956" s="13">
        <f>raw_data!I956</f>
        <v>20.77</v>
      </c>
      <c r="M956" s="13">
        <f>raw_data!J956</f>
        <v>4.33</v>
      </c>
    </row>
    <row r="957" spans="1:13" x14ac:dyDescent="0.2">
      <c r="A957" t="str">
        <f>raw_data!A957</f>
        <v>2023Q1</v>
      </c>
      <c r="B957" t="str">
        <f>raw_data!B957</f>
        <v>New South Wales</v>
      </c>
      <c r="C957" t="str">
        <f>raw_data!C957</f>
        <v>Education and Training</v>
      </c>
      <c r="D957">
        <f>raw_data!D957</f>
        <v>9.02</v>
      </c>
      <c r="E957">
        <f>raw_data!E957</f>
        <v>53.85</v>
      </c>
      <c r="F957">
        <f>raw_data!F957</f>
        <v>12.72</v>
      </c>
      <c r="G957">
        <f>raw_data!G957</f>
        <v>23.58</v>
      </c>
      <c r="H957">
        <f>(raw_data!D957*weights!$B$2)+(raw_data!E957*weights!$B$3)+(raw_data!F957*weights!$B$4)</f>
        <v>23.579000000000001</v>
      </c>
      <c r="I957" t="str">
        <f t="shared" si="28"/>
        <v>Low</v>
      </c>
      <c r="J957" t="str">
        <f t="shared" si="29"/>
        <v>2023 Q1</v>
      </c>
      <c r="K957">
        <f>raw_data!H957</f>
        <v>3.61</v>
      </c>
      <c r="L957" s="13">
        <f>raw_data!I957</f>
        <v>16.149999999999999</v>
      </c>
      <c r="M957" s="13">
        <f>raw_data!J957</f>
        <v>3.82</v>
      </c>
    </row>
    <row r="958" spans="1:13" x14ac:dyDescent="0.2">
      <c r="A958" t="str">
        <f>raw_data!A958</f>
        <v>2023Q1</v>
      </c>
      <c r="B958" t="str">
        <f>raw_data!B958</f>
        <v>New South Wales</v>
      </c>
      <c r="C958" t="str">
        <f>raw_data!C958</f>
        <v>Health Care and Social Assistance</v>
      </c>
      <c r="D958">
        <f>raw_data!D958</f>
        <v>29.72</v>
      </c>
      <c r="E958">
        <f>raw_data!E958</f>
        <v>55.77</v>
      </c>
      <c r="F958">
        <f>raw_data!F958</f>
        <v>46.87</v>
      </c>
      <c r="G958">
        <f>raw_data!G958</f>
        <v>42.68</v>
      </c>
      <c r="H958">
        <f>(raw_data!D958*weights!$B$2)+(raw_data!E958*weights!$B$3)+(raw_data!F958*weights!$B$4)</f>
        <v>42.68</v>
      </c>
      <c r="I958" t="str">
        <f t="shared" si="28"/>
        <v>Moderate</v>
      </c>
      <c r="J958" t="str">
        <f t="shared" si="29"/>
        <v>2023 Q1</v>
      </c>
      <c r="K958">
        <f>raw_data!H958</f>
        <v>11.89</v>
      </c>
      <c r="L958" s="13">
        <f>raw_data!I958</f>
        <v>16.73</v>
      </c>
      <c r="M958" s="13">
        <f>raw_data!J958</f>
        <v>14.06</v>
      </c>
    </row>
    <row r="959" spans="1:13" x14ac:dyDescent="0.2">
      <c r="A959" t="str">
        <f>raw_data!A959</f>
        <v>2023Q1</v>
      </c>
      <c r="B959" t="str">
        <f>raw_data!B959</f>
        <v>New South Wales</v>
      </c>
      <c r="C959" t="str">
        <f>raw_data!C959</f>
        <v>Manufacturing</v>
      </c>
      <c r="D959">
        <f>raw_data!D959</f>
        <v>28.24</v>
      </c>
      <c r="E959">
        <f>raw_data!E959</f>
        <v>75</v>
      </c>
      <c r="F959">
        <f>raw_data!F959</f>
        <v>33.49</v>
      </c>
      <c r="G959">
        <f>raw_data!G959</f>
        <v>43.85</v>
      </c>
      <c r="H959">
        <f>(raw_data!D959*weights!$B$2)+(raw_data!E959*weights!$B$3)+(raw_data!F959*weights!$B$4)</f>
        <v>43.843000000000004</v>
      </c>
      <c r="I959" t="str">
        <f t="shared" si="28"/>
        <v>Moderate</v>
      </c>
      <c r="J959" t="str">
        <f t="shared" si="29"/>
        <v>2023 Q1</v>
      </c>
      <c r="K959">
        <f>raw_data!H959</f>
        <v>11.3</v>
      </c>
      <c r="L959" s="13">
        <f>raw_data!I959</f>
        <v>22.5</v>
      </c>
      <c r="M959" s="13">
        <f>raw_data!J959</f>
        <v>10.050000000000001</v>
      </c>
    </row>
    <row r="960" spans="1:13" x14ac:dyDescent="0.2">
      <c r="A960" t="str">
        <f>raw_data!A960</f>
        <v>2023Q1</v>
      </c>
      <c r="B960" t="str">
        <f>raw_data!B960</f>
        <v>New South Wales</v>
      </c>
      <c r="C960" t="str">
        <f>raw_data!C960</f>
        <v>Professional, Scientific and Technical Services</v>
      </c>
      <c r="D960">
        <f>raw_data!D960</f>
        <v>28.05</v>
      </c>
      <c r="E960">
        <f>raw_data!E960</f>
        <v>69.23</v>
      </c>
      <c r="F960">
        <f>raw_data!F960</f>
        <v>25.63</v>
      </c>
      <c r="G960">
        <f>raw_data!G960</f>
        <v>39.68</v>
      </c>
      <c r="H960">
        <f>(raw_data!D960*weights!$B$2)+(raw_data!E960*weights!$B$3)+(raw_data!F960*weights!$B$4)</f>
        <v>39.678000000000004</v>
      </c>
      <c r="I960" t="str">
        <f t="shared" si="28"/>
        <v>Moderate</v>
      </c>
      <c r="J960" t="str">
        <f t="shared" si="29"/>
        <v>2023 Q1</v>
      </c>
      <c r="K960">
        <f>raw_data!H960</f>
        <v>11.22</v>
      </c>
      <c r="L960" s="13">
        <f>raw_data!I960</f>
        <v>20.77</v>
      </c>
      <c r="M960" s="13">
        <f>raw_data!J960</f>
        <v>7.69</v>
      </c>
    </row>
    <row r="961" spans="1:13" x14ac:dyDescent="0.2">
      <c r="A961" t="str">
        <f>raw_data!A961</f>
        <v>2023Q1</v>
      </c>
      <c r="B961" t="str">
        <f>raw_data!B961</f>
        <v>Queensland</v>
      </c>
      <c r="C961" t="str">
        <f>raw_data!C961</f>
        <v>Accommodation and Food Services</v>
      </c>
      <c r="D961">
        <f>raw_data!D961</f>
        <v>100</v>
      </c>
      <c r="E961">
        <f>raw_data!E961</f>
        <v>57.69</v>
      </c>
      <c r="F961">
        <f>raw_data!F961</f>
        <v>25.72</v>
      </c>
      <c r="G961">
        <f>raw_data!G961</f>
        <v>65.02</v>
      </c>
      <c r="H961">
        <f>(raw_data!D961*weights!$B$2)+(raw_data!E961*weights!$B$3)+(raw_data!F961*weights!$B$4)</f>
        <v>65.022999999999996</v>
      </c>
      <c r="I961" t="str">
        <f t="shared" si="28"/>
        <v>Critical</v>
      </c>
      <c r="J961" t="str">
        <f t="shared" si="29"/>
        <v>2023 Q1</v>
      </c>
      <c r="K961">
        <f>raw_data!H961</f>
        <v>40</v>
      </c>
      <c r="L961" s="13">
        <f>raw_data!I961</f>
        <v>17.309999999999999</v>
      </c>
      <c r="M961" s="13">
        <f>raw_data!J961</f>
        <v>7.72</v>
      </c>
    </row>
    <row r="962" spans="1:13" x14ac:dyDescent="0.2">
      <c r="A962" t="str">
        <f>raw_data!A962</f>
        <v>2023Q1</v>
      </c>
      <c r="B962" t="str">
        <f>raw_data!B962</f>
        <v>Queensland</v>
      </c>
      <c r="C962" t="str">
        <f>raw_data!C962</f>
        <v>Construction</v>
      </c>
      <c r="D962">
        <f>raw_data!D962</f>
        <v>32.049999999999997</v>
      </c>
      <c r="E962">
        <f>raw_data!E962</f>
        <v>69.23</v>
      </c>
      <c r="F962">
        <f>raw_data!F962</f>
        <v>29.19</v>
      </c>
      <c r="G962">
        <f>raw_data!G962</f>
        <v>42.35</v>
      </c>
      <c r="H962">
        <f>(raw_data!D962*weights!$B$2)+(raw_data!E962*weights!$B$3)+(raw_data!F962*weights!$B$4)</f>
        <v>42.345999999999997</v>
      </c>
      <c r="I962" t="str">
        <f t="shared" si="28"/>
        <v>Moderate</v>
      </c>
      <c r="J962" t="str">
        <f t="shared" si="29"/>
        <v>2023 Q1</v>
      </c>
      <c r="K962">
        <f>raw_data!H962</f>
        <v>12.82</v>
      </c>
      <c r="L962" s="13">
        <f>raw_data!I962</f>
        <v>20.77</v>
      </c>
      <c r="M962" s="13">
        <f>raw_data!J962</f>
        <v>8.76</v>
      </c>
    </row>
    <row r="963" spans="1:13" x14ac:dyDescent="0.2">
      <c r="A963" t="str">
        <f>raw_data!A963</f>
        <v>2023Q1</v>
      </c>
      <c r="B963" t="str">
        <f>raw_data!B963</f>
        <v>Queensland</v>
      </c>
      <c r="C963" t="str">
        <f>raw_data!C963</f>
        <v>Education and Training</v>
      </c>
      <c r="D963">
        <f>raw_data!D963</f>
        <v>13.55</v>
      </c>
      <c r="E963">
        <f>raw_data!E963</f>
        <v>53.85</v>
      </c>
      <c r="F963">
        <f>raw_data!F963</f>
        <v>11.28</v>
      </c>
      <c r="G963">
        <f>raw_data!G963</f>
        <v>24.96</v>
      </c>
      <c r="H963">
        <f>(raw_data!D963*weights!$B$2)+(raw_data!E963*weights!$B$3)+(raw_data!F963*weights!$B$4)</f>
        <v>24.959000000000003</v>
      </c>
      <c r="I963" t="str">
        <f t="shared" ref="I963:I1026" si="30">IF(H963&gt;=60,"Critical",IF(H963&gt;=45,"High",IF(H963&gt;=25,"Moderate","Low")))</f>
        <v>Low</v>
      </c>
      <c r="J963" t="str">
        <f t="shared" ref="J963:J1026" si="31">LEFT(A963,4)&amp;" "&amp;RIGHT(A963,2)</f>
        <v>2023 Q1</v>
      </c>
      <c r="K963">
        <f>raw_data!H963</f>
        <v>5.42</v>
      </c>
      <c r="L963" s="13">
        <f>raw_data!I963</f>
        <v>16.149999999999999</v>
      </c>
      <c r="M963" s="13">
        <f>raw_data!J963</f>
        <v>3.38</v>
      </c>
    </row>
    <row r="964" spans="1:13" x14ac:dyDescent="0.2">
      <c r="A964" t="str">
        <f>raw_data!A964</f>
        <v>2023Q1</v>
      </c>
      <c r="B964" t="str">
        <f>raw_data!B964</f>
        <v>Queensland</v>
      </c>
      <c r="C964" t="str">
        <f>raw_data!C964</f>
        <v>Health Care and Social Assistance</v>
      </c>
      <c r="D964">
        <f>raw_data!D964</f>
        <v>42.65</v>
      </c>
      <c r="E964">
        <f>raw_data!E964</f>
        <v>55.77</v>
      </c>
      <c r="F964">
        <f>raw_data!F964</f>
        <v>56.45</v>
      </c>
      <c r="G964">
        <f>raw_data!G964</f>
        <v>50.72</v>
      </c>
      <c r="H964">
        <f>(raw_data!D964*weights!$B$2)+(raw_data!E964*weights!$B$3)+(raw_data!F964*weights!$B$4)</f>
        <v>50.725999999999999</v>
      </c>
      <c r="I964" t="str">
        <f t="shared" si="30"/>
        <v>High</v>
      </c>
      <c r="J964" t="str">
        <f t="shared" si="31"/>
        <v>2023 Q1</v>
      </c>
      <c r="K964">
        <f>raw_data!H964</f>
        <v>17.059999999999999</v>
      </c>
      <c r="L964" s="13">
        <f>raw_data!I964</f>
        <v>16.73</v>
      </c>
      <c r="M964" s="13">
        <f>raw_data!J964</f>
        <v>16.93</v>
      </c>
    </row>
    <row r="965" spans="1:13" x14ac:dyDescent="0.2">
      <c r="A965" t="str">
        <f>raw_data!A965</f>
        <v>2023Q1</v>
      </c>
      <c r="B965" t="str">
        <f>raw_data!B965</f>
        <v>Queensland</v>
      </c>
      <c r="C965" t="str">
        <f>raw_data!C965</f>
        <v>Manufacturing</v>
      </c>
      <c r="D965">
        <f>raw_data!D965</f>
        <v>37.44</v>
      </c>
      <c r="E965">
        <f>raw_data!E965</f>
        <v>75</v>
      </c>
      <c r="F965">
        <f>raw_data!F965</f>
        <v>27.1</v>
      </c>
      <c r="G965">
        <f>raw_data!G965</f>
        <v>45.6</v>
      </c>
      <c r="H965">
        <f>(raw_data!D965*weights!$B$2)+(raw_data!E965*weights!$B$3)+(raw_data!F965*weights!$B$4)</f>
        <v>45.606000000000002</v>
      </c>
      <c r="I965" t="str">
        <f t="shared" si="30"/>
        <v>High</v>
      </c>
      <c r="J965" t="str">
        <f t="shared" si="31"/>
        <v>2023 Q1</v>
      </c>
      <c r="K965">
        <f>raw_data!H965</f>
        <v>14.97</v>
      </c>
      <c r="L965" s="13">
        <f>raw_data!I965</f>
        <v>22.5</v>
      </c>
      <c r="M965" s="13">
        <f>raw_data!J965</f>
        <v>8.1300000000000008</v>
      </c>
    </row>
    <row r="966" spans="1:13" x14ac:dyDescent="0.2">
      <c r="A966" t="str">
        <f>raw_data!A966</f>
        <v>2023Q1</v>
      </c>
      <c r="B966" t="str">
        <f>raw_data!B966</f>
        <v>Queensland</v>
      </c>
      <c r="C966" t="str">
        <f>raw_data!C966</f>
        <v>Professional, Scientific and Technical Services</v>
      </c>
      <c r="D966">
        <f>raw_data!D966</f>
        <v>62.56</v>
      </c>
      <c r="E966">
        <f>raw_data!E966</f>
        <v>69.23</v>
      </c>
      <c r="F966">
        <f>raw_data!F966</f>
        <v>66.81</v>
      </c>
      <c r="G966">
        <f>raw_data!G966</f>
        <v>65.84</v>
      </c>
      <c r="H966">
        <f>(raw_data!D966*weights!$B$2)+(raw_data!E966*weights!$B$3)+(raw_data!F966*weights!$B$4)</f>
        <v>65.836000000000013</v>
      </c>
      <c r="I966" t="str">
        <f t="shared" si="30"/>
        <v>Critical</v>
      </c>
      <c r="J966" t="str">
        <f t="shared" si="31"/>
        <v>2023 Q1</v>
      </c>
      <c r="K966">
        <f>raw_data!H966</f>
        <v>25.03</v>
      </c>
      <c r="L966" s="13">
        <f>raw_data!I966</f>
        <v>20.77</v>
      </c>
      <c r="M966" s="13">
        <f>raw_data!J966</f>
        <v>20.04</v>
      </c>
    </row>
    <row r="967" spans="1:13" x14ac:dyDescent="0.2">
      <c r="A967" t="str">
        <f>raw_data!A967</f>
        <v>2023Q1</v>
      </c>
      <c r="B967" t="str">
        <f>raw_data!B967</f>
        <v>Victoria</v>
      </c>
      <c r="C967" t="str">
        <f>raw_data!C967</f>
        <v>Accommodation and Food Services</v>
      </c>
      <c r="D967">
        <f>raw_data!D967</f>
        <v>80.790000000000006</v>
      </c>
      <c r="E967">
        <f>raw_data!E967</f>
        <v>57.69</v>
      </c>
      <c r="F967">
        <f>raw_data!F967</f>
        <v>21.55</v>
      </c>
      <c r="G967">
        <f>raw_data!G967</f>
        <v>56.09</v>
      </c>
      <c r="H967">
        <f>(raw_data!D967*weights!$B$2)+(raw_data!E967*weights!$B$3)+(raw_data!F967*weights!$B$4)</f>
        <v>56.088000000000008</v>
      </c>
      <c r="I967" t="str">
        <f t="shared" si="30"/>
        <v>High</v>
      </c>
      <c r="J967" t="str">
        <f t="shared" si="31"/>
        <v>2023 Q1</v>
      </c>
      <c r="K967">
        <f>raw_data!H967</f>
        <v>32.31</v>
      </c>
      <c r="L967" s="13">
        <f>raw_data!I967</f>
        <v>17.309999999999999</v>
      </c>
      <c r="M967" s="13">
        <f>raw_data!J967</f>
        <v>6.46</v>
      </c>
    </row>
    <row r="968" spans="1:13" x14ac:dyDescent="0.2">
      <c r="A968" t="str">
        <f>raw_data!A968</f>
        <v>2023Q1</v>
      </c>
      <c r="B968" t="str">
        <f>raw_data!B968</f>
        <v>Victoria</v>
      </c>
      <c r="C968" t="str">
        <f>raw_data!C968</f>
        <v>Construction</v>
      </c>
      <c r="D968">
        <f>raw_data!D968</f>
        <v>22.06</v>
      </c>
      <c r="E968">
        <f>raw_data!E968</f>
        <v>69.23</v>
      </c>
      <c r="F968">
        <f>raw_data!F968</f>
        <v>27.04</v>
      </c>
      <c r="G968">
        <f>raw_data!G968</f>
        <v>37.700000000000003</v>
      </c>
      <c r="H968">
        <f>(raw_data!D968*weights!$B$2)+(raw_data!E968*weights!$B$3)+(raw_data!F968*weights!$B$4)</f>
        <v>37.705000000000005</v>
      </c>
      <c r="I968" t="str">
        <f t="shared" si="30"/>
        <v>Moderate</v>
      </c>
      <c r="J968" t="str">
        <f t="shared" si="31"/>
        <v>2023 Q1</v>
      </c>
      <c r="K968">
        <f>raw_data!H968</f>
        <v>8.82</v>
      </c>
      <c r="L968" s="13">
        <f>raw_data!I968</f>
        <v>20.77</v>
      </c>
      <c r="M968" s="13">
        <f>raw_data!J968</f>
        <v>8.11</v>
      </c>
    </row>
    <row r="969" spans="1:13" x14ac:dyDescent="0.2">
      <c r="A969" t="str">
        <f>raw_data!A969</f>
        <v>2023Q1</v>
      </c>
      <c r="B969" t="str">
        <f>raw_data!B969</f>
        <v>Victoria</v>
      </c>
      <c r="C969" t="str">
        <f>raw_data!C969</f>
        <v>Education and Training</v>
      </c>
      <c r="D969">
        <f>raw_data!D969</f>
        <v>10.98</v>
      </c>
      <c r="E969">
        <f>raw_data!E969</f>
        <v>53.85</v>
      </c>
      <c r="F969">
        <f>raw_data!F969</f>
        <v>8.6</v>
      </c>
      <c r="G969">
        <f>raw_data!G969</f>
        <v>23.12</v>
      </c>
      <c r="H969">
        <f>(raw_data!D969*weights!$B$2)+(raw_data!E969*weights!$B$3)+(raw_data!F969*weights!$B$4)</f>
        <v>23.126999999999999</v>
      </c>
      <c r="I969" t="str">
        <f t="shared" si="30"/>
        <v>Low</v>
      </c>
      <c r="J969" t="str">
        <f t="shared" si="31"/>
        <v>2023 Q1</v>
      </c>
      <c r="K969">
        <f>raw_data!H969</f>
        <v>4.3899999999999997</v>
      </c>
      <c r="L969" s="13">
        <f>raw_data!I969</f>
        <v>16.149999999999999</v>
      </c>
      <c r="M969" s="13">
        <f>raw_data!J969</f>
        <v>2.58</v>
      </c>
    </row>
    <row r="970" spans="1:13" x14ac:dyDescent="0.2">
      <c r="A970" t="str">
        <f>raw_data!A970</f>
        <v>2023Q1</v>
      </c>
      <c r="B970" t="str">
        <f>raw_data!B970</f>
        <v>Victoria</v>
      </c>
      <c r="C970" t="str">
        <f>raw_data!C970</f>
        <v>Health Care and Social Assistance</v>
      </c>
      <c r="D970">
        <f>raw_data!D970</f>
        <v>34.700000000000003</v>
      </c>
      <c r="E970">
        <f>raw_data!E970</f>
        <v>55.77</v>
      </c>
      <c r="F970">
        <f>raw_data!F970</f>
        <v>42.36</v>
      </c>
      <c r="G970">
        <f>raw_data!G970</f>
        <v>43.32</v>
      </c>
      <c r="H970">
        <f>(raw_data!D970*weights!$B$2)+(raw_data!E970*weights!$B$3)+(raw_data!F970*weights!$B$4)</f>
        <v>43.319000000000003</v>
      </c>
      <c r="I970" t="str">
        <f t="shared" si="30"/>
        <v>Moderate</v>
      </c>
      <c r="J970" t="str">
        <f t="shared" si="31"/>
        <v>2023 Q1</v>
      </c>
      <c r="K970">
        <f>raw_data!H970</f>
        <v>13.88</v>
      </c>
      <c r="L970" s="13">
        <f>raw_data!I970</f>
        <v>16.73</v>
      </c>
      <c r="M970" s="13">
        <f>raw_data!J970</f>
        <v>12.71</v>
      </c>
    </row>
    <row r="971" spans="1:13" x14ac:dyDescent="0.2">
      <c r="A971" t="str">
        <f>raw_data!A971</f>
        <v>2023Q1</v>
      </c>
      <c r="B971" t="str">
        <f>raw_data!B971</f>
        <v>Victoria</v>
      </c>
      <c r="C971" t="str">
        <f>raw_data!C971</f>
        <v>Manufacturing</v>
      </c>
      <c r="D971">
        <f>raw_data!D971</f>
        <v>25.92</v>
      </c>
      <c r="E971">
        <f>raw_data!E971</f>
        <v>75</v>
      </c>
      <c r="F971">
        <f>raw_data!F971</f>
        <v>21.87</v>
      </c>
      <c r="G971">
        <f>raw_data!G971</f>
        <v>39.43</v>
      </c>
      <c r="H971">
        <f>(raw_data!D971*weights!$B$2)+(raw_data!E971*weights!$B$3)+(raw_data!F971*weights!$B$4)</f>
        <v>39.429000000000002</v>
      </c>
      <c r="I971" t="str">
        <f t="shared" si="30"/>
        <v>Moderate</v>
      </c>
      <c r="J971" t="str">
        <f t="shared" si="31"/>
        <v>2023 Q1</v>
      </c>
      <c r="K971">
        <f>raw_data!H971</f>
        <v>10.37</v>
      </c>
      <c r="L971" s="13">
        <f>raw_data!I971</f>
        <v>22.5</v>
      </c>
      <c r="M971" s="13">
        <f>raw_data!J971</f>
        <v>6.56</v>
      </c>
    </row>
    <row r="972" spans="1:13" x14ac:dyDescent="0.2">
      <c r="A972" t="str">
        <f>raw_data!A972</f>
        <v>2023Q1</v>
      </c>
      <c r="B972" t="str">
        <f>raw_data!B972</f>
        <v>Victoria</v>
      </c>
      <c r="C972" t="str">
        <f>raw_data!C972</f>
        <v>Professional, Scientific and Technical Services</v>
      </c>
      <c r="D972">
        <f>raw_data!D972</f>
        <v>35.31</v>
      </c>
      <c r="E972">
        <f>raw_data!E972</f>
        <v>69.23</v>
      </c>
      <c r="F972">
        <f>raw_data!F972</f>
        <v>30.27</v>
      </c>
      <c r="G972">
        <f>raw_data!G972</f>
        <v>43.97</v>
      </c>
      <c r="H972">
        <f>(raw_data!D972*weights!$B$2)+(raw_data!E972*weights!$B$3)+(raw_data!F972*weights!$B$4)</f>
        <v>43.974000000000004</v>
      </c>
      <c r="I972" t="str">
        <f t="shared" si="30"/>
        <v>Moderate</v>
      </c>
      <c r="J972" t="str">
        <f t="shared" si="31"/>
        <v>2023 Q1</v>
      </c>
      <c r="K972">
        <f>raw_data!H972</f>
        <v>14.13</v>
      </c>
      <c r="L972" s="13">
        <f>raw_data!I972</f>
        <v>20.77</v>
      </c>
      <c r="M972" s="13">
        <f>raw_data!J972</f>
        <v>9.08</v>
      </c>
    </row>
    <row r="973" spans="1:13" x14ac:dyDescent="0.2">
      <c r="A973" t="str">
        <f>raw_data!A973</f>
        <v>2023Q2</v>
      </c>
      <c r="B973" t="str">
        <f>raw_data!B973</f>
        <v>New South Wales</v>
      </c>
      <c r="C973" t="str">
        <f>raw_data!C973</f>
        <v>Accommodation and Food Services</v>
      </c>
      <c r="D973">
        <f>raw_data!D973</f>
        <v>45.54</v>
      </c>
      <c r="E973">
        <f>raw_data!E973</f>
        <v>63.46</v>
      </c>
      <c r="F973">
        <f>raw_data!F973</f>
        <v>15.84</v>
      </c>
      <c r="G973">
        <f>raw_data!G973</f>
        <v>42</v>
      </c>
      <c r="H973">
        <f>(raw_data!D973*weights!$B$2)+(raw_data!E973*weights!$B$3)+(raw_data!F973*weights!$B$4)</f>
        <v>42.006000000000007</v>
      </c>
      <c r="I973" t="str">
        <f t="shared" si="30"/>
        <v>Moderate</v>
      </c>
      <c r="J973" t="str">
        <f t="shared" si="31"/>
        <v>2023 Q2</v>
      </c>
      <c r="K973">
        <f>raw_data!H973</f>
        <v>18.21</v>
      </c>
      <c r="L973" s="13">
        <f>raw_data!I973</f>
        <v>19.04</v>
      </c>
      <c r="M973" s="13">
        <f>raw_data!J973</f>
        <v>4.75</v>
      </c>
    </row>
    <row r="974" spans="1:13" x14ac:dyDescent="0.2">
      <c r="A974" t="str">
        <f>raw_data!A974</f>
        <v>2023Q2</v>
      </c>
      <c r="B974" t="str">
        <f>raw_data!B974</f>
        <v>New South Wales</v>
      </c>
      <c r="C974" t="str">
        <f>raw_data!C974</f>
        <v>Construction</v>
      </c>
      <c r="D974">
        <f>raw_data!D974</f>
        <v>20.100000000000001</v>
      </c>
      <c r="E974">
        <f>raw_data!E974</f>
        <v>69.23</v>
      </c>
      <c r="F974">
        <f>raw_data!F974</f>
        <v>31.58</v>
      </c>
      <c r="G974">
        <f>raw_data!G974</f>
        <v>38.28</v>
      </c>
      <c r="H974">
        <f>(raw_data!D974*weights!$B$2)+(raw_data!E974*weights!$B$3)+(raw_data!F974*weights!$B$4)</f>
        <v>38.283000000000001</v>
      </c>
      <c r="I974" t="str">
        <f t="shared" si="30"/>
        <v>Moderate</v>
      </c>
      <c r="J974" t="str">
        <f t="shared" si="31"/>
        <v>2023 Q2</v>
      </c>
      <c r="K974">
        <f>raw_data!H974</f>
        <v>8.0399999999999991</v>
      </c>
      <c r="L974" s="13">
        <f>raw_data!I974</f>
        <v>20.77</v>
      </c>
      <c r="M974" s="13">
        <f>raw_data!J974</f>
        <v>9.48</v>
      </c>
    </row>
    <row r="975" spans="1:13" x14ac:dyDescent="0.2">
      <c r="A975" t="str">
        <f>raw_data!A975</f>
        <v>2023Q2</v>
      </c>
      <c r="B975" t="str">
        <f>raw_data!B975</f>
        <v>New South Wales</v>
      </c>
      <c r="C975" t="str">
        <f>raw_data!C975</f>
        <v>Education and Training</v>
      </c>
      <c r="D975">
        <f>raw_data!D975</f>
        <v>11.07</v>
      </c>
      <c r="E975">
        <f>raw_data!E975</f>
        <v>55.77</v>
      </c>
      <c r="F975">
        <f>raw_data!F975</f>
        <v>17.13</v>
      </c>
      <c r="G975">
        <f>raw_data!G975</f>
        <v>26.3</v>
      </c>
      <c r="H975">
        <f>(raw_data!D975*weights!$B$2)+(raw_data!E975*weights!$B$3)+(raw_data!F975*weights!$B$4)</f>
        <v>26.298000000000002</v>
      </c>
      <c r="I975" t="str">
        <f t="shared" si="30"/>
        <v>Moderate</v>
      </c>
      <c r="J975" t="str">
        <f t="shared" si="31"/>
        <v>2023 Q2</v>
      </c>
      <c r="K975">
        <f>raw_data!H975</f>
        <v>4.43</v>
      </c>
      <c r="L975" s="13">
        <f>raw_data!I975</f>
        <v>16.73</v>
      </c>
      <c r="M975" s="13">
        <f>raw_data!J975</f>
        <v>5.14</v>
      </c>
    </row>
    <row r="976" spans="1:13" x14ac:dyDescent="0.2">
      <c r="A976" t="str">
        <f>raw_data!A976</f>
        <v>2023Q2</v>
      </c>
      <c r="B976" t="str">
        <f>raw_data!B976</f>
        <v>New South Wales</v>
      </c>
      <c r="C976" t="str">
        <f>raw_data!C976</f>
        <v>Health Care and Social Assistance</v>
      </c>
      <c r="D976">
        <f>raw_data!D976</f>
        <v>29.59</v>
      </c>
      <c r="E976">
        <f>raw_data!E976</f>
        <v>57.69</v>
      </c>
      <c r="F976">
        <f>raw_data!F976</f>
        <v>34.03</v>
      </c>
      <c r="G976">
        <f>raw_data!G976</f>
        <v>39.35</v>
      </c>
      <c r="H976">
        <f>(raw_data!D976*weights!$B$2)+(raw_data!E976*weights!$B$3)+(raw_data!F976*weights!$B$4)</f>
        <v>39.352000000000004</v>
      </c>
      <c r="I976" t="str">
        <f t="shared" si="30"/>
        <v>Moderate</v>
      </c>
      <c r="J976" t="str">
        <f t="shared" si="31"/>
        <v>2023 Q2</v>
      </c>
      <c r="K976">
        <f>raw_data!H976</f>
        <v>11.84</v>
      </c>
      <c r="L976" s="13">
        <f>raw_data!I976</f>
        <v>17.309999999999999</v>
      </c>
      <c r="M976" s="13">
        <f>raw_data!J976</f>
        <v>10.210000000000001</v>
      </c>
    </row>
    <row r="977" spans="1:13" x14ac:dyDescent="0.2">
      <c r="A977" t="str">
        <f>raw_data!A977</f>
        <v>2023Q2</v>
      </c>
      <c r="B977" t="str">
        <f>raw_data!B977</f>
        <v>New South Wales</v>
      </c>
      <c r="C977" t="str">
        <f>raw_data!C977</f>
        <v>Manufacturing</v>
      </c>
      <c r="D977">
        <f>raw_data!D977</f>
        <v>23.68</v>
      </c>
      <c r="E977">
        <f>raw_data!E977</f>
        <v>73.08</v>
      </c>
      <c r="F977">
        <f>raw_data!F977</f>
        <v>49.67</v>
      </c>
      <c r="G977">
        <f>raw_data!G977</f>
        <v>46.3</v>
      </c>
      <c r="H977">
        <f>(raw_data!D977*weights!$B$2)+(raw_data!E977*weights!$B$3)+(raw_data!F977*weights!$B$4)</f>
        <v>46.296999999999997</v>
      </c>
      <c r="I977" t="str">
        <f t="shared" si="30"/>
        <v>High</v>
      </c>
      <c r="J977" t="str">
        <f t="shared" si="31"/>
        <v>2023 Q2</v>
      </c>
      <c r="K977">
        <f>raw_data!H977</f>
        <v>9.4700000000000006</v>
      </c>
      <c r="L977" s="13">
        <f>raw_data!I977</f>
        <v>21.92</v>
      </c>
      <c r="M977" s="13">
        <f>raw_data!J977</f>
        <v>14.9</v>
      </c>
    </row>
    <row r="978" spans="1:13" x14ac:dyDescent="0.2">
      <c r="A978" t="str">
        <f>raw_data!A978</f>
        <v>2023Q2</v>
      </c>
      <c r="B978" t="str">
        <f>raw_data!B978</f>
        <v>New South Wales</v>
      </c>
      <c r="C978" t="str">
        <f>raw_data!C978</f>
        <v>Professional, Scientific and Technical Services</v>
      </c>
      <c r="D978">
        <f>raw_data!D978</f>
        <v>25.9</v>
      </c>
      <c r="E978">
        <f>raw_data!E978</f>
        <v>71.150000000000006</v>
      </c>
      <c r="F978">
        <f>raw_data!F978</f>
        <v>29.86</v>
      </c>
      <c r="G978">
        <f>raw_data!G978</f>
        <v>40.659999999999997</v>
      </c>
      <c r="H978">
        <f>(raw_data!D978*weights!$B$2)+(raw_data!E978*weights!$B$3)+(raw_data!F978*weights!$B$4)</f>
        <v>40.663000000000004</v>
      </c>
      <c r="I978" t="str">
        <f t="shared" si="30"/>
        <v>Moderate</v>
      </c>
      <c r="J978" t="str">
        <f t="shared" si="31"/>
        <v>2023 Q2</v>
      </c>
      <c r="K978">
        <f>raw_data!H978</f>
        <v>10.36</v>
      </c>
      <c r="L978" s="13">
        <f>raw_data!I978</f>
        <v>21.35</v>
      </c>
      <c r="M978" s="13">
        <f>raw_data!J978</f>
        <v>8.9600000000000009</v>
      </c>
    </row>
    <row r="979" spans="1:13" x14ac:dyDescent="0.2">
      <c r="A979" t="str">
        <f>raw_data!A979</f>
        <v>2023Q2</v>
      </c>
      <c r="B979" t="str">
        <f>raw_data!B979</f>
        <v>Queensland</v>
      </c>
      <c r="C979" t="str">
        <f>raw_data!C979</f>
        <v>Accommodation and Food Services</v>
      </c>
      <c r="D979">
        <f>raw_data!D979</f>
        <v>66.52</v>
      </c>
      <c r="E979">
        <f>raw_data!E979</f>
        <v>63.46</v>
      </c>
      <c r="F979">
        <f>raw_data!F979</f>
        <v>10.14</v>
      </c>
      <c r="G979">
        <f>raw_data!G979</f>
        <v>48.69</v>
      </c>
      <c r="H979">
        <f>(raw_data!D979*weights!$B$2)+(raw_data!E979*weights!$B$3)+(raw_data!F979*weights!$B$4)</f>
        <v>48.688000000000002</v>
      </c>
      <c r="I979" t="str">
        <f t="shared" si="30"/>
        <v>High</v>
      </c>
      <c r="J979" t="str">
        <f t="shared" si="31"/>
        <v>2023 Q2</v>
      </c>
      <c r="K979">
        <f>raw_data!H979</f>
        <v>26.61</v>
      </c>
      <c r="L979" s="13">
        <f>raw_data!I979</f>
        <v>19.04</v>
      </c>
      <c r="M979" s="13">
        <f>raw_data!J979</f>
        <v>3.04</v>
      </c>
    </row>
    <row r="980" spans="1:13" x14ac:dyDescent="0.2">
      <c r="A980" t="str">
        <f>raw_data!A980</f>
        <v>2023Q2</v>
      </c>
      <c r="B980" t="str">
        <f>raw_data!B980</f>
        <v>Queensland</v>
      </c>
      <c r="C980" t="str">
        <f>raw_data!C980</f>
        <v>Construction</v>
      </c>
      <c r="D980">
        <f>raw_data!D980</f>
        <v>32.270000000000003</v>
      </c>
      <c r="E980">
        <f>raw_data!E980</f>
        <v>69.23</v>
      </c>
      <c r="F980">
        <f>raw_data!F980</f>
        <v>22.82</v>
      </c>
      <c r="G980">
        <f>raw_data!G980</f>
        <v>40.520000000000003</v>
      </c>
      <c r="H980">
        <f>(raw_data!D980*weights!$B$2)+(raw_data!E980*weights!$B$3)+(raw_data!F980*weights!$B$4)</f>
        <v>40.52300000000001</v>
      </c>
      <c r="I980" t="str">
        <f t="shared" si="30"/>
        <v>Moderate</v>
      </c>
      <c r="J980" t="str">
        <f t="shared" si="31"/>
        <v>2023 Q2</v>
      </c>
      <c r="K980">
        <f>raw_data!H980</f>
        <v>12.91</v>
      </c>
      <c r="L980" s="13">
        <f>raw_data!I980</f>
        <v>20.77</v>
      </c>
      <c r="M980" s="13">
        <f>raw_data!J980</f>
        <v>6.85</v>
      </c>
    </row>
    <row r="981" spans="1:13" x14ac:dyDescent="0.2">
      <c r="A981" t="str">
        <f>raw_data!A981</f>
        <v>2023Q2</v>
      </c>
      <c r="B981" t="str">
        <f>raw_data!B981</f>
        <v>Queensland</v>
      </c>
      <c r="C981" t="str">
        <f>raw_data!C981</f>
        <v>Education and Training</v>
      </c>
      <c r="D981">
        <f>raw_data!D981</f>
        <v>14.36</v>
      </c>
      <c r="E981">
        <f>raw_data!E981</f>
        <v>55.77</v>
      </c>
      <c r="F981">
        <f>raw_data!F981</f>
        <v>17.66</v>
      </c>
      <c r="G981">
        <f>raw_data!G981</f>
        <v>27.77</v>
      </c>
      <c r="H981">
        <f>(raw_data!D981*weights!$B$2)+(raw_data!E981*weights!$B$3)+(raw_data!F981*weights!$B$4)</f>
        <v>27.773000000000003</v>
      </c>
      <c r="I981" t="str">
        <f t="shared" si="30"/>
        <v>Moderate</v>
      </c>
      <c r="J981" t="str">
        <f t="shared" si="31"/>
        <v>2023 Q2</v>
      </c>
      <c r="K981">
        <f>raw_data!H981</f>
        <v>5.74</v>
      </c>
      <c r="L981" s="13">
        <f>raw_data!I981</f>
        <v>16.73</v>
      </c>
      <c r="M981" s="13">
        <f>raw_data!J981</f>
        <v>5.3</v>
      </c>
    </row>
    <row r="982" spans="1:13" x14ac:dyDescent="0.2">
      <c r="A982" t="str">
        <f>raw_data!A982</f>
        <v>2023Q2</v>
      </c>
      <c r="B982" t="str">
        <f>raw_data!B982</f>
        <v>Queensland</v>
      </c>
      <c r="C982" t="str">
        <f>raw_data!C982</f>
        <v>Health Care and Social Assistance</v>
      </c>
      <c r="D982">
        <f>raw_data!D982</f>
        <v>42.14</v>
      </c>
      <c r="E982">
        <f>raw_data!E982</f>
        <v>57.69</v>
      </c>
      <c r="F982">
        <f>raw_data!F982</f>
        <v>57.71</v>
      </c>
      <c r="G982">
        <f>raw_data!G982</f>
        <v>51.48</v>
      </c>
      <c r="H982">
        <f>(raw_data!D982*weights!$B$2)+(raw_data!E982*weights!$B$3)+(raw_data!F982*weights!$B$4)</f>
        <v>51.475999999999999</v>
      </c>
      <c r="I982" t="str">
        <f t="shared" si="30"/>
        <v>High</v>
      </c>
      <c r="J982" t="str">
        <f t="shared" si="31"/>
        <v>2023 Q2</v>
      </c>
      <c r="K982">
        <f>raw_data!H982</f>
        <v>16.850000000000001</v>
      </c>
      <c r="L982" s="13">
        <f>raw_data!I982</f>
        <v>17.309999999999999</v>
      </c>
      <c r="M982" s="13">
        <f>raw_data!J982</f>
        <v>17.309999999999999</v>
      </c>
    </row>
    <row r="983" spans="1:13" x14ac:dyDescent="0.2">
      <c r="A983" t="str">
        <f>raw_data!A983</f>
        <v>2023Q2</v>
      </c>
      <c r="B983" t="str">
        <f>raw_data!B983</f>
        <v>Queensland</v>
      </c>
      <c r="C983" t="str">
        <f>raw_data!C983</f>
        <v>Manufacturing</v>
      </c>
      <c r="D983">
        <f>raw_data!D983</f>
        <v>34.01</v>
      </c>
      <c r="E983">
        <f>raw_data!E983</f>
        <v>73.08</v>
      </c>
      <c r="F983">
        <f>raw_data!F983</f>
        <v>19.34</v>
      </c>
      <c r="G983">
        <f>raw_data!G983</f>
        <v>41.33</v>
      </c>
      <c r="H983">
        <f>(raw_data!D983*weights!$B$2)+(raw_data!E983*weights!$B$3)+(raw_data!F983*weights!$B$4)</f>
        <v>41.33</v>
      </c>
      <c r="I983" t="str">
        <f t="shared" si="30"/>
        <v>Moderate</v>
      </c>
      <c r="J983" t="str">
        <f t="shared" si="31"/>
        <v>2023 Q2</v>
      </c>
      <c r="K983">
        <f>raw_data!H983</f>
        <v>13.6</v>
      </c>
      <c r="L983" s="13">
        <f>raw_data!I983</f>
        <v>21.92</v>
      </c>
      <c r="M983" s="13">
        <f>raw_data!J983</f>
        <v>5.8</v>
      </c>
    </row>
    <row r="984" spans="1:13" x14ac:dyDescent="0.2">
      <c r="A984" t="str">
        <f>raw_data!A984</f>
        <v>2023Q2</v>
      </c>
      <c r="B984" t="str">
        <f>raw_data!B984</f>
        <v>Queensland</v>
      </c>
      <c r="C984" t="str">
        <f>raw_data!C984</f>
        <v>Professional, Scientific and Technical Services</v>
      </c>
      <c r="D984">
        <f>raw_data!D984</f>
        <v>53.2</v>
      </c>
      <c r="E984">
        <f>raw_data!E984</f>
        <v>71.150000000000006</v>
      </c>
      <c r="F984">
        <f>raw_data!F984</f>
        <v>48.78</v>
      </c>
      <c r="G984">
        <f>raw_data!G984</f>
        <v>57.26</v>
      </c>
      <c r="H984">
        <f>(raw_data!D984*weights!$B$2)+(raw_data!E984*weights!$B$3)+(raw_data!F984*weights!$B$4)</f>
        <v>57.259</v>
      </c>
      <c r="I984" t="str">
        <f t="shared" si="30"/>
        <v>High</v>
      </c>
      <c r="J984" t="str">
        <f t="shared" si="31"/>
        <v>2023 Q2</v>
      </c>
      <c r="K984">
        <f>raw_data!H984</f>
        <v>21.28</v>
      </c>
      <c r="L984" s="13">
        <f>raw_data!I984</f>
        <v>21.35</v>
      </c>
      <c r="M984" s="13">
        <f>raw_data!J984</f>
        <v>14.64</v>
      </c>
    </row>
    <row r="985" spans="1:13" x14ac:dyDescent="0.2">
      <c r="A985" t="str">
        <f>raw_data!A985</f>
        <v>2023Q2</v>
      </c>
      <c r="B985" t="str">
        <f>raw_data!B985</f>
        <v>Victoria</v>
      </c>
      <c r="C985" t="str">
        <f>raw_data!C985</f>
        <v>Accommodation and Food Services</v>
      </c>
      <c r="D985">
        <f>raw_data!D985</f>
        <v>58.06</v>
      </c>
      <c r="E985">
        <f>raw_data!E985</f>
        <v>63.46</v>
      </c>
      <c r="F985">
        <f>raw_data!F985</f>
        <v>16.12</v>
      </c>
      <c r="G985">
        <f>raw_data!G985</f>
        <v>47.1</v>
      </c>
      <c r="H985">
        <f>(raw_data!D985*weights!$B$2)+(raw_data!E985*weights!$B$3)+(raw_data!F985*weights!$B$4)</f>
        <v>47.097999999999999</v>
      </c>
      <c r="I985" t="str">
        <f t="shared" si="30"/>
        <v>High</v>
      </c>
      <c r="J985" t="str">
        <f t="shared" si="31"/>
        <v>2023 Q2</v>
      </c>
      <c r="K985">
        <f>raw_data!H985</f>
        <v>23.22</v>
      </c>
      <c r="L985" s="13">
        <f>raw_data!I985</f>
        <v>19.04</v>
      </c>
      <c r="M985" s="13">
        <f>raw_data!J985</f>
        <v>4.84</v>
      </c>
    </row>
    <row r="986" spans="1:13" x14ac:dyDescent="0.2">
      <c r="A986" t="str">
        <f>raw_data!A986</f>
        <v>2023Q2</v>
      </c>
      <c r="B986" t="str">
        <f>raw_data!B986</f>
        <v>Victoria</v>
      </c>
      <c r="C986" t="str">
        <f>raw_data!C986</f>
        <v>Construction</v>
      </c>
      <c r="D986">
        <f>raw_data!D986</f>
        <v>25.2</v>
      </c>
      <c r="E986">
        <f>raw_data!E986</f>
        <v>69.23</v>
      </c>
      <c r="F986">
        <f>raw_data!F986</f>
        <v>23.46</v>
      </c>
      <c r="G986">
        <f>raw_data!G986</f>
        <v>37.89</v>
      </c>
      <c r="H986">
        <f>(raw_data!D986*weights!$B$2)+(raw_data!E986*weights!$B$3)+(raw_data!F986*weights!$B$4)</f>
        <v>37.887</v>
      </c>
      <c r="I986" t="str">
        <f t="shared" si="30"/>
        <v>Moderate</v>
      </c>
      <c r="J986" t="str">
        <f t="shared" si="31"/>
        <v>2023 Q2</v>
      </c>
      <c r="K986">
        <f>raw_data!H986</f>
        <v>10.08</v>
      </c>
      <c r="L986" s="13">
        <f>raw_data!I986</f>
        <v>20.77</v>
      </c>
      <c r="M986" s="13">
        <f>raw_data!J986</f>
        <v>7.04</v>
      </c>
    </row>
    <row r="987" spans="1:13" x14ac:dyDescent="0.2">
      <c r="A987" t="str">
        <f>raw_data!A987</f>
        <v>2023Q2</v>
      </c>
      <c r="B987" t="str">
        <f>raw_data!B987</f>
        <v>Victoria</v>
      </c>
      <c r="C987" t="str">
        <f>raw_data!C987</f>
        <v>Education and Training</v>
      </c>
      <c r="D987">
        <f>raw_data!D987</f>
        <v>13.22</v>
      </c>
      <c r="E987">
        <f>raw_data!E987</f>
        <v>55.77</v>
      </c>
      <c r="F987">
        <f>raw_data!F987</f>
        <v>11.3</v>
      </c>
      <c r="G987">
        <f>raw_data!G987</f>
        <v>25.41</v>
      </c>
      <c r="H987">
        <f>(raw_data!D987*weights!$B$2)+(raw_data!E987*weights!$B$3)+(raw_data!F987*weights!$B$4)</f>
        <v>25.409000000000002</v>
      </c>
      <c r="I987" t="str">
        <f t="shared" si="30"/>
        <v>Moderate</v>
      </c>
      <c r="J987" t="str">
        <f t="shared" si="31"/>
        <v>2023 Q2</v>
      </c>
      <c r="K987">
        <f>raw_data!H987</f>
        <v>5.29</v>
      </c>
      <c r="L987" s="13">
        <f>raw_data!I987</f>
        <v>16.73</v>
      </c>
      <c r="M987" s="13">
        <f>raw_data!J987</f>
        <v>3.39</v>
      </c>
    </row>
    <row r="988" spans="1:13" x14ac:dyDescent="0.2">
      <c r="A988" t="str">
        <f>raw_data!A988</f>
        <v>2023Q2</v>
      </c>
      <c r="B988" t="str">
        <f>raw_data!B988</f>
        <v>Victoria</v>
      </c>
      <c r="C988" t="str">
        <f>raw_data!C988</f>
        <v>Health Care and Social Assistance</v>
      </c>
      <c r="D988">
        <f>raw_data!D988</f>
        <v>34.85</v>
      </c>
      <c r="E988">
        <f>raw_data!E988</f>
        <v>57.69</v>
      </c>
      <c r="F988">
        <f>raw_data!F988</f>
        <v>49.46</v>
      </c>
      <c r="G988">
        <f>raw_data!G988</f>
        <v>46.08</v>
      </c>
      <c r="H988">
        <f>(raw_data!D988*weights!$B$2)+(raw_data!E988*weights!$B$3)+(raw_data!F988*weights!$B$4)</f>
        <v>46.085000000000001</v>
      </c>
      <c r="I988" t="str">
        <f t="shared" si="30"/>
        <v>High</v>
      </c>
      <c r="J988" t="str">
        <f t="shared" si="31"/>
        <v>2023 Q2</v>
      </c>
      <c r="K988">
        <f>raw_data!H988</f>
        <v>13.94</v>
      </c>
      <c r="L988" s="13">
        <f>raw_data!I988</f>
        <v>17.309999999999999</v>
      </c>
      <c r="M988" s="13">
        <f>raw_data!J988</f>
        <v>14.84</v>
      </c>
    </row>
    <row r="989" spans="1:13" x14ac:dyDescent="0.2">
      <c r="A989" t="str">
        <f>raw_data!A989</f>
        <v>2023Q2</v>
      </c>
      <c r="B989" t="str">
        <f>raw_data!B989</f>
        <v>Victoria</v>
      </c>
      <c r="C989" t="str">
        <f>raw_data!C989</f>
        <v>Manufacturing</v>
      </c>
      <c r="D989">
        <f>raw_data!D989</f>
        <v>20.72</v>
      </c>
      <c r="E989">
        <f>raw_data!E989</f>
        <v>73.08</v>
      </c>
      <c r="F989">
        <f>raw_data!F989</f>
        <v>9.17</v>
      </c>
      <c r="G989">
        <f>raw_data!G989</f>
        <v>32.96</v>
      </c>
      <c r="H989">
        <f>(raw_data!D989*weights!$B$2)+(raw_data!E989*weights!$B$3)+(raw_data!F989*weights!$B$4)</f>
        <v>32.963000000000001</v>
      </c>
      <c r="I989" t="str">
        <f t="shared" si="30"/>
        <v>Moderate</v>
      </c>
      <c r="J989" t="str">
        <f t="shared" si="31"/>
        <v>2023 Q2</v>
      </c>
      <c r="K989">
        <f>raw_data!H989</f>
        <v>8.2899999999999991</v>
      </c>
      <c r="L989" s="13">
        <f>raw_data!I989</f>
        <v>21.92</v>
      </c>
      <c r="M989" s="13">
        <f>raw_data!J989</f>
        <v>2.75</v>
      </c>
    </row>
    <row r="990" spans="1:13" x14ac:dyDescent="0.2">
      <c r="A990" t="str">
        <f>raw_data!A990</f>
        <v>2023Q2</v>
      </c>
      <c r="B990" t="str">
        <f>raw_data!B990</f>
        <v>Victoria</v>
      </c>
      <c r="C990" t="str">
        <f>raw_data!C990</f>
        <v>Professional, Scientific and Technical Services</v>
      </c>
      <c r="D990">
        <f>raw_data!D990</f>
        <v>29.27</v>
      </c>
      <c r="E990">
        <f>raw_data!E990</f>
        <v>71.150000000000006</v>
      </c>
      <c r="F990">
        <f>raw_data!F990</f>
        <v>52.14</v>
      </c>
      <c r="G990">
        <f>raw_data!G990</f>
        <v>48.7</v>
      </c>
      <c r="H990">
        <f>(raw_data!D990*weights!$B$2)+(raw_data!E990*weights!$B$3)+(raw_data!F990*weights!$B$4)</f>
        <v>48.695000000000007</v>
      </c>
      <c r="I990" t="str">
        <f t="shared" si="30"/>
        <v>High</v>
      </c>
      <c r="J990" t="str">
        <f t="shared" si="31"/>
        <v>2023 Q2</v>
      </c>
      <c r="K990">
        <f>raw_data!H990</f>
        <v>11.71</v>
      </c>
      <c r="L990" s="13">
        <f>raw_data!I990</f>
        <v>21.35</v>
      </c>
      <c r="M990" s="13">
        <f>raw_data!J990</f>
        <v>15.64</v>
      </c>
    </row>
    <row r="991" spans="1:13" x14ac:dyDescent="0.2">
      <c r="A991" t="str">
        <f>raw_data!A991</f>
        <v>2023Q3</v>
      </c>
      <c r="B991" t="str">
        <f>raw_data!B991</f>
        <v>New South Wales</v>
      </c>
      <c r="C991" t="str">
        <f>raw_data!C991</f>
        <v>Accommodation and Food Services</v>
      </c>
      <c r="D991">
        <f>raw_data!D991</f>
        <v>49.16</v>
      </c>
      <c r="E991">
        <f>raw_data!E991</f>
        <v>100</v>
      </c>
      <c r="F991">
        <f>raw_data!F991</f>
        <v>20.6</v>
      </c>
      <c r="G991">
        <f>raw_data!G991</f>
        <v>55.84</v>
      </c>
      <c r="H991">
        <f>(raw_data!D991*weights!$B$2)+(raw_data!E991*weights!$B$3)+(raw_data!F991*weights!$B$4)</f>
        <v>55.844000000000001</v>
      </c>
      <c r="I991" t="str">
        <f t="shared" si="30"/>
        <v>High</v>
      </c>
      <c r="J991" t="str">
        <f t="shared" si="31"/>
        <v>2023 Q3</v>
      </c>
      <c r="K991">
        <f>raw_data!H991</f>
        <v>19.66</v>
      </c>
      <c r="L991" s="13">
        <f>raw_data!I991</f>
        <v>30</v>
      </c>
      <c r="M991" s="13">
        <f>raw_data!J991</f>
        <v>6.18</v>
      </c>
    </row>
    <row r="992" spans="1:13" x14ac:dyDescent="0.2">
      <c r="A992" t="str">
        <f>raw_data!A992</f>
        <v>2023Q3</v>
      </c>
      <c r="B992" t="str">
        <f>raw_data!B992</f>
        <v>New South Wales</v>
      </c>
      <c r="C992" t="str">
        <f>raw_data!C992</f>
        <v>Construction</v>
      </c>
      <c r="D992">
        <f>raw_data!D992</f>
        <v>18.350000000000001</v>
      </c>
      <c r="E992">
        <f>raw_data!E992</f>
        <v>76.92</v>
      </c>
      <c r="F992">
        <f>raw_data!F992</f>
        <v>19.41</v>
      </c>
      <c r="G992">
        <f>raw_data!G992</f>
        <v>36.24</v>
      </c>
      <c r="H992">
        <f>(raw_data!D992*weights!$B$2)+(raw_data!E992*weights!$B$3)+(raw_data!F992*weights!$B$4)</f>
        <v>36.238999999999997</v>
      </c>
      <c r="I992" t="str">
        <f t="shared" si="30"/>
        <v>Moderate</v>
      </c>
      <c r="J992" t="str">
        <f t="shared" si="31"/>
        <v>2023 Q3</v>
      </c>
      <c r="K992">
        <f>raw_data!H992</f>
        <v>7.34</v>
      </c>
      <c r="L992" s="13">
        <f>raw_data!I992</f>
        <v>23.08</v>
      </c>
      <c r="M992" s="13">
        <f>raw_data!J992</f>
        <v>5.82</v>
      </c>
    </row>
    <row r="993" spans="1:13" x14ac:dyDescent="0.2">
      <c r="A993" t="str">
        <f>raw_data!A993</f>
        <v>2023Q3</v>
      </c>
      <c r="B993" t="str">
        <f>raw_data!B993</f>
        <v>New South Wales</v>
      </c>
      <c r="C993" t="str">
        <f>raw_data!C993</f>
        <v>Education and Training</v>
      </c>
      <c r="D993">
        <f>raw_data!D993</f>
        <v>10.43</v>
      </c>
      <c r="E993">
        <f>raw_data!E993</f>
        <v>63.46</v>
      </c>
      <c r="F993">
        <f>raw_data!F993</f>
        <v>20.89</v>
      </c>
      <c r="G993">
        <f>raw_data!G993</f>
        <v>29.48</v>
      </c>
      <c r="H993">
        <f>(raw_data!D993*weights!$B$2)+(raw_data!E993*weights!$B$3)+(raw_data!F993*weights!$B$4)</f>
        <v>29.477</v>
      </c>
      <c r="I993" t="str">
        <f t="shared" si="30"/>
        <v>Moderate</v>
      </c>
      <c r="J993" t="str">
        <f t="shared" si="31"/>
        <v>2023 Q3</v>
      </c>
      <c r="K993">
        <f>raw_data!H993</f>
        <v>4.17</v>
      </c>
      <c r="L993" s="13">
        <f>raw_data!I993</f>
        <v>19.04</v>
      </c>
      <c r="M993" s="13">
        <f>raw_data!J993</f>
        <v>6.27</v>
      </c>
    </row>
    <row r="994" spans="1:13" x14ac:dyDescent="0.2">
      <c r="A994" t="str">
        <f>raw_data!A994</f>
        <v>2023Q3</v>
      </c>
      <c r="B994" t="str">
        <f>raw_data!B994</f>
        <v>New South Wales</v>
      </c>
      <c r="C994" t="str">
        <f>raw_data!C994</f>
        <v>Health Care and Social Assistance</v>
      </c>
      <c r="D994">
        <f>raw_data!D994</f>
        <v>28.27</v>
      </c>
      <c r="E994">
        <f>raw_data!E994</f>
        <v>88.46</v>
      </c>
      <c r="F994">
        <f>raw_data!F994</f>
        <v>31.04</v>
      </c>
      <c r="G994">
        <f>raw_data!G994</f>
        <v>47.16</v>
      </c>
      <c r="H994">
        <f>(raw_data!D994*weights!$B$2)+(raw_data!E994*weights!$B$3)+(raw_data!F994*weights!$B$4)</f>
        <v>47.157999999999994</v>
      </c>
      <c r="I994" t="str">
        <f t="shared" si="30"/>
        <v>High</v>
      </c>
      <c r="J994" t="str">
        <f t="shared" si="31"/>
        <v>2023 Q3</v>
      </c>
      <c r="K994">
        <f>raw_data!H994</f>
        <v>11.31</v>
      </c>
      <c r="L994" s="13">
        <f>raw_data!I994</f>
        <v>26.54</v>
      </c>
      <c r="M994" s="13">
        <f>raw_data!J994</f>
        <v>9.31</v>
      </c>
    </row>
    <row r="995" spans="1:13" x14ac:dyDescent="0.2">
      <c r="A995" t="str">
        <f>raw_data!A995</f>
        <v>2023Q3</v>
      </c>
      <c r="B995" t="str">
        <f>raw_data!B995</f>
        <v>New South Wales</v>
      </c>
      <c r="C995" t="str">
        <f>raw_data!C995</f>
        <v>Manufacturing</v>
      </c>
      <c r="D995">
        <f>raw_data!D995</f>
        <v>24.73</v>
      </c>
      <c r="E995">
        <f>raw_data!E995</f>
        <v>78.849999999999994</v>
      </c>
      <c r="F995">
        <f>raw_data!F995</f>
        <v>40.880000000000003</v>
      </c>
      <c r="G995">
        <f>raw_data!G995</f>
        <v>45.81</v>
      </c>
      <c r="H995">
        <f>(raw_data!D995*weights!$B$2)+(raw_data!E995*weights!$B$3)+(raw_data!F995*weights!$B$4)</f>
        <v>45.811</v>
      </c>
      <c r="I995" t="str">
        <f t="shared" si="30"/>
        <v>High</v>
      </c>
      <c r="J995" t="str">
        <f t="shared" si="31"/>
        <v>2023 Q3</v>
      </c>
      <c r="K995">
        <f>raw_data!H995</f>
        <v>9.89</v>
      </c>
      <c r="L995" s="13">
        <f>raw_data!I995</f>
        <v>23.65</v>
      </c>
      <c r="M995" s="13">
        <f>raw_data!J995</f>
        <v>12.26</v>
      </c>
    </row>
    <row r="996" spans="1:13" x14ac:dyDescent="0.2">
      <c r="A996" t="str">
        <f>raw_data!A996</f>
        <v>2023Q3</v>
      </c>
      <c r="B996" t="str">
        <f>raw_data!B996</f>
        <v>New South Wales</v>
      </c>
      <c r="C996" t="str">
        <f>raw_data!C996</f>
        <v>Professional, Scientific and Technical Services</v>
      </c>
      <c r="D996">
        <f>raw_data!D996</f>
        <v>24.79</v>
      </c>
      <c r="E996">
        <f>raw_data!E996</f>
        <v>67.31</v>
      </c>
      <c r="F996">
        <f>raw_data!F996</f>
        <v>18.600000000000001</v>
      </c>
      <c r="G996">
        <f>raw_data!G996</f>
        <v>35.69</v>
      </c>
      <c r="H996">
        <f>(raw_data!D996*weights!$B$2)+(raw_data!E996*weights!$B$3)+(raw_data!F996*weights!$B$4)</f>
        <v>35.689</v>
      </c>
      <c r="I996" t="str">
        <f t="shared" si="30"/>
        <v>Moderate</v>
      </c>
      <c r="J996" t="str">
        <f t="shared" si="31"/>
        <v>2023 Q3</v>
      </c>
      <c r="K996">
        <f>raw_data!H996</f>
        <v>9.92</v>
      </c>
      <c r="L996" s="13">
        <f>raw_data!I996</f>
        <v>20.190000000000001</v>
      </c>
      <c r="M996" s="13">
        <f>raw_data!J996</f>
        <v>5.58</v>
      </c>
    </row>
    <row r="997" spans="1:13" x14ac:dyDescent="0.2">
      <c r="A997" t="str">
        <f>raw_data!A997</f>
        <v>2023Q3</v>
      </c>
      <c r="B997" t="str">
        <f>raw_data!B997</f>
        <v>Queensland</v>
      </c>
      <c r="C997" t="str">
        <f>raw_data!C997</f>
        <v>Accommodation and Food Services</v>
      </c>
      <c r="D997">
        <f>raw_data!D997</f>
        <v>69.680000000000007</v>
      </c>
      <c r="E997">
        <f>raw_data!E997</f>
        <v>100</v>
      </c>
      <c r="F997">
        <f>raw_data!F997</f>
        <v>17.72</v>
      </c>
      <c r="G997">
        <f>raw_data!G997</f>
        <v>63.19</v>
      </c>
      <c r="H997">
        <f>(raw_data!D997*weights!$B$2)+(raw_data!E997*weights!$B$3)+(raw_data!F997*weights!$B$4)</f>
        <v>63.188000000000002</v>
      </c>
      <c r="I997" t="str">
        <f t="shared" si="30"/>
        <v>Critical</v>
      </c>
      <c r="J997" t="str">
        <f t="shared" si="31"/>
        <v>2023 Q3</v>
      </c>
      <c r="K997">
        <f>raw_data!H997</f>
        <v>27.87</v>
      </c>
      <c r="L997" s="13">
        <f>raw_data!I997</f>
        <v>30</v>
      </c>
      <c r="M997" s="13">
        <f>raw_data!J997</f>
        <v>5.32</v>
      </c>
    </row>
    <row r="998" spans="1:13" x14ac:dyDescent="0.2">
      <c r="A998" t="str">
        <f>raw_data!A998</f>
        <v>2023Q3</v>
      </c>
      <c r="B998" t="str">
        <f>raw_data!B998</f>
        <v>Queensland</v>
      </c>
      <c r="C998" t="str">
        <f>raw_data!C998</f>
        <v>Construction</v>
      </c>
      <c r="D998">
        <f>raw_data!D998</f>
        <v>26.49</v>
      </c>
      <c r="E998">
        <f>raw_data!E998</f>
        <v>76.92</v>
      </c>
      <c r="F998">
        <f>raw_data!F998</f>
        <v>18.73</v>
      </c>
      <c r="G998">
        <f>raw_data!G998</f>
        <v>39.29</v>
      </c>
      <c r="H998">
        <f>(raw_data!D998*weights!$B$2)+(raw_data!E998*weights!$B$3)+(raw_data!F998*weights!$B$4)</f>
        <v>39.290999999999997</v>
      </c>
      <c r="I998" t="str">
        <f t="shared" si="30"/>
        <v>Moderate</v>
      </c>
      <c r="J998" t="str">
        <f t="shared" si="31"/>
        <v>2023 Q3</v>
      </c>
      <c r="K998">
        <f>raw_data!H998</f>
        <v>10.6</v>
      </c>
      <c r="L998" s="13">
        <f>raw_data!I998</f>
        <v>23.08</v>
      </c>
      <c r="M998" s="13">
        <f>raw_data!J998</f>
        <v>5.62</v>
      </c>
    </row>
    <row r="999" spans="1:13" x14ac:dyDescent="0.2">
      <c r="A999" t="str">
        <f>raw_data!A999</f>
        <v>2023Q3</v>
      </c>
      <c r="B999" t="str">
        <f>raw_data!B999</f>
        <v>Queensland</v>
      </c>
      <c r="C999" t="str">
        <f>raw_data!C999</f>
        <v>Education and Training</v>
      </c>
      <c r="D999">
        <f>raw_data!D999</f>
        <v>16.149999999999999</v>
      </c>
      <c r="E999">
        <f>raw_data!E999</f>
        <v>63.46</v>
      </c>
      <c r="F999">
        <f>raw_data!F999</f>
        <v>23.32</v>
      </c>
      <c r="G999">
        <f>raw_data!G999</f>
        <v>32.5</v>
      </c>
      <c r="H999">
        <f>(raw_data!D999*weights!$B$2)+(raw_data!E999*weights!$B$3)+(raw_data!F999*weights!$B$4)</f>
        <v>32.494</v>
      </c>
      <c r="I999" t="str">
        <f t="shared" si="30"/>
        <v>Moderate</v>
      </c>
      <c r="J999" t="str">
        <f t="shared" si="31"/>
        <v>2023 Q3</v>
      </c>
      <c r="K999">
        <f>raw_data!H999</f>
        <v>6.46</v>
      </c>
      <c r="L999" s="13">
        <f>raw_data!I999</f>
        <v>19.04</v>
      </c>
      <c r="M999" s="13">
        <f>raw_data!J999</f>
        <v>7</v>
      </c>
    </row>
    <row r="1000" spans="1:13" x14ac:dyDescent="0.2">
      <c r="A1000" t="str">
        <f>raw_data!A1000</f>
        <v>2023Q3</v>
      </c>
      <c r="B1000" t="str">
        <f>raw_data!B1000</f>
        <v>Queensland</v>
      </c>
      <c r="C1000" t="str">
        <f>raw_data!C1000</f>
        <v>Health Care and Social Assistance</v>
      </c>
      <c r="D1000">
        <f>raw_data!D1000</f>
        <v>40.770000000000003</v>
      </c>
      <c r="E1000">
        <f>raw_data!E1000</f>
        <v>88.46</v>
      </c>
      <c r="F1000">
        <f>raw_data!F1000</f>
        <v>36.26</v>
      </c>
      <c r="G1000">
        <f>raw_data!G1000</f>
        <v>53.72</v>
      </c>
      <c r="H1000">
        <f>(raw_data!D1000*weights!$B$2)+(raw_data!E1000*weights!$B$3)+(raw_data!F1000*weights!$B$4)</f>
        <v>53.724000000000004</v>
      </c>
      <c r="I1000" t="str">
        <f t="shared" si="30"/>
        <v>High</v>
      </c>
      <c r="J1000" t="str">
        <f t="shared" si="31"/>
        <v>2023 Q3</v>
      </c>
      <c r="K1000">
        <f>raw_data!H1000</f>
        <v>16.309999999999999</v>
      </c>
      <c r="L1000" s="13">
        <f>raw_data!I1000</f>
        <v>26.54</v>
      </c>
      <c r="M1000" s="13">
        <f>raw_data!J1000</f>
        <v>10.88</v>
      </c>
    </row>
    <row r="1001" spans="1:13" x14ac:dyDescent="0.2">
      <c r="A1001" t="str">
        <f>raw_data!A1001</f>
        <v>2023Q3</v>
      </c>
      <c r="B1001" t="str">
        <f>raw_data!B1001</f>
        <v>Queensland</v>
      </c>
      <c r="C1001" t="str">
        <f>raw_data!C1001</f>
        <v>Manufacturing</v>
      </c>
      <c r="D1001">
        <f>raw_data!D1001</f>
        <v>42.59</v>
      </c>
      <c r="E1001">
        <f>raw_data!E1001</f>
        <v>78.849999999999994</v>
      </c>
      <c r="F1001">
        <f>raw_data!F1001</f>
        <v>37.42</v>
      </c>
      <c r="G1001">
        <f>raw_data!G1001</f>
        <v>51.92</v>
      </c>
      <c r="H1001">
        <f>(raw_data!D1001*weights!$B$2)+(raw_data!E1001*weights!$B$3)+(raw_data!F1001*weights!$B$4)</f>
        <v>51.917000000000002</v>
      </c>
      <c r="I1001" t="str">
        <f t="shared" si="30"/>
        <v>High</v>
      </c>
      <c r="J1001" t="str">
        <f t="shared" si="31"/>
        <v>2023 Q3</v>
      </c>
      <c r="K1001">
        <f>raw_data!H1001</f>
        <v>17.04</v>
      </c>
      <c r="L1001" s="13">
        <f>raw_data!I1001</f>
        <v>23.65</v>
      </c>
      <c r="M1001" s="13">
        <f>raw_data!J1001</f>
        <v>11.23</v>
      </c>
    </row>
    <row r="1002" spans="1:13" x14ac:dyDescent="0.2">
      <c r="A1002" t="str">
        <f>raw_data!A1002</f>
        <v>2023Q3</v>
      </c>
      <c r="B1002" t="str">
        <f>raw_data!B1002</f>
        <v>Queensland</v>
      </c>
      <c r="C1002" t="str">
        <f>raw_data!C1002</f>
        <v>Professional, Scientific and Technical Services</v>
      </c>
      <c r="D1002">
        <f>raw_data!D1002</f>
        <v>53.75</v>
      </c>
      <c r="E1002">
        <f>raw_data!E1002</f>
        <v>67.31</v>
      </c>
      <c r="F1002">
        <f>raw_data!F1002</f>
        <v>28.49</v>
      </c>
      <c r="G1002">
        <f>raw_data!G1002</f>
        <v>50.24</v>
      </c>
      <c r="H1002">
        <f>(raw_data!D1002*weights!$B$2)+(raw_data!E1002*weights!$B$3)+(raw_data!F1002*weights!$B$4)</f>
        <v>50.239999999999995</v>
      </c>
      <c r="I1002" t="str">
        <f t="shared" si="30"/>
        <v>High</v>
      </c>
      <c r="J1002" t="str">
        <f t="shared" si="31"/>
        <v>2023 Q3</v>
      </c>
      <c r="K1002">
        <f>raw_data!H1002</f>
        <v>21.5</v>
      </c>
      <c r="L1002" s="13">
        <f>raw_data!I1002</f>
        <v>20.190000000000001</v>
      </c>
      <c r="M1002" s="13">
        <f>raw_data!J1002</f>
        <v>8.5500000000000007</v>
      </c>
    </row>
    <row r="1003" spans="1:13" x14ac:dyDescent="0.2">
      <c r="A1003" t="str">
        <f>raw_data!A1003</f>
        <v>2023Q3</v>
      </c>
      <c r="B1003" t="str">
        <f>raw_data!B1003</f>
        <v>Victoria</v>
      </c>
      <c r="C1003" t="str">
        <f>raw_data!C1003</f>
        <v>Accommodation and Food Services</v>
      </c>
      <c r="D1003">
        <f>raw_data!D1003</f>
        <v>58.46</v>
      </c>
      <c r="E1003">
        <f>raw_data!E1003</f>
        <v>100</v>
      </c>
      <c r="F1003">
        <f>raw_data!F1003</f>
        <v>13.49</v>
      </c>
      <c r="G1003">
        <f>raw_data!G1003</f>
        <v>57.43</v>
      </c>
      <c r="H1003">
        <f>(raw_data!D1003*weights!$B$2)+(raw_data!E1003*weights!$B$3)+(raw_data!F1003*weights!$B$4)</f>
        <v>57.430999999999997</v>
      </c>
      <c r="I1003" t="str">
        <f t="shared" si="30"/>
        <v>High</v>
      </c>
      <c r="J1003" t="str">
        <f t="shared" si="31"/>
        <v>2023 Q3</v>
      </c>
      <c r="K1003">
        <f>raw_data!H1003</f>
        <v>23.38</v>
      </c>
      <c r="L1003" s="13">
        <f>raw_data!I1003</f>
        <v>30</v>
      </c>
      <c r="M1003" s="13">
        <f>raw_data!J1003</f>
        <v>4.05</v>
      </c>
    </row>
    <row r="1004" spans="1:13" x14ac:dyDescent="0.2">
      <c r="A1004" t="str">
        <f>raw_data!A1004</f>
        <v>2023Q3</v>
      </c>
      <c r="B1004" t="str">
        <f>raw_data!B1004</f>
        <v>Victoria</v>
      </c>
      <c r="C1004" t="str">
        <f>raw_data!C1004</f>
        <v>Construction</v>
      </c>
      <c r="D1004">
        <f>raw_data!D1004</f>
        <v>23.25</v>
      </c>
      <c r="E1004">
        <f>raw_data!E1004</f>
        <v>76.92</v>
      </c>
      <c r="F1004">
        <f>raw_data!F1004</f>
        <v>20.260000000000002</v>
      </c>
      <c r="G1004">
        <f>raw_data!G1004</f>
        <v>38.46</v>
      </c>
      <c r="H1004">
        <f>(raw_data!D1004*weights!$B$2)+(raw_data!E1004*weights!$B$3)+(raw_data!F1004*weights!$B$4)</f>
        <v>38.454000000000008</v>
      </c>
      <c r="I1004" t="str">
        <f t="shared" si="30"/>
        <v>Moderate</v>
      </c>
      <c r="J1004" t="str">
        <f t="shared" si="31"/>
        <v>2023 Q3</v>
      </c>
      <c r="K1004">
        <f>raw_data!H1004</f>
        <v>9.3000000000000007</v>
      </c>
      <c r="L1004" s="13">
        <f>raw_data!I1004</f>
        <v>23.08</v>
      </c>
      <c r="M1004" s="13">
        <f>raw_data!J1004</f>
        <v>6.08</v>
      </c>
    </row>
    <row r="1005" spans="1:13" x14ac:dyDescent="0.2">
      <c r="A1005" t="str">
        <f>raw_data!A1005</f>
        <v>2023Q3</v>
      </c>
      <c r="B1005" t="str">
        <f>raw_data!B1005</f>
        <v>Victoria</v>
      </c>
      <c r="C1005" t="str">
        <f>raw_data!C1005</f>
        <v>Education and Training</v>
      </c>
      <c r="D1005">
        <f>raw_data!D1005</f>
        <v>12.88</v>
      </c>
      <c r="E1005">
        <f>raw_data!E1005</f>
        <v>63.46</v>
      </c>
      <c r="F1005">
        <f>raw_data!F1005</f>
        <v>15.2</v>
      </c>
      <c r="G1005">
        <f>raw_data!G1005</f>
        <v>28.75</v>
      </c>
      <c r="H1005">
        <f>(raw_data!D1005*weights!$B$2)+(raw_data!E1005*weights!$B$3)+(raw_data!F1005*weights!$B$4)</f>
        <v>28.75</v>
      </c>
      <c r="I1005" t="str">
        <f t="shared" si="30"/>
        <v>Moderate</v>
      </c>
      <c r="J1005" t="str">
        <f t="shared" si="31"/>
        <v>2023 Q3</v>
      </c>
      <c r="K1005">
        <f>raw_data!H1005</f>
        <v>5.15</v>
      </c>
      <c r="L1005" s="13">
        <f>raw_data!I1005</f>
        <v>19.04</v>
      </c>
      <c r="M1005" s="13">
        <f>raw_data!J1005</f>
        <v>4.5599999999999996</v>
      </c>
    </row>
    <row r="1006" spans="1:13" x14ac:dyDescent="0.2">
      <c r="A1006" t="str">
        <f>raw_data!A1006</f>
        <v>2023Q3</v>
      </c>
      <c r="B1006" t="str">
        <f>raw_data!B1006</f>
        <v>Victoria</v>
      </c>
      <c r="C1006" t="str">
        <f>raw_data!C1006</f>
        <v>Health Care and Social Assistance</v>
      </c>
      <c r="D1006">
        <f>raw_data!D1006</f>
        <v>31.08</v>
      </c>
      <c r="E1006">
        <f>raw_data!E1006</f>
        <v>88.46</v>
      </c>
      <c r="F1006">
        <f>raw_data!F1006</f>
        <v>59.25</v>
      </c>
      <c r="G1006">
        <f>raw_data!G1006</f>
        <v>56.75</v>
      </c>
      <c r="H1006">
        <f>(raw_data!D1006*weights!$B$2)+(raw_data!E1006*weights!$B$3)+(raw_data!F1006*weights!$B$4)</f>
        <v>56.744999999999997</v>
      </c>
      <c r="I1006" t="str">
        <f t="shared" si="30"/>
        <v>High</v>
      </c>
      <c r="J1006" t="str">
        <f t="shared" si="31"/>
        <v>2023 Q3</v>
      </c>
      <c r="K1006">
        <f>raw_data!H1006</f>
        <v>12.43</v>
      </c>
      <c r="L1006" s="13">
        <f>raw_data!I1006</f>
        <v>26.54</v>
      </c>
      <c r="M1006" s="13">
        <f>raw_data!J1006</f>
        <v>17.78</v>
      </c>
    </row>
    <row r="1007" spans="1:13" x14ac:dyDescent="0.2">
      <c r="A1007" t="str">
        <f>raw_data!A1007</f>
        <v>2023Q3</v>
      </c>
      <c r="B1007" t="str">
        <f>raw_data!B1007</f>
        <v>Victoria</v>
      </c>
      <c r="C1007" t="str">
        <f>raw_data!C1007</f>
        <v>Manufacturing</v>
      </c>
      <c r="D1007">
        <f>raw_data!D1007</f>
        <v>22.09</v>
      </c>
      <c r="E1007">
        <f>raw_data!E1007</f>
        <v>78.849999999999994</v>
      </c>
      <c r="F1007">
        <f>raw_data!F1007</f>
        <v>38.299999999999997</v>
      </c>
      <c r="G1007">
        <f>raw_data!G1007</f>
        <v>43.98</v>
      </c>
      <c r="H1007">
        <f>(raw_data!D1007*weights!$B$2)+(raw_data!E1007*weights!$B$3)+(raw_data!F1007*weights!$B$4)</f>
        <v>43.980999999999995</v>
      </c>
      <c r="I1007" t="str">
        <f t="shared" si="30"/>
        <v>Moderate</v>
      </c>
      <c r="J1007" t="str">
        <f t="shared" si="31"/>
        <v>2023 Q3</v>
      </c>
      <c r="K1007">
        <f>raw_data!H1007</f>
        <v>8.84</v>
      </c>
      <c r="L1007" s="13">
        <f>raw_data!I1007</f>
        <v>23.65</v>
      </c>
      <c r="M1007" s="13">
        <f>raw_data!J1007</f>
        <v>11.49</v>
      </c>
    </row>
    <row r="1008" spans="1:13" x14ac:dyDescent="0.2">
      <c r="A1008" t="str">
        <f>raw_data!A1008</f>
        <v>2023Q3</v>
      </c>
      <c r="B1008" t="str">
        <f>raw_data!B1008</f>
        <v>Victoria</v>
      </c>
      <c r="C1008" t="str">
        <f>raw_data!C1008</f>
        <v>Professional, Scientific and Technical Services</v>
      </c>
      <c r="D1008">
        <f>raw_data!D1008</f>
        <v>30.45</v>
      </c>
      <c r="E1008">
        <f>raw_data!E1008</f>
        <v>67.31</v>
      </c>
      <c r="F1008">
        <f>raw_data!F1008</f>
        <v>23.34</v>
      </c>
      <c r="G1008">
        <f>raw_data!G1008</f>
        <v>39.380000000000003</v>
      </c>
      <c r="H1008">
        <f>(raw_data!D1008*weights!$B$2)+(raw_data!E1008*weights!$B$3)+(raw_data!F1008*weights!$B$4)</f>
        <v>39.375000000000007</v>
      </c>
      <c r="I1008" t="str">
        <f t="shared" si="30"/>
        <v>Moderate</v>
      </c>
      <c r="J1008" t="str">
        <f t="shared" si="31"/>
        <v>2023 Q3</v>
      </c>
      <c r="K1008">
        <f>raw_data!H1008</f>
        <v>12.18</v>
      </c>
      <c r="L1008" s="13">
        <f>raw_data!I1008</f>
        <v>20.190000000000001</v>
      </c>
      <c r="M1008" s="13">
        <f>raw_data!J1008</f>
        <v>7</v>
      </c>
    </row>
    <row r="1009" spans="1:13" x14ac:dyDescent="0.2">
      <c r="A1009" t="str">
        <f>raw_data!A1009</f>
        <v>2023Q4</v>
      </c>
      <c r="B1009" t="str">
        <f>raw_data!B1009</f>
        <v>New South Wales</v>
      </c>
      <c r="C1009" t="str">
        <f>raw_data!C1009</f>
        <v>Accommodation and Food Services</v>
      </c>
      <c r="D1009">
        <f>raw_data!D1009</f>
        <v>46.98</v>
      </c>
      <c r="E1009">
        <f>raw_data!E1009</f>
        <v>71.150000000000006</v>
      </c>
      <c r="F1009">
        <f>raw_data!F1009</f>
        <v>12.11</v>
      </c>
      <c r="G1009">
        <f>raw_data!G1009</f>
        <v>43.77</v>
      </c>
      <c r="H1009">
        <f>(raw_data!D1009*weights!$B$2)+(raw_data!E1009*weights!$B$3)+(raw_data!F1009*weights!$B$4)</f>
        <v>43.77</v>
      </c>
      <c r="I1009" t="str">
        <f t="shared" si="30"/>
        <v>Moderate</v>
      </c>
      <c r="J1009" t="str">
        <f t="shared" si="31"/>
        <v>2023 Q4</v>
      </c>
      <c r="K1009">
        <f>raw_data!H1009</f>
        <v>18.79</v>
      </c>
      <c r="L1009" s="13">
        <f>raw_data!I1009</f>
        <v>21.35</v>
      </c>
      <c r="M1009" s="13">
        <f>raw_data!J1009</f>
        <v>3.63</v>
      </c>
    </row>
    <row r="1010" spans="1:13" x14ac:dyDescent="0.2">
      <c r="A1010" t="str">
        <f>raw_data!A1010</f>
        <v>2023Q4</v>
      </c>
      <c r="B1010" t="str">
        <f>raw_data!B1010</f>
        <v>New South Wales</v>
      </c>
      <c r="C1010" t="str">
        <f>raw_data!C1010</f>
        <v>Construction</v>
      </c>
      <c r="D1010">
        <f>raw_data!D1010</f>
        <v>17.34</v>
      </c>
      <c r="E1010">
        <f>raw_data!E1010</f>
        <v>73.08</v>
      </c>
      <c r="F1010">
        <f>raw_data!F1010</f>
        <v>14.81</v>
      </c>
      <c r="G1010">
        <f>raw_data!G1010</f>
        <v>33.299999999999997</v>
      </c>
      <c r="H1010">
        <f>(raw_data!D1010*weights!$B$2)+(raw_data!E1010*weights!$B$3)+(raw_data!F1010*weights!$B$4)</f>
        <v>33.302999999999997</v>
      </c>
      <c r="I1010" t="str">
        <f t="shared" si="30"/>
        <v>Moderate</v>
      </c>
      <c r="J1010" t="str">
        <f t="shared" si="31"/>
        <v>2023 Q4</v>
      </c>
      <c r="K1010">
        <f>raw_data!H1010</f>
        <v>6.93</v>
      </c>
      <c r="L1010" s="13">
        <f>raw_data!I1010</f>
        <v>21.92</v>
      </c>
      <c r="M1010" s="13">
        <f>raw_data!J1010</f>
        <v>4.4400000000000004</v>
      </c>
    </row>
    <row r="1011" spans="1:13" x14ac:dyDescent="0.2">
      <c r="A1011" t="str">
        <f>raw_data!A1011</f>
        <v>2023Q4</v>
      </c>
      <c r="B1011" t="str">
        <f>raw_data!B1011</f>
        <v>New South Wales</v>
      </c>
      <c r="C1011" t="str">
        <f>raw_data!C1011</f>
        <v>Education and Training</v>
      </c>
      <c r="D1011">
        <f>raw_data!D1011</f>
        <v>8.11</v>
      </c>
      <c r="E1011">
        <f>raw_data!E1011</f>
        <v>86.54</v>
      </c>
      <c r="F1011">
        <f>raw_data!F1011</f>
        <v>10.74</v>
      </c>
      <c r="G1011">
        <f>raw_data!G1011</f>
        <v>32.43</v>
      </c>
      <c r="H1011">
        <f>(raw_data!D1011*weights!$B$2)+(raw_data!E1011*weights!$B$3)+(raw_data!F1011*weights!$B$4)</f>
        <v>32.427999999999997</v>
      </c>
      <c r="I1011" t="str">
        <f t="shared" si="30"/>
        <v>Moderate</v>
      </c>
      <c r="J1011" t="str">
        <f t="shared" si="31"/>
        <v>2023 Q4</v>
      </c>
      <c r="K1011">
        <f>raw_data!H1011</f>
        <v>3.24</v>
      </c>
      <c r="L1011" s="13">
        <f>raw_data!I1011</f>
        <v>25.96</v>
      </c>
      <c r="M1011" s="13">
        <f>raw_data!J1011</f>
        <v>3.22</v>
      </c>
    </row>
    <row r="1012" spans="1:13" x14ac:dyDescent="0.2">
      <c r="A1012" t="str">
        <f>raw_data!A1012</f>
        <v>2023Q4</v>
      </c>
      <c r="B1012" t="str">
        <f>raw_data!B1012</f>
        <v>New South Wales</v>
      </c>
      <c r="C1012" t="str">
        <f>raw_data!C1012</f>
        <v>Health Care and Social Assistance</v>
      </c>
      <c r="D1012">
        <f>raw_data!D1012</f>
        <v>26.3</v>
      </c>
      <c r="E1012">
        <f>raw_data!E1012</f>
        <v>100</v>
      </c>
      <c r="F1012">
        <f>raw_data!F1012</f>
        <v>35.200000000000003</v>
      </c>
      <c r="G1012">
        <f>raw_data!G1012</f>
        <v>51.08</v>
      </c>
      <c r="H1012">
        <f>(raw_data!D1012*weights!$B$2)+(raw_data!E1012*weights!$B$3)+(raw_data!F1012*weights!$B$4)</f>
        <v>51.080000000000005</v>
      </c>
      <c r="I1012" t="str">
        <f t="shared" si="30"/>
        <v>High</v>
      </c>
      <c r="J1012" t="str">
        <f t="shared" si="31"/>
        <v>2023 Q4</v>
      </c>
      <c r="K1012">
        <f>raw_data!H1012</f>
        <v>10.52</v>
      </c>
      <c r="L1012" s="13">
        <f>raw_data!I1012</f>
        <v>30</v>
      </c>
      <c r="M1012" s="13">
        <f>raw_data!J1012</f>
        <v>10.56</v>
      </c>
    </row>
    <row r="1013" spans="1:13" x14ac:dyDescent="0.2">
      <c r="A1013" t="str">
        <f>raw_data!A1013</f>
        <v>2023Q4</v>
      </c>
      <c r="B1013" t="str">
        <f>raw_data!B1013</f>
        <v>New South Wales</v>
      </c>
      <c r="C1013" t="str">
        <f>raw_data!C1013</f>
        <v>Manufacturing</v>
      </c>
      <c r="D1013">
        <f>raw_data!D1013</f>
        <v>20.77</v>
      </c>
      <c r="E1013">
        <f>raw_data!E1013</f>
        <v>75</v>
      </c>
      <c r="F1013">
        <f>raw_data!F1013</f>
        <v>16.61</v>
      </c>
      <c r="G1013">
        <f>raw_data!G1013</f>
        <v>35.79</v>
      </c>
      <c r="H1013">
        <f>(raw_data!D1013*weights!$B$2)+(raw_data!E1013*weights!$B$3)+(raw_data!F1013*weights!$B$4)</f>
        <v>35.790999999999997</v>
      </c>
      <c r="I1013" t="str">
        <f t="shared" si="30"/>
        <v>Moderate</v>
      </c>
      <c r="J1013" t="str">
        <f t="shared" si="31"/>
        <v>2023 Q4</v>
      </c>
      <c r="K1013">
        <f>raw_data!H1013</f>
        <v>8.31</v>
      </c>
      <c r="L1013" s="13">
        <f>raw_data!I1013</f>
        <v>22.5</v>
      </c>
      <c r="M1013" s="13">
        <f>raw_data!J1013</f>
        <v>4.9800000000000004</v>
      </c>
    </row>
    <row r="1014" spans="1:13" x14ac:dyDescent="0.2">
      <c r="A1014" t="str">
        <f>raw_data!A1014</f>
        <v>2023Q4</v>
      </c>
      <c r="B1014" t="str">
        <f>raw_data!B1014</f>
        <v>New South Wales</v>
      </c>
      <c r="C1014" t="str">
        <f>raw_data!C1014</f>
        <v>Professional, Scientific and Technical Services</v>
      </c>
      <c r="D1014">
        <f>raw_data!D1014</f>
        <v>24.36</v>
      </c>
      <c r="E1014">
        <f>raw_data!E1014</f>
        <v>67.31</v>
      </c>
      <c r="F1014">
        <f>raw_data!F1014</f>
        <v>22.35</v>
      </c>
      <c r="G1014">
        <f>raw_data!G1014</f>
        <v>36.64</v>
      </c>
      <c r="H1014">
        <f>(raw_data!D1014*weights!$B$2)+(raw_data!E1014*weights!$B$3)+(raw_data!F1014*weights!$B$4)</f>
        <v>36.642000000000003</v>
      </c>
      <c r="I1014" t="str">
        <f t="shared" si="30"/>
        <v>Moderate</v>
      </c>
      <c r="J1014" t="str">
        <f t="shared" si="31"/>
        <v>2023 Q4</v>
      </c>
      <c r="K1014">
        <f>raw_data!H1014</f>
        <v>9.74</v>
      </c>
      <c r="L1014" s="13">
        <f>raw_data!I1014</f>
        <v>20.190000000000001</v>
      </c>
      <c r="M1014" s="13">
        <f>raw_data!J1014</f>
        <v>6.7</v>
      </c>
    </row>
    <row r="1015" spans="1:13" x14ac:dyDescent="0.2">
      <c r="A1015" t="str">
        <f>raw_data!A1015</f>
        <v>2023Q4</v>
      </c>
      <c r="B1015" t="str">
        <f>raw_data!B1015</f>
        <v>Queensland</v>
      </c>
      <c r="C1015" t="str">
        <f>raw_data!C1015</f>
        <v>Accommodation and Food Services</v>
      </c>
      <c r="D1015">
        <f>raw_data!D1015</f>
        <v>66.36</v>
      </c>
      <c r="E1015">
        <f>raw_data!E1015</f>
        <v>71.150000000000006</v>
      </c>
      <c r="F1015">
        <f>raw_data!F1015</f>
        <v>25.12</v>
      </c>
      <c r="G1015">
        <f>raw_data!G1015</f>
        <v>55.42</v>
      </c>
      <c r="H1015">
        <f>(raw_data!D1015*weights!$B$2)+(raw_data!E1015*weights!$B$3)+(raw_data!F1015*weights!$B$4)</f>
        <v>55.425000000000004</v>
      </c>
      <c r="I1015" t="str">
        <f t="shared" si="30"/>
        <v>High</v>
      </c>
      <c r="J1015" t="str">
        <f t="shared" si="31"/>
        <v>2023 Q4</v>
      </c>
      <c r="K1015">
        <f>raw_data!H1015</f>
        <v>26.54</v>
      </c>
      <c r="L1015" s="13">
        <f>raw_data!I1015</f>
        <v>21.35</v>
      </c>
      <c r="M1015" s="13">
        <f>raw_data!J1015</f>
        <v>7.54</v>
      </c>
    </row>
    <row r="1016" spans="1:13" x14ac:dyDescent="0.2">
      <c r="A1016" t="str">
        <f>raw_data!A1016</f>
        <v>2023Q4</v>
      </c>
      <c r="B1016" t="str">
        <f>raw_data!B1016</f>
        <v>Queensland</v>
      </c>
      <c r="C1016" t="str">
        <f>raw_data!C1016</f>
        <v>Construction</v>
      </c>
      <c r="D1016">
        <f>raw_data!D1016</f>
        <v>26.91</v>
      </c>
      <c r="E1016">
        <f>raw_data!E1016</f>
        <v>73.08</v>
      </c>
      <c r="F1016">
        <f>raw_data!F1016</f>
        <v>21.44</v>
      </c>
      <c r="G1016">
        <f>raw_data!G1016</f>
        <v>39.119999999999997</v>
      </c>
      <c r="H1016">
        <f>(raw_data!D1016*weights!$B$2)+(raw_data!E1016*weights!$B$3)+(raw_data!F1016*weights!$B$4)</f>
        <v>39.120000000000005</v>
      </c>
      <c r="I1016" t="str">
        <f t="shared" si="30"/>
        <v>Moderate</v>
      </c>
      <c r="J1016" t="str">
        <f t="shared" si="31"/>
        <v>2023 Q4</v>
      </c>
      <c r="K1016">
        <f>raw_data!H1016</f>
        <v>10.77</v>
      </c>
      <c r="L1016" s="13">
        <f>raw_data!I1016</f>
        <v>21.92</v>
      </c>
      <c r="M1016" s="13">
        <f>raw_data!J1016</f>
        <v>6.43</v>
      </c>
    </row>
    <row r="1017" spans="1:13" x14ac:dyDescent="0.2">
      <c r="A1017" t="str">
        <f>raw_data!A1017</f>
        <v>2023Q4</v>
      </c>
      <c r="B1017" t="str">
        <f>raw_data!B1017</f>
        <v>Queensland</v>
      </c>
      <c r="C1017" t="str">
        <f>raw_data!C1017</f>
        <v>Education and Training</v>
      </c>
      <c r="D1017">
        <f>raw_data!D1017</f>
        <v>14.08</v>
      </c>
      <c r="E1017">
        <f>raw_data!E1017</f>
        <v>86.54</v>
      </c>
      <c r="F1017">
        <f>raw_data!F1017</f>
        <v>29.99</v>
      </c>
      <c r="G1017">
        <f>raw_data!G1017</f>
        <v>40.590000000000003</v>
      </c>
      <c r="H1017">
        <f>(raw_data!D1017*weights!$B$2)+(raw_data!E1017*weights!$B$3)+(raw_data!F1017*weights!$B$4)</f>
        <v>40.591000000000001</v>
      </c>
      <c r="I1017" t="str">
        <f t="shared" si="30"/>
        <v>Moderate</v>
      </c>
      <c r="J1017" t="str">
        <f t="shared" si="31"/>
        <v>2023 Q4</v>
      </c>
      <c r="K1017">
        <f>raw_data!H1017</f>
        <v>5.63</v>
      </c>
      <c r="L1017" s="13">
        <f>raw_data!I1017</f>
        <v>25.96</v>
      </c>
      <c r="M1017" s="13">
        <f>raw_data!J1017</f>
        <v>9</v>
      </c>
    </row>
    <row r="1018" spans="1:13" x14ac:dyDescent="0.2">
      <c r="A1018" t="str">
        <f>raw_data!A1018</f>
        <v>2023Q4</v>
      </c>
      <c r="B1018" t="str">
        <f>raw_data!B1018</f>
        <v>Queensland</v>
      </c>
      <c r="C1018" t="str">
        <f>raw_data!C1018</f>
        <v>Health Care and Social Assistance</v>
      </c>
      <c r="D1018">
        <f>raw_data!D1018</f>
        <v>39.83</v>
      </c>
      <c r="E1018">
        <f>raw_data!E1018</f>
        <v>100</v>
      </c>
      <c r="F1018">
        <f>raw_data!F1018</f>
        <v>41.08</v>
      </c>
      <c r="G1018">
        <f>raw_data!G1018</f>
        <v>58.26</v>
      </c>
      <c r="H1018">
        <f>(raw_data!D1018*weights!$B$2)+(raw_data!E1018*weights!$B$3)+(raw_data!F1018*weights!$B$4)</f>
        <v>58.256</v>
      </c>
      <c r="I1018" t="str">
        <f t="shared" si="30"/>
        <v>High</v>
      </c>
      <c r="J1018" t="str">
        <f t="shared" si="31"/>
        <v>2023 Q4</v>
      </c>
      <c r="K1018">
        <f>raw_data!H1018</f>
        <v>15.93</v>
      </c>
      <c r="L1018" s="13">
        <f>raw_data!I1018</f>
        <v>30</v>
      </c>
      <c r="M1018" s="13">
        <f>raw_data!J1018</f>
        <v>12.32</v>
      </c>
    </row>
    <row r="1019" spans="1:13" x14ac:dyDescent="0.2">
      <c r="A1019" t="str">
        <f>raw_data!A1019</f>
        <v>2023Q4</v>
      </c>
      <c r="B1019" t="str">
        <f>raw_data!B1019</f>
        <v>Queensland</v>
      </c>
      <c r="C1019" t="str">
        <f>raw_data!C1019</f>
        <v>Manufacturing</v>
      </c>
      <c r="D1019">
        <f>raw_data!D1019</f>
        <v>34.020000000000003</v>
      </c>
      <c r="E1019">
        <f>raw_data!E1019</f>
        <v>75</v>
      </c>
      <c r="F1019">
        <f>raw_data!F1019</f>
        <v>30.27</v>
      </c>
      <c r="G1019">
        <f>raw_data!G1019</f>
        <v>45.19</v>
      </c>
      <c r="H1019">
        <f>(raw_data!D1019*weights!$B$2)+(raw_data!E1019*weights!$B$3)+(raw_data!F1019*weights!$B$4)</f>
        <v>45.189000000000007</v>
      </c>
      <c r="I1019" t="str">
        <f t="shared" si="30"/>
        <v>High</v>
      </c>
      <c r="J1019" t="str">
        <f t="shared" si="31"/>
        <v>2023 Q4</v>
      </c>
      <c r="K1019">
        <f>raw_data!H1019</f>
        <v>13.61</v>
      </c>
      <c r="L1019" s="13">
        <f>raw_data!I1019</f>
        <v>22.5</v>
      </c>
      <c r="M1019" s="13">
        <f>raw_data!J1019</f>
        <v>9.08</v>
      </c>
    </row>
    <row r="1020" spans="1:13" x14ac:dyDescent="0.2">
      <c r="A1020" t="str">
        <f>raw_data!A1020</f>
        <v>2023Q4</v>
      </c>
      <c r="B1020" t="str">
        <f>raw_data!B1020</f>
        <v>Queensland</v>
      </c>
      <c r="C1020" t="str">
        <f>raw_data!C1020</f>
        <v>Professional, Scientific and Technical Services</v>
      </c>
      <c r="D1020">
        <f>raw_data!D1020</f>
        <v>47.87</v>
      </c>
      <c r="E1020">
        <f>raw_data!E1020</f>
        <v>67.31</v>
      </c>
      <c r="F1020">
        <f>raw_data!F1020</f>
        <v>21.04</v>
      </c>
      <c r="G1020">
        <f>raw_data!G1020</f>
        <v>45.65</v>
      </c>
      <c r="H1020">
        <f>(raw_data!D1020*weights!$B$2)+(raw_data!E1020*weights!$B$3)+(raw_data!F1020*weights!$B$4)</f>
        <v>45.652999999999999</v>
      </c>
      <c r="I1020" t="str">
        <f t="shared" si="30"/>
        <v>High</v>
      </c>
      <c r="J1020" t="str">
        <f t="shared" si="31"/>
        <v>2023 Q4</v>
      </c>
      <c r="K1020">
        <f>raw_data!H1020</f>
        <v>19.149999999999999</v>
      </c>
      <c r="L1020" s="13">
        <f>raw_data!I1020</f>
        <v>20.190000000000001</v>
      </c>
      <c r="M1020" s="13">
        <f>raw_data!J1020</f>
        <v>6.31</v>
      </c>
    </row>
    <row r="1021" spans="1:13" x14ac:dyDescent="0.2">
      <c r="A1021" t="str">
        <f>raw_data!A1021</f>
        <v>2023Q4</v>
      </c>
      <c r="B1021" t="str">
        <f>raw_data!B1021</f>
        <v>Victoria</v>
      </c>
      <c r="C1021" t="str">
        <f>raw_data!C1021</f>
        <v>Accommodation and Food Services</v>
      </c>
      <c r="D1021">
        <f>raw_data!D1021</f>
        <v>59.39</v>
      </c>
      <c r="E1021">
        <f>raw_data!E1021</f>
        <v>71.150000000000006</v>
      </c>
      <c r="F1021">
        <f>raw_data!F1021</f>
        <v>14.72</v>
      </c>
      <c r="G1021">
        <f>raw_data!G1021</f>
        <v>49.52</v>
      </c>
      <c r="H1021">
        <f>(raw_data!D1021*weights!$B$2)+(raw_data!E1021*weights!$B$3)+(raw_data!F1021*weights!$B$4)</f>
        <v>49.516999999999996</v>
      </c>
      <c r="I1021" t="str">
        <f t="shared" si="30"/>
        <v>High</v>
      </c>
      <c r="J1021" t="str">
        <f t="shared" si="31"/>
        <v>2023 Q4</v>
      </c>
      <c r="K1021">
        <f>raw_data!H1021</f>
        <v>23.75</v>
      </c>
      <c r="L1021" s="13">
        <f>raw_data!I1021</f>
        <v>21.35</v>
      </c>
      <c r="M1021" s="13">
        <f>raw_data!J1021</f>
        <v>4.42</v>
      </c>
    </row>
    <row r="1022" spans="1:13" x14ac:dyDescent="0.2">
      <c r="A1022" t="str">
        <f>raw_data!A1022</f>
        <v>2023Q4</v>
      </c>
      <c r="B1022" t="str">
        <f>raw_data!B1022</f>
        <v>Victoria</v>
      </c>
      <c r="C1022" t="str">
        <f>raw_data!C1022</f>
        <v>Construction</v>
      </c>
      <c r="D1022">
        <f>raw_data!D1022</f>
        <v>20.8</v>
      </c>
      <c r="E1022">
        <f>raw_data!E1022</f>
        <v>73.08</v>
      </c>
      <c r="F1022">
        <f>raw_data!F1022</f>
        <v>26.72</v>
      </c>
      <c r="G1022">
        <f>raw_data!G1022</f>
        <v>38.26</v>
      </c>
      <c r="H1022">
        <f>(raw_data!D1022*weights!$B$2)+(raw_data!E1022*weights!$B$3)+(raw_data!F1022*weights!$B$4)</f>
        <v>38.26</v>
      </c>
      <c r="I1022" t="str">
        <f t="shared" si="30"/>
        <v>Moderate</v>
      </c>
      <c r="J1022" t="str">
        <f t="shared" si="31"/>
        <v>2023 Q4</v>
      </c>
      <c r="K1022">
        <f>raw_data!H1022</f>
        <v>8.32</v>
      </c>
      <c r="L1022" s="13">
        <f>raw_data!I1022</f>
        <v>21.92</v>
      </c>
      <c r="M1022" s="13">
        <f>raw_data!J1022</f>
        <v>8.02</v>
      </c>
    </row>
    <row r="1023" spans="1:13" x14ac:dyDescent="0.2">
      <c r="A1023" t="str">
        <f>raw_data!A1023</f>
        <v>2023Q4</v>
      </c>
      <c r="B1023" t="str">
        <f>raw_data!B1023</f>
        <v>Victoria</v>
      </c>
      <c r="C1023" t="str">
        <f>raw_data!C1023</f>
        <v>Education and Training</v>
      </c>
      <c r="D1023">
        <f>raw_data!D1023</f>
        <v>9.15</v>
      </c>
      <c r="E1023">
        <f>raw_data!E1023</f>
        <v>86.54</v>
      </c>
      <c r="F1023">
        <f>raw_data!F1023</f>
        <v>21.29</v>
      </c>
      <c r="G1023">
        <f>raw_data!G1023</f>
        <v>36.01</v>
      </c>
      <c r="H1023">
        <f>(raw_data!D1023*weights!$B$2)+(raw_data!E1023*weights!$B$3)+(raw_data!F1023*weights!$B$4)</f>
        <v>36.009</v>
      </c>
      <c r="I1023" t="str">
        <f t="shared" si="30"/>
        <v>Moderate</v>
      </c>
      <c r="J1023" t="str">
        <f t="shared" si="31"/>
        <v>2023 Q4</v>
      </c>
      <c r="K1023">
        <f>raw_data!H1023</f>
        <v>3.66</v>
      </c>
      <c r="L1023" s="13">
        <f>raw_data!I1023</f>
        <v>25.96</v>
      </c>
      <c r="M1023" s="13">
        <f>raw_data!J1023</f>
        <v>6.39</v>
      </c>
    </row>
    <row r="1024" spans="1:13" x14ac:dyDescent="0.2">
      <c r="A1024" t="str">
        <f>raw_data!A1024</f>
        <v>2023Q4</v>
      </c>
      <c r="B1024" t="str">
        <f>raw_data!B1024</f>
        <v>Victoria</v>
      </c>
      <c r="C1024" t="str">
        <f>raw_data!C1024</f>
        <v>Health Care and Social Assistance</v>
      </c>
      <c r="D1024">
        <f>raw_data!D1024</f>
        <v>29.9</v>
      </c>
      <c r="E1024">
        <f>raw_data!E1024</f>
        <v>100</v>
      </c>
      <c r="F1024">
        <f>raw_data!F1024</f>
        <v>37.520000000000003</v>
      </c>
      <c r="G1024">
        <f>raw_data!G1024</f>
        <v>53.22</v>
      </c>
      <c r="H1024">
        <f>(raw_data!D1024*weights!$B$2)+(raw_data!E1024*weights!$B$3)+(raw_data!F1024*weights!$B$4)</f>
        <v>53.216000000000001</v>
      </c>
      <c r="I1024" t="str">
        <f t="shared" si="30"/>
        <v>High</v>
      </c>
      <c r="J1024" t="str">
        <f t="shared" si="31"/>
        <v>2023 Q4</v>
      </c>
      <c r="K1024">
        <f>raw_data!H1024</f>
        <v>11.96</v>
      </c>
      <c r="L1024" s="13">
        <f>raw_data!I1024</f>
        <v>30</v>
      </c>
      <c r="M1024" s="13">
        <f>raw_data!J1024</f>
        <v>11.26</v>
      </c>
    </row>
    <row r="1025" spans="1:13" x14ac:dyDescent="0.2">
      <c r="A1025" t="str">
        <f>raw_data!A1025</f>
        <v>2023Q4</v>
      </c>
      <c r="B1025" t="str">
        <f>raw_data!B1025</f>
        <v>Victoria</v>
      </c>
      <c r="C1025" t="str">
        <f>raw_data!C1025</f>
        <v>Manufacturing</v>
      </c>
      <c r="D1025">
        <f>raw_data!D1025</f>
        <v>23.45</v>
      </c>
      <c r="E1025">
        <f>raw_data!E1025</f>
        <v>75</v>
      </c>
      <c r="F1025">
        <f>raw_data!F1025</f>
        <v>24.2</v>
      </c>
      <c r="G1025">
        <f>raw_data!G1025</f>
        <v>39.14</v>
      </c>
      <c r="H1025">
        <f>(raw_data!D1025*weights!$B$2)+(raw_data!E1025*weights!$B$3)+(raw_data!F1025*weights!$B$4)</f>
        <v>39.14</v>
      </c>
      <c r="I1025" t="str">
        <f t="shared" si="30"/>
        <v>Moderate</v>
      </c>
      <c r="J1025" t="str">
        <f t="shared" si="31"/>
        <v>2023 Q4</v>
      </c>
      <c r="K1025">
        <f>raw_data!H1025</f>
        <v>9.3800000000000008</v>
      </c>
      <c r="L1025" s="13">
        <f>raw_data!I1025</f>
        <v>22.5</v>
      </c>
      <c r="M1025" s="13">
        <f>raw_data!J1025</f>
        <v>7.26</v>
      </c>
    </row>
    <row r="1026" spans="1:13" x14ac:dyDescent="0.2">
      <c r="A1026" t="str">
        <f>raw_data!A1026</f>
        <v>2023Q4</v>
      </c>
      <c r="B1026" t="str">
        <f>raw_data!B1026</f>
        <v>Victoria</v>
      </c>
      <c r="C1026" t="str">
        <f>raw_data!C1026</f>
        <v>Professional, Scientific and Technical Services</v>
      </c>
      <c r="D1026">
        <f>raw_data!D1026</f>
        <v>29.88</v>
      </c>
      <c r="E1026">
        <f>raw_data!E1026</f>
        <v>67.31</v>
      </c>
      <c r="F1026">
        <f>raw_data!F1026</f>
        <v>31.81</v>
      </c>
      <c r="G1026">
        <f>raw_data!G1026</f>
        <v>41.69</v>
      </c>
      <c r="H1026">
        <f>(raw_data!D1026*weights!$B$2)+(raw_data!E1026*weights!$B$3)+(raw_data!F1026*weights!$B$4)</f>
        <v>41.688000000000002</v>
      </c>
      <c r="I1026" t="str">
        <f t="shared" si="30"/>
        <v>Moderate</v>
      </c>
      <c r="J1026" t="str">
        <f t="shared" si="31"/>
        <v>2023 Q4</v>
      </c>
      <c r="K1026">
        <f>raw_data!H1026</f>
        <v>11.95</v>
      </c>
      <c r="L1026" s="13">
        <f>raw_data!I1026</f>
        <v>20.190000000000001</v>
      </c>
      <c r="M1026" s="13">
        <f>raw_data!J1026</f>
        <v>9.5399999999999991</v>
      </c>
    </row>
    <row r="1027" spans="1:13" x14ac:dyDescent="0.2">
      <c r="A1027" t="str">
        <f>raw_data!A1027</f>
        <v>2024Q1</v>
      </c>
      <c r="B1027" t="str">
        <f>raw_data!B1027</f>
        <v>New South Wales</v>
      </c>
      <c r="C1027" t="str">
        <f>raw_data!C1027</f>
        <v>Accommodation and Food Services</v>
      </c>
      <c r="D1027">
        <f>raw_data!D1027</f>
        <v>43.57</v>
      </c>
      <c r="E1027">
        <f>raw_data!E1027</f>
        <v>71.150000000000006</v>
      </c>
      <c r="F1027">
        <f>raw_data!F1027</f>
        <v>11.6</v>
      </c>
      <c r="G1027">
        <f>raw_data!G1027</f>
        <v>42.25</v>
      </c>
      <c r="H1027">
        <f>(raw_data!D1027*weights!$B$2)+(raw_data!E1027*weights!$B$3)+(raw_data!F1027*weights!$B$4)</f>
        <v>42.253</v>
      </c>
      <c r="I1027" t="str">
        <f t="shared" ref="I1027:I1090" si="32">IF(H1027&gt;=60,"Critical",IF(H1027&gt;=45,"High",IF(H1027&gt;=25,"Moderate","Low")))</f>
        <v>Moderate</v>
      </c>
      <c r="J1027" t="str">
        <f t="shared" ref="J1027:J1090" si="33">LEFT(A1027,4)&amp;" "&amp;RIGHT(A1027,2)</f>
        <v>2024 Q1</v>
      </c>
      <c r="K1027">
        <f>raw_data!H1027</f>
        <v>17.43</v>
      </c>
      <c r="L1027" s="13">
        <f>raw_data!I1027</f>
        <v>21.35</v>
      </c>
      <c r="M1027" s="13">
        <f>raw_data!J1027</f>
        <v>3.48</v>
      </c>
    </row>
    <row r="1028" spans="1:13" x14ac:dyDescent="0.2">
      <c r="A1028" t="str">
        <f>raw_data!A1028</f>
        <v>2024Q1</v>
      </c>
      <c r="B1028" t="str">
        <f>raw_data!B1028</f>
        <v>New South Wales</v>
      </c>
      <c r="C1028" t="str">
        <f>raw_data!C1028</f>
        <v>Construction</v>
      </c>
      <c r="D1028">
        <f>raw_data!D1028</f>
        <v>17.43</v>
      </c>
      <c r="E1028">
        <f>raw_data!E1028</f>
        <v>75</v>
      </c>
      <c r="F1028">
        <f>raw_data!F1028</f>
        <v>9.93</v>
      </c>
      <c r="G1028">
        <f>raw_data!G1028</f>
        <v>32.450000000000003</v>
      </c>
      <c r="H1028">
        <f>(raw_data!D1028*weights!$B$2)+(raw_data!E1028*weights!$B$3)+(raw_data!F1028*weights!$B$4)</f>
        <v>32.451000000000001</v>
      </c>
      <c r="I1028" t="str">
        <f t="shared" si="32"/>
        <v>Moderate</v>
      </c>
      <c r="J1028" t="str">
        <f t="shared" si="33"/>
        <v>2024 Q1</v>
      </c>
      <c r="K1028">
        <f>raw_data!H1028</f>
        <v>6.97</v>
      </c>
      <c r="L1028" s="13">
        <f>raw_data!I1028</f>
        <v>22.5</v>
      </c>
      <c r="M1028" s="13">
        <f>raw_data!J1028</f>
        <v>2.98</v>
      </c>
    </row>
    <row r="1029" spans="1:13" x14ac:dyDescent="0.2">
      <c r="A1029" t="str">
        <f>raw_data!A1029</f>
        <v>2024Q1</v>
      </c>
      <c r="B1029" t="str">
        <f>raw_data!B1029</f>
        <v>New South Wales</v>
      </c>
      <c r="C1029" t="str">
        <f>raw_data!C1029</f>
        <v>Education and Training</v>
      </c>
      <c r="D1029">
        <f>raw_data!D1029</f>
        <v>10.130000000000001</v>
      </c>
      <c r="E1029">
        <f>raw_data!E1029</f>
        <v>73.08</v>
      </c>
      <c r="F1029">
        <f>raw_data!F1029</f>
        <v>7.65</v>
      </c>
      <c r="G1029">
        <f>raw_data!G1029</f>
        <v>28.27</v>
      </c>
      <c r="H1029">
        <f>(raw_data!D1029*weights!$B$2)+(raw_data!E1029*weights!$B$3)+(raw_data!F1029*weights!$B$4)</f>
        <v>28.271000000000001</v>
      </c>
      <c r="I1029" t="str">
        <f t="shared" si="32"/>
        <v>Moderate</v>
      </c>
      <c r="J1029" t="str">
        <f t="shared" si="33"/>
        <v>2024 Q1</v>
      </c>
      <c r="K1029">
        <f>raw_data!H1029</f>
        <v>4.05</v>
      </c>
      <c r="L1029" s="13">
        <f>raw_data!I1029</f>
        <v>21.92</v>
      </c>
      <c r="M1029" s="13">
        <f>raw_data!J1029</f>
        <v>2.2999999999999998</v>
      </c>
    </row>
    <row r="1030" spans="1:13" x14ac:dyDescent="0.2">
      <c r="A1030" t="str">
        <f>raw_data!A1030</f>
        <v>2024Q1</v>
      </c>
      <c r="B1030" t="str">
        <f>raw_data!B1030</f>
        <v>New South Wales</v>
      </c>
      <c r="C1030" t="str">
        <f>raw_data!C1030</f>
        <v>Health Care and Social Assistance</v>
      </c>
      <c r="D1030">
        <f>raw_data!D1030</f>
        <v>25.12</v>
      </c>
      <c r="E1030">
        <f>raw_data!E1030</f>
        <v>96.15</v>
      </c>
      <c r="F1030">
        <f>raw_data!F1030</f>
        <v>41.52</v>
      </c>
      <c r="G1030">
        <f>raw_data!G1030</f>
        <v>51.35</v>
      </c>
      <c r="H1030">
        <f>(raw_data!D1030*weights!$B$2)+(raw_data!E1030*weights!$B$3)+(raw_data!F1030*weights!$B$4)</f>
        <v>51.349000000000004</v>
      </c>
      <c r="I1030" t="str">
        <f t="shared" si="32"/>
        <v>High</v>
      </c>
      <c r="J1030" t="str">
        <f t="shared" si="33"/>
        <v>2024 Q1</v>
      </c>
      <c r="K1030">
        <f>raw_data!H1030</f>
        <v>10.050000000000001</v>
      </c>
      <c r="L1030" s="13">
        <f>raw_data!I1030</f>
        <v>28.85</v>
      </c>
      <c r="M1030" s="13">
        <f>raw_data!J1030</f>
        <v>12.45</v>
      </c>
    </row>
    <row r="1031" spans="1:13" x14ac:dyDescent="0.2">
      <c r="A1031" t="str">
        <f>raw_data!A1031</f>
        <v>2024Q1</v>
      </c>
      <c r="B1031" t="str">
        <f>raw_data!B1031</f>
        <v>New South Wales</v>
      </c>
      <c r="C1031" t="str">
        <f>raw_data!C1031</f>
        <v>Manufacturing</v>
      </c>
      <c r="D1031">
        <f>raw_data!D1031</f>
        <v>21.16</v>
      </c>
      <c r="E1031">
        <f>raw_data!E1031</f>
        <v>71.150000000000006</v>
      </c>
      <c r="F1031">
        <f>raw_data!F1031</f>
        <v>17.18</v>
      </c>
      <c r="G1031">
        <f>raw_data!G1031</f>
        <v>34.96</v>
      </c>
      <c r="H1031">
        <f>(raw_data!D1031*weights!$B$2)+(raw_data!E1031*weights!$B$3)+(raw_data!F1031*weights!$B$4)</f>
        <v>34.963000000000008</v>
      </c>
      <c r="I1031" t="str">
        <f t="shared" si="32"/>
        <v>Moderate</v>
      </c>
      <c r="J1031" t="str">
        <f t="shared" si="33"/>
        <v>2024 Q1</v>
      </c>
      <c r="K1031">
        <f>raw_data!H1031</f>
        <v>8.4600000000000009</v>
      </c>
      <c r="L1031" s="13">
        <f>raw_data!I1031</f>
        <v>21.35</v>
      </c>
      <c r="M1031" s="13">
        <f>raw_data!J1031</f>
        <v>5.15</v>
      </c>
    </row>
    <row r="1032" spans="1:13" x14ac:dyDescent="0.2">
      <c r="A1032" t="str">
        <f>raw_data!A1032</f>
        <v>2024Q1</v>
      </c>
      <c r="B1032" t="str">
        <f>raw_data!B1032</f>
        <v>New South Wales</v>
      </c>
      <c r="C1032" t="str">
        <f>raw_data!C1032</f>
        <v>Professional, Scientific and Technical Services</v>
      </c>
      <c r="D1032">
        <f>raw_data!D1032</f>
        <v>19.23</v>
      </c>
      <c r="E1032">
        <f>raw_data!E1032</f>
        <v>63.46</v>
      </c>
      <c r="F1032">
        <f>raw_data!F1032</f>
        <v>14.39</v>
      </c>
      <c r="G1032">
        <f>raw_data!G1032</f>
        <v>31.05</v>
      </c>
      <c r="H1032">
        <f>(raw_data!D1032*weights!$B$2)+(raw_data!E1032*weights!$B$3)+(raw_data!F1032*weights!$B$4)</f>
        <v>31.047000000000001</v>
      </c>
      <c r="I1032" t="str">
        <f t="shared" si="32"/>
        <v>Moderate</v>
      </c>
      <c r="J1032" t="str">
        <f t="shared" si="33"/>
        <v>2024 Q1</v>
      </c>
      <c r="K1032">
        <f>raw_data!H1032</f>
        <v>7.69</v>
      </c>
      <c r="L1032" s="13">
        <f>raw_data!I1032</f>
        <v>19.04</v>
      </c>
      <c r="M1032" s="13">
        <f>raw_data!J1032</f>
        <v>4.32</v>
      </c>
    </row>
    <row r="1033" spans="1:13" x14ac:dyDescent="0.2">
      <c r="A1033" t="str">
        <f>raw_data!A1033</f>
        <v>2024Q1</v>
      </c>
      <c r="B1033" t="str">
        <f>raw_data!B1033</f>
        <v>Queensland</v>
      </c>
      <c r="C1033" t="str">
        <f>raw_data!C1033</f>
        <v>Accommodation and Food Services</v>
      </c>
      <c r="D1033">
        <f>raw_data!D1033</f>
        <v>56.36</v>
      </c>
      <c r="E1033">
        <f>raw_data!E1033</f>
        <v>71.150000000000006</v>
      </c>
      <c r="F1033">
        <f>raw_data!F1033</f>
        <v>13.43</v>
      </c>
      <c r="G1033">
        <f>raw_data!G1033</f>
        <v>47.92</v>
      </c>
      <c r="H1033">
        <f>(raw_data!D1033*weights!$B$2)+(raw_data!E1033*weights!$B$3)+(raw_data!F1033*weights!$B$4)</f>
        <v>47.918000000000006</v>
      </c>
      <c r="I1033" t="str">
        <f t="shared" si="32"/>
        <v>High</v>
      </c>
      <c r="J1033" t="str">
        <f t="shared" si="33"/>
        <v>2024 Q1</v>
      </c>
      <c r="K1033">
        <f>raw_data!H1033</f>
        <v>22.54</v>
      </c>
      <c r="L1033" s="13">
        <f>raw_data!I1033</f>
        <v>21.35</v>
      </c>
      <c r="M1033" s="13">
        <f>raw_data!J1033</f>
        <v>4.03</v>
      </c>
    </row>
    <row r="1034" spans="1:13" x14ac:dyDescent="0.2">
      <c r="A1034" t="str">
        <f>raw_data!A1034</f>
        <v>2024Q1</v>
      </c>
      <c r="B1034" t="str">
        <f>raw_data!B1034</f>
        <v>Queensland</v>
      </c>
      <c r="C1034" t="str">
        <f>raw_data!C1034</f>
        <v>Construction</v>
      </c>
      <c r="D1034">
        <f>raw_data!D1034</f>
        <v>27.48</v>
      </c>
      <c r="E1034">
        <f>raw_data!E1034</f>
        <v>75</v>
      </c>
      <c r="F1034">
        <f>raw_data!F1034</f>
        <v>15.63</v>
      </c>
      <c r="G1034">
        <f>raw_data!G1034</f>
        <v>38.18</v>
      </c>
      <c r="H1034">
        <f>(raw_data!D1034*weights!$B$2)+(raw_data!E1034*weights!$B$3)+(raw_data!F1034*weights!$B$4)</f>
        <v>38.181000000000004</v>
      </c>
      <c r="I1034" t="str">
        <f t="shared" si="32"/>
        <v>Moderate</v>
      </c>
      <c r="J1034" t="str">
        <f t="shared" si="33"/>
        <v>2024 Q1</v>
      </c>
      <c r="K1034">
        <f>raw_data!H1034</f>
        <v>10.99</v>
      </c>
      <c r="L1034" s="13">
        <f>raw_data!I1034</f>
        <v>22.5</v>
      </c>
      <c r="M1034" s="13">
        <f>raw_data!J1034</f>
        <v>4.6900000000000004</v>
      </c>
    </row>
    <row r="1035" spans="1:13" x14ac:dyDescent="0.2">
      <c r="A1035" t="str">
        <f>raw_data!A1035</f>
        <v>2024Q1</v>
      </c>
      <c r="B1035" t="str">
        <f>raw_data!B1035</f>
        <v>Queensland</v>
      </c>
      <c r="C1035" t="str">
        <f>raw_data!C1035</f>
        <v>Education and Training</v>
      </c>
      <c r="D1035">
        <f>raw_data!D1035</f>
        <v>16.43</v>
      </c>
      <c r="E1035">
        <f>raw_data!E1035</f>
        <v>73.08</v>
      </c>
      <c r="F1035">
        <f>raw_data!F1035</f>
        <v>15.93</v>
      </c>
      <c r="G1035">
        <f>raw_data!G1035</f>
        <v>33.270000000000003</v>
      </c>
      <c r="H1035">
        <f>(raw_data!D1035*weights!$B$2)+(raw_data!E1035*weights!$B$3)+(raw_data!F1035*weights!$B$4)</f>
        <v>33.274999999999999</v>
      </c>
      <c r="I1035" t="str">
        <f t="shared" si="32"/>
        <v>Moderate</v>
      </c>
      <c r="J1035" t="str">
        <f t="shared" si="33"/>
        <v>2024 Q1</v>
      </c>
      <c r="K1035">
        <f>raw_data!H1035</f>
        <v>6.57</v>
      </c>
      <c r="L1035" s="13">
        <f>raw_data!I1035</f>
        <v>21.92</v>
      </c>
      <c r="M1035" s="13">
        <f>raw_data!J1035</f>
        <v>4.78</v>
      </c>
    </row>
    <row r="1036" spans="1:13" x14ac:dyDescent="0.2">
      <c r="A1036" t="str">
        <f>raw_data!A1036</f>
        <v>2024Q1</v>
      </c>
      <c r="B1036" t="str">
        <f>raw_data!B1036</f>
        <v>Queensland</v>
      </c>
      <c r="C1036" t="str">
        <f>raw_data!C1036</f>
        <v>Health Care and Social Assistance</v>
      </c>
      <c r="D1036">
        <f>raw_data!D1036</f>
        <v>39.409999999999997</v>
      </c>
      <c r="E1036">
        <f>raw_data!E1036</f>
        <v>96.15</v>
      </c>
      <c r="F1036">
        <f>raw_data!F1036</f>
        <v>33.590000000000003</v>
      </c>
      <c r="G1036">
        <f>raw_data!G1036</f>
        <v>54.69</v>
      </c>
      <c r="H1036">
        <f>(raw_data!D1036*weights!$B$2)+(raw_data!E1036*weights!$B$3)+(raw_data!F1036*weights!$B$4)</f>
        <v>54.685999999999993</v>
      </c>
      <c r="I1036" t="str">
        <f t="shared" si="32"/>
        <v>High</v>
      </c>
      <c r="J1036" t="str">
        <f t="shared" si="33"/>
        <v>2024 Q1</v>
      </c>
      <c r="K1036">
        <f>raw_data!H1036</f>
        <v>15.76</v>
      </c>
      <c r="L1036" s="13">
        <f>raw_data!I1036</f>
        <v>28.85</v>
      </c>
      <c r="M1036" s="13">
        <f>raw_data!J1036</f>
        <v>10.08</v>
      </c>
    </row>
    <row r="1037" spans="1:13" x14ac:dyDescent="0.2">
      <c r="A1037" t="str">
        <f>raw_data!A1037</f>
        <v>2024Q1</v>
      </c>
      <c r="B1037" t="str">
        <f>raw_data!B1037</f>
        <v>Queensland</v>
      </c>
      <c r="C1037" t="str">
        <f>raw_data!C1037</f>
        <v>Manufacturing</v>
      </c>
      <c r="D1037">
        <f>raw_data!D1037</f>
        <v>34.21</v>
      </c>
      <c r="E1037">
        <f>raw_data!E1037</f>
        <v>71.150000000000006</v>
      </c>
      <c r="F1037">
        <f>raw_data!F1037</f>
        <v>16.23</v>
      </c>
      <c r="G1037">
        <f>raw_data!G1037</f>
        <v>39.9</v>
      </c>
      <c r="H1037">
        <f>(raw_data!D1037*weights!$B$2)+(raw_data!E1037*weights!$B$3)+(raw_data!F1037*weights!$B$4)</f>
        <v>39.898000000000003</v>
      </c>
      <c r="I1037" t="str">
        <f t="shared" si="32"/>
        <v>Moderate</v>
      </c>
      <c r="J1037" t="str">
        <f t="shared" si="33"/>
        <v>2024 Q1</v>
      </c>
      <c r="K1037">
        <f>raw_data!H1037</f>
        <v>13.68</v>
      </c>
      <c r="L1037" s="13">
        <f>raw_data!I1037</f>
        <v>21.35</v>
      </c>
      <c r="M1037" s="13">
        <f>raw_data!J1037</f>
        <v>4.87</v>
      </c>
    </row>
    <row r="1038" spans="1:13" x14ac:dyDescent="0.2">
      <c r="A1038" t="str">
        <f>raw_data!A1038</f>
        <v>2024Q1</v>
      </c>
      <c r="B1038" t="str">
        <f>raw_data!B1038</f>
        <v>Queensland</v>
      </c>
      <c r="C1038" t="str">
        <f>raw_data!C1038</f>
        <v>Professional, Scientific and Technical Services</v>
      </c>
      <c r="D1038">
        <f>raw_data!D1038</f>
        <v>36.82</v>
      </c>
      <c r="E1038">
        <f>raw_data!E1038</f>
        <v>63.46</v>
      </c>
      <c r="F1038">
        <f>raw_data!F1038</f>
        <v>25.05</v>
      </c>
      <c r="G1038">
        <f>raw_data!G1038</f>
        <v>41.28</v>
      </c>
      <c r="H1038">
        <f>(raw_data!D1038*weights!$B$2)+(raw_data!E1038*weights!$B$3)+(raw_data!F1038*weights!$B$4)</f>
        <v>41.281000000000006</v>
      </c>
      <c r="I1038" t="str">
        <f t="shared" si="32"/>
        <v>Moderate</v>
      </c>
      <c r="J1038" t="str">
        <f t="shared" si="33"/>
        <v>2024 Q1</v>
      </c>
      <c r="K1038">
        <f>raw_data!H1038</f>
        <v>14.73</v>
      </c>
      <c r="L1038" s="13">
        <f>raw_data!I1038</f>
        <v>19.04</v>
      </c>
      <c r="M1038" s="13">
        <f>raw_data!J1038</f>
        <v>7.52</v>
      </c>
    </row>
    <row r="1039" spans="1:13" x14ac:dyDescent="0.2">
      <c r="A1039" t="str">
        <f>raw_data!A1039</f>
        <v>2024Q1</v>
      </c>
      <c r="B1039" t="str">
        <f>raw_data!B1039</f>
        <v>Victoria</v>
      </c>
      <c r="C1039" t="str">
        <f>raw_data!C1039</f>
        <v>Accommodation and Food Services</v>
      </c>
      <c r="D1039">
        <f>raw_data!D1039</f>
        <v>50.58</v>
      </c>
      <c r="E1039">
        <f>raw_data!E1039</f>
        <v>71.150000000000006</v>
      </c>
      <c r="F1039">
        <f>raw_data!F1039</f>
        <v>9.09</v>
      </c>
      <c r="G1039">
        <f>raw_data!G1039</f>
        <v>44.31</v>
      </c>
      <c r="H1039">
        <f>(raw_data!D1039*weights!$B$2)+(raw_data!E1039*weights!$B$3)+(raw_data!F1039*weights!$B$4)</f>
        <v>44.303999999999995</v>
      </c>
      <c r="I1039" t="str">
        <f t="shared" si="32"/>
        <v>Moderate</v>
      </c>
      <c r="J1039" t="str">
        <f t="shared" si="33"/>
        <v>2024 Q1</v>
      </c>
      <c r="K1039">
        <f>raw_data!H1039</f>
        <v>20.23</v>
      </c>
      <c r="L1039" s="13">
        <f>raw_data!I1039</f>
        <v>21.35</v>
      </c>
      <c r="M1039" s="13">
        <f>raw_data!J1039</f>
        <v>2.73</v>
      </c>
    </row>
    <row r="1040" spans="1:13" x14ac:dyDescent="0.2">
      <c r="A1040" t="str">
        <f>raw_data!A1040</f>
        <v>2024Q1</v>
      </c>
      <c r="B1040" t="str">
        <f>raw_data!B1040</f>
        <v>Victoria</v>
      </c>
      <c r="C1040" t="str">
        <f>raw_data!C1040</f>
        <v>Construction</v>
      </c>
      <c r="D1040">
        <f>raw_data!D1040</f>
        <v>20.45</v>
      </c>
      <c r="E1040">
        <f>raw_data!E1040</f>
        <v>75</v>
      </c>
      <c r="F1040">
        <f>raw_data!F1040</f>
        <v>14.46</v>
      </c>
      <c r="G1040">
        <f>raw_data!G1040</f>
        <v>35.020000000000003</v>
      </c>
      <c r="H1040">
        <f>(raw_data!D1040*weights!$B$2)+(raw_data!E1040*weights!$B$3)+(raw_data!F1040*weights!$B$4)</f>
        <v>35.018000000000001</v>
      </c>
      <c r="I1040" t="str">
        <f t="shared" si="32"/>
        <v>Moderate</v>
      </c>
      <c r="J1040" t="str">
        <f t="shared" si="33"/>
        <v>2024 Q1</v>
      </c>
      <c r="K1040">
        <f>raw_data!H1040</f>
        <v>8.18</v>
      </c>
      <c r="L1040" s="13">
        <f>raw_data!I1040</f>
        <v>22.5</v>
      </c>
      <c r="M1040" s="13">
        <f>raw_data!J1040</f>
        <v>4.34</v>
      </c>
    </row>
    <row r="1041" spans="1:13" x14ac:dyDescent="0.2">
      <c r="A1041" t="str">
        <f>raw_data!A1041</f>
        <v>2024Q1</v>
      </c>
      <c r="B1041" t="str">
        <f>raw_data!B1041</f>
        <v>Victoria</v>
      </c>
      <c r="C1041" t="str">
        <f>raw_data!C1041</f>
        <v>Education and Training</v>
      </c>
      <c r="D1041">
        <f>raw_data!D1041</f>
        <v>11.95</v>
      </c>
      <c r="E1041">
        <f>raw_data!E1041</f>
        <v>73.08</v>
      </c>
      <c r="F1041">
        <f>raw_data!F1041</f>
        <v>8.7899999999999991</v>
      </c>
      <c r="G1041">
        <f>raw_data!G1041</f>
        <v>29.34</v>
      </c>
      <c r="H1041">
        <f>(raw_data!D1041*weights!$B$2)+(raw_data!E1041*weights!$B$3)+(raw_data!F1041*weights!$B$4)</f>
        <v>29.341000000000001</v>
      </c>
      <c r="I1041" t="str">
        <f t="shared" si="32"/>
        <v>Moderate</v>
      </c>
      <c r="J1041" t="str">
        <f t="shared" si="33"/>
        <v>2024 Q1</v>
      </c>
      <c r="K1041">
        <f>raw_data!H1041</f>
        <v>4.78</v>
      </c>
      <c r="L1041" s="13">
        <f>raw_data!I1041</f>
        <v>21.92</v>
      </c>
      <c r="M1041" s="13">
        <f>raw_data!J1041</f>
        <v>2.64</v>
      </c>
    </row>
    <row r="1042" spans="1:13" x14ac:dyDescent="0.2">
      <c r="A1042" t="str">
        <f>raw_data!A1042</f>
        <v>2024Q1</v>
      </c>
      <c r="B1042" t="str">
        <f>raw_data!B1042</f>
        <v>Victoria</v>
      </c>
      <c r="C1042" t="str">
        <f>raw_data!C1042</f>
        <v>Health Care and Social Assistance</v>
      </c>
      <c r="D1042">
        <f>raw_data!D1042</f>
        <v>29.7</v>
      </c>
      <c r="E1042">
        <f>raw_data!E1042</f>
        <v>96.15</v>
      </c>
      <c r="F1042">
        <f>raw_data!F1042</f>
        <v>30.83</v>
      </c>
      <c r="G1042">
        <f>raw_data!G1042</f>
        <v>49.98</v>
      </c>
      <c r="H1042">
        <f>(raw_data!D1042*weights!$B$2)+(raw_data!E1042*weights!$B$3)+(raw_data!F1042*weights!$B$4)</f>
        <v>49.974000000000004</v>
      </c>
      <c r="I1042" t="str">
        <f t="shared" si="32"/>
        <v>High</v>
      </c>
      <c r="J1042" t="str">
        <f t="shared" si="33"/>
        <v>2024 Q1</v>
      </c>
      <c r="K1042">
        <f>raw_data!H1042</f>
        <v>11.88</v>
      </c>
      <c r="L1042" s="13">
        <f>raw_data!I1042</f>
        <v>28.85</v>
      </c>
      <c r="M1042" s="13">
        <f>raw_data!J1042</f>
        <v>9.25</v>
      </c>
    </row>
    <row r="1043" spans="1:13" x14ac:dyDescent="0.2">
      <c r="A1043" t="str">
        <f>raw_data!A1043</f>
        <v>2024Q1</v>
      </c>
      <c r="B1043" t="str">
        <f>raw_data!B1043</f>
        <v>Victoria</v>
      </c>
      <c r="C1043" t="str">
        <f>raw_data!C1043</f>
        <v>Manufacturing</v>
      </c>
      <c r="D1043">
        <f>raw_data!D1043</f>
        <v>23.1</v>
      </c>
      <c r="E1043">
        <f>raw_data!E1043</f>
        <v>71.150000000000006</v>
      </c>
      <c r="F1043">
        <f>raw_data!F1043</f>
        <v>9.27</v>
      </c>
      <c r="G1043">
        <f>raw_data!G1043</f>
        <v>33.369999999999997</v>
      </c>
      <c r="H1043">
        <f>(raw_data!D1043*weights!$B$2)+(raw_data!E1043*weights!$B$3)+(raw_data!F1043*weights!$B$4)</f>
        <v>33.366</v>
      </c>
      <c r="I1043" t="str">
        <f t="shared" si="32"/>
        <v>Moderate</v>
      </c>
      <c r="J1043" t="str">
        <f t="shared" si="33"/>
        <v>2024 Q1</v>
      </c>
      <c r="K1043">
        <f>raw_data!H1043</f>
        <v>9.24</v>
      </c>
      <c r="L1043" s="13">
        <f>raw_data!I1043</f>
        <v>21.35</v>
      </c>
      <c r="M1043" s="13">
        <f>raw_data!J1043</f>
        <v>2.78</v>
      </c>
    </row>
    <row r="1044" spans="1:13" x14ac:dyDescent="0.2">
      <c r="A1044" t="str">
        <f>raw_data!A1044</f>
        <v>2024Q1</v>
      </c>
      <c r="B1044" t="str">
        <f>raw_data!B1044</f>
        <v>Victoria</v>
      </c>
      <c r="C1044" t="str">
        <f>raw_data!C1044</f>
        <v>Professional, Scientific and Technical Services</v>
      </c>
      <c r="D1044">
        <f>raw_data!D1044</f>
        <v>25.67</v>
      </c>
      <c r="E1044">
        <f>raw_data!E1044</f>
        <v>63.46</v>
      </c>
      <c r="F1044">
        <f>raw_data!F1044</f>
        <v>15.43</v>
      </c>
      <c r="G1044">
        <f>raw_data!G1044</f>
        <v>33.94</v>
      </c>
      <c r="H1044">
        <f>(raw_data!D1044*weights!$B$2)+(raw_data!E1044*weights!$B$3)+(raw_data!F1044*weights!$B$4)</f>
        <v>33.935000000000002</v>
      </c>
      <c r="I1044" t="str">
        <f t="shared" si="32"/>
        <v>Moderate</v>
      </c>
      <c r="J1044" t="str">
        <f t="shared" si="33"/>
        <v>2024 Q1</v>
      </c>
      <c r="K1044">
        <f>raw_data!H1044</f>
        <v>10.27</v>
      </c>
      <c r="L1044" s="13">
        <f>raw_data!I1044</f>
        <v>19.04</v>
      </c>
      <c r="M1044" s="13">
        <f>raw_data!J1044</f>
        <v>4.63</v>
      </c>
    </row>
    <row r="1045" spans="1:13" x14ac:dyDescent="0.2">
      <c r="A1045" t="str">
        <f>raw_data!A1045</f>
        <v>2024Q2</v>
      </c>
      <c r="B1045" t="str">
        <f>raw_data!B1045</f>
        <v>New South Wales</v>
      </c>
      <c r="C1045" t="str">
        <f>raw_data!C1045</f>
        <v>Accommodation and Food Services</v>
      </c>
      <c r="D1045">
        <f>raw_data!D1045</f>
        <v>42.7</v>
      </c>
      <c r="E1045">
        <f>raw_data!E1045</f>
        <v>75</v>
      </c>
      <c r="F1045">
        <f>raw_data!F1045</f>
        <v>14.92</v>
      </c>
      <c r="G1045">
        <f>raw_data!G1045</f>
        <v>44.05</v>
      </c>
      <c r="H1045">
        <f>(raw_data!D1045*weights!$B$2)+(raw_data!E1045*weights!$B$3)+(raw_data!F1045*weights!$B$4)</f>
        <v>44.055999999999997</v>
      </c>
      <c r="I1045" t="str">
        <f t="shared" si="32"/>
        <v>Moderate</v>
      </c>
      <c r="J1045" t="str">
        <f t="shared" si="33"/>
        <v>2024 Q2</v>
      </c>
      <c r="K1045">
        <f>raw_data!H1045</f>
        <v>17.079999999999998</v>
      </c>
      <c r="L1045" s="13">
        <f>raw_data!I1045</f>
        <v>22.5</v>
      </c>
      <c r="M1045" s="13">
        <f>raw_data!J1045</f>
        <v>4.4800000000000004</v>
      </c>
    </row>
    <row r="1046" spans="1:13" x14ac:dyDescent="0.2">
      <c r="A1046" t="str">
        <f>raw_data!A1046</f>
        <v>2024Q2</v>
      </c>
      <c r="B1046" t="str">
        <f>raw_data!B1046</f>
        <v>New South Wales</v>
      </c>
      <c r="C1046" t="str">
        <f>raw_data!C1046</f>
        <v>Construction</v>
      </c>
      <c r="D1046">
        <f>raw_data!D1046</f>
        <v>14.91</v>
      </c>
      <c r="E1046">
        <f>raw_data!E1046</f>
        <v>67.31</v>
      </c>
      <c r="F1046">
        <f>raw_data!F1046</f>
        <v>10.93</v>
      </c>
      <c r="G1046">
        <f>raw_data!G1046</f>
        <v>29.44</v>
      </c>
      <c r="H1046">
        <f>(raw_data!D1046*weights!$B$2)+(raw_data!E1046*weights!$B$3)+(raw_data!F1046*weights!$B$4)</f>
        <v>29.436000000000003</v>
      </c>
      <c r="I1046" t="str">
        <f t="shared" si="32"/>
        <v>Moderate</v>
      </c>
      <c r="J1046" t="str">
        <f t="shared" si="33"/>
        <v>2024 Q2</v>
      </c>
      <c r="K1046">
        <f>raw_data!H1046</f>
        <v>5.96</v>
      </c>
      <c r="L1046" s="13">
        <f>raw_data!I1046</f>
        <v>20.190000000000001</v>
      </c>
      <c r="M1046" s="13">
        <f>raw_data!J1046</f>
        <v>3.28</v>
      </c>
    </row>
    <row r="1047" spans="1:13" x14ac:dyDescent="0.2">
      <c r="A1047" t="str">
        <f>raw_data!A1047</f>
        <v>2024Q2</v>
      </c>
      <c r="B1047" t="str">
        <f>raw_data!B1047</f>
        <v>New South Wales</v>
      </c>
      <c r="C1047" t="str">
        <f>raw_data!C1047</f>
        <v>Education and Training</v>
      </c>
      <c r="D1047">
        <f>raw_data!D1047</f>
        <v>6.99</v>
      </c>
      <c r="E1047">
        <f>raw_data!E1047</f>
        <v>76.92</v>
      </c>
      <c r="F1047">
        <f>raw_data!F1047</f>
        <v>15.06</v>
      </c>
      <c r="G1047">
        <f>raw_data!G1047</f>
        <v>30.39</v>
      </c>
      <c r="H1047">
        <f>(raw_data!D1047*weights!$B$2)+(raw_data!E1047*weights!$B$3)+(raw_data!F1047*weights!$B$4)</f>
        <v>30.39</v>
      </c>
      <c r="I1047" t="str">
        <f t="shared" si="32"/>
        <v>Moderate</v>
      </c>
      <c r="J1047" t="str">
        <f t="shared" si="33"/>
        <v>2024 Q2</v>
      </c>
      <c r="K1047">
        <f>raw_data!H1047</f>
        <v>2.8</v>
      </c>
      <c r="L1047" s="13">
        <f>raw_data!I1047</f>
        <v>23.08</v>
      </c>
      <c r="M1047" s="13">
        <f>raw_data!J1047</f>
        <v>4.5199999999999996</v>
      </c>
    </row>
    <row r="1048" spans="1:13" x14ac:dyDescent="0.2">
      <c r="A1048" t="str">
        <f>raw_data!A1048</f>
        <v>2024Q2</v>
      </c>
      <c r="B1048" t="str">
        <f>raw_data!B1048</f>
        <v>New South Wales</v>
      </c>
      <c r="C1048" t="str">
        <f>raw_data!C1048</f>
        <v>Health Care and Social Assistance</v>
      </c>
      <c r="D1048">
        <f>raw_data!D1048</f>
        <v>23.07</v>
      </c>
      <c r="E1048">
        <f>raw_data!E1048</f>
        <v>90.38</v>
      </c>
      <c r="F1048">
        <f>raw_data!F1048</f>
        <v>31.56</v>
      </c>
      <c r="G1048">
        <f>raw_data!G1048</f>
        <v>45.81</v>
      </c>
      <c r="H1048">
        <f>(raw_data!D1048*weights!$B$2)+(raw_data!E1048*weights!$B$3)+(raw_data!F1048*weights!$B$4)</f>
        <v>45.81</v>
      </c>
      <c r="I1048" t="str">
        <f t="shared" si="32"/>
        <v>High</v>
      </c>
      <c r="J1048" t="str">
        <f t="shared" si="33"/>
        <v>2024 Q2</v>
      </c>
      <c r="K1048">
        <f>raw_data!H1048</f>
        <v>9.23</v>
      </c>
      <c r="L1048" s="13">
        <f>raw_data!I1048</f>
        <v>27.12</v>
      </c>
      <c r="M1048" s="13">
        <f>raw_data!J1048</f>
        <v>9.4700000000000006</v>
      </c>
    </row>
    <row r="1049" spans="1:13" x14ac:dyDescent="0.2">
      <c r="A1049" t="str">
        <f>raw_data!A1049</f>
        <v>2024Q2</v>
      </c>
      <c r="B1049" t="str">
        <f>raw_data!B1049</f>
        <v>New South Wales</v>
      </c>
      <c r="C1049" t="str">
        <f>raw_data!C1049</f>
        <v>Manufacturing</v>
      </c>
      <c r="D1049">
        <f>raw_data!D1049</f>
        <v>16.75</v>
      </c>
      <c r="E1049">
        <f>raw_data!E1049</f>
        <v>69.23</v>
      </c>
      <c r="F1049">
        <f>raw_data!F1049</f>
        <v>11.81</v>
      </c>
      <c r="G1049">
        <f>raw_data!G1049</f>
        <v>31.01</v>
      </c>
      <c r="H1049">
        <f>(raw_data!D1049*weights!$B$2)+(raw_data!E1049*weights!$B$3)+(raw_data!F1049*weights!$B$4)</f>
        <v>31.012</v>
      </c>
      <c r="I1049" t="str">
        <f t="shared" si="32"/>
        <v>Moderate</v>
      </c>
      <c r="J1049" t="str">
        <f t="shared" si="33"/>
        <v>2024 Q2</v>
      </c>
      <c r="K1049">
        <f>raw_data!H1049</f>
        <v>6.7</v>
      </c>
      <c r="L1049" s="13">
        <f>raw_data!I1049</f>
        <v>20.77</v>
      </c>
      <c r="M1049" s="13">
        <f>raw_data!J1049</f>
        <v>3.54</v>
      </c>
    </row>
    <row r="1050" spans="1:13" x14ac:dyDescent="0.2">
      <c r="A1050" t="str">
        <f>raw_data!A1050</f>
        <v>2024Q2</v>
      </c>
      <c r="B1050" t="str">
        <f>raw_data!B1050</f>
        <v>New South Wales</v>
      </c>
      <c r="C1050" t="str">
        <f>raw_data!C1050</f>
        <v>Professional, Scientific and Technical Services</v>
      </c>
      <c r="D1050">
        <f>raw_data!D1050</f>
        <v>21.01</v>
      </c>
      <c r="E1050">
        <f>raw_data!E1050</f>
        <v>65.38</v>
      </c>
      <c r="F1050">
        <f>raw_data!F1050</f>
        <v>16.559999999999999</v>
      </c>
      <c r="G1050">
        <f>raw_data!G1050</f>
        <v>32.99</v>
      </c>
      <c r="H1050">
        <f>(raw_data!D1050*weights!$B$2)+(raw_data!E1050*weights!$B$3)+(raw_data!F1050*weights!$B$4)</f>
        <v>32.985999999999997</v>
      </c>
      <c r="I1050" t="str">
        <f t="shared" si="32"/>
        <v>Moderate</v>
      </c>
      <c r="J1050" t="str">
        <f t="shared" si="33"/>
        <v>2024 Q2</v>
      </c>
      <c r="K1050">
        <f>raw_data!H1050</f>
        <v>8.41</v>
      </c>
      <c r="L1050" s="13">
        <f>raw_data!I1050</f>
        <v>19.62</v>
      </c>
      <c r="M1050" s="13">
        <f>raw_data!J1050</f>
        <v>4.97</v>
      </c>
    </row>
    <row r="1051" spans="1:13" x14ac:dyDescent="0.2">
      <c r="A1051" t="str">
        <f>raw_data!A1051</f>
        <v>2024Q2</v>
      </c>
      <c r="B1051" t="str">
        <f>raw_data!B1051</f>
        <v>Queensland</v>
      </c>
      <c r="C1051" t="str">
        <f>raw_data!C1051</f>
        <v>Accommodation and Food Services</v>
      </c>
      <c r="D1051">
        <f>raw_data!D1051</f>
        <v>58.64</v>
      </c>
      <c r="E1051">
        <f>raw_data!E1051</f>
        <v>75</v>
      </c>
      <c r="F1051">
        <f>raw_data!F1051</f>
        <v>15.41</v>
      </c>
      <c r="G1051">
        <f>raw_data!G1051</f>
        <v>50.58</v>
      </c>
      <c r="H1051">
        <f>(raw_data!D1051*weights!$B$2)+(raw_data!E1051*weights!$B$3)+(raw_data!F1051*weights!$B$4)</f>
        <v>50.579000000000001</v>
      </c>
      <c r="I1051" t="str">
        <f t="shared" si="32"/>
        <v>High</v>
      </c>
      <c r="J1051" t="str">
        <f t="shared" si="33"/>
        <v>2024 Q2</v>
      </c>
      <c r="K1051">
        <f>raw_data!H1051</f>
        <v>23.45</v>
      </c>
      <c r="L1051" s="13">
        <f>raw_data!I1051</f>
        <v>22.5</v>
      </c>
      <c r="M1051" s="13">
        <f>raw_data!J1051</f>
        <v>4.62</v>
      </c>
    </row>
    <row r="1052" spans="1:13" x14ac:dyDescent="0.2">
      <c r="A1052" t="str">
        <f>raw_data!A1052</f>
        <v>2024Q2</v>
      </c>
      <c r="B1052" t="str">
        <f>raw_data!B1052</f>
        <v>Queensland</v>
      </c>
      <c r="C1052" t="str">
        <f>raw_data!C1052</f>
        <v>Construction</v>
      </c>
      <c r="D1052">
        <f>raw_data!D1052</f>
        <v>23.92</v>
      </c>
      <c r="E1052">
        <f>raw_data!E1052</f>
        <v>67.31</v>
      </c>
      <c r="F1052">
        <f>raw_data!F1052</f>
        <v>21.47</v>
      </c>
      <c r="G1052">
        <f>raw_data!G1052</f>
        <v>36.200000000000003</v>
      </c>
      <c r="H1052">
        <f>(raw_data!D1052*weights!$B$2)+(raw_data!E1052*weights!$B$3)+(raw_data!F1052*weights!$B$4)</f>
        <v>36.202000000000005</v>
      </c>
      <c r="I1052" t="str">
        <f t="shared" si="32"/>
        <v>Moderate</v>
      </c>
      <c r="J1052" t="str">
        <f t="shared" si="33"/>
        <v>2024 Q2</v>
      </c>
      <c r="K1052">
        <f>raw_data!H1052</f>
        <v>9.57</v>
      </c>
      <c r="L1052" s="13">
        <f>raw_data!I1052</f>
        <v>20.190000000000001</v>
      </c>
      <c r="M1052" s="13">
        <f>raw_data!J1052</f>
        <v>6.44</v>
      </c>
    </row>
    <row r="1053" spans="1:13" x14ac:dyDescent="0.2">
      <c r="A1053" t="str">
        <f>raw_data!A1053</f>
        <v>2024Q2</v>
      </c>
      <c r="B1053" t="str">
        <f>raw_data!B1053</f>
        <v>Queensland</v>
      </c>
      <c r="C1053" t="str">
        <f>raw_data!C1053</f>
        <v>Education and Training</v>
      </c>
      <c r="D1053">
        <f>raw_data!D1053</f>
        <v>12.09</v>
      </c>
      <c r="E1053">
        <f>raw_data!E1053</f>
        <v>76.92</v>
      </c>
      <c r="F1053">
        <f>raw_data!F1053</f>
        <v>19.440000000000001</v>
      </c>
      <c r="G1053">
        <f>raw_data!G1053</f>
        <v>33.75</v>
      </c>
      <c r="H1053">
        <f>(raw_data!D1053*weights!$B$2)+(raw_data!E1053*weights!$B$3)+(raw_data!F1053*weights!$B$4)</f>
        <v>33.744</v>
      </c>
      <c r="I1053" t="str">
        <f t="shared" si="32"/>
        <v>Moderate</v>
      </c>
      <c r="J1053" t="str">
        <f t="shared" si="33"/>
        <v>2024 Q2</v>
      </c>
      <c r="K1053">
        <f>raw_data!H1053</f>
        <v>4.84</v>
      </c>
      <c r="L1053" s="13">
        <f>raw_data!I1053</f>
        <v>23.08</v>
      </c>
      <c r="M1053" s="13">
        <f>raw_data!J1053</f>
        <v>5.83</v>
      </c>
    </row>
    <row r="1054" spans="1:13" x14ac:dyDescent="0.2">
      <c r="A1054" t="str">
        <f>raw_data!A1054</f>
        <v>2024Q2</v>
      </c>
      <c r="B1054" t="str">
        <f>raw_data!B1054</f>
        <v>Queensland</v>
      </c>
      <c r="C1054" t="str">
        <f>raw_data!C1054</f>
        <v>Health Care and Social Assistance</v>
      </c>
      <c r="D1054">
        <f>raw_data!D1054</f>
        <v>35.450000000000003</v>
      </c>
      <c r="E1054">
        <f>raw_data!E1054</f>
        <v>90.38</v>
      </c>
      <c r="F1054">
        <f>raw_data!F1054</f>
        <v>39</v>
      </c>
      <c r="G1054">
        <f>raw_data!G1054</f>
        <v>52.99</v>
      </c>
      <c r="H1054">
        <f>(raw_data!D1054*weights!$B$2)+(raw_data!E1054*weights!$B$3)+(raw_data!F1054*weights!$B$4)</f>
        <v>52.994</v>
      </c>
      <c r="I1054" t="str">
        <f t="shared" si="32"/>
        <v>High</v>
      </c>
      <c r="J1054" t="str">
        <f t="shared" si="33"/>
        <v>2024 Q2</v>
      </c>
      <c r="K1054">
        <f>raw_data!H1054</f>
        <v>14.18</v>
      </c>
      <c r="L1054" s="13">
        <f>raw_data!I1054</f>
        <v>27.12</v>
      </c>
      <c r="M1054" s="13">
        <f>raw_data!J1054</f>
        <v>11.7</v>
      </c>
    </row>
    <row r="1055" spans="1:13" x14ac:dyDescent="0.2">
      <c r="A1055" t="str">
        <f>raw_data!A1055</f>
        <v>2024Q2</v>
      </c>
      <c r="B1055" t="str">
        <f>raw_data!B1055</f>
        <v>Queensland</v>
      </c>
      <c r="C1055" t="str">
        <f>raw_data!C1055</f>
        <v>Manufacturing</v>
      </c>
      <c r="D1055">
        <f>raw_data!D1055</f>
        <v>22.55</v>
      </c>
      <c r="E1055">
        <f>raw_data!E1055</f>
        <v>69.23</v>
      </c>
      <c r="F1055">
        <f>raw_data!F1055</f>
        <v>12.6</v>
      </c>
      <c r="G1055">
        <f>raw_data!G1055</f>
        <v>33.57</v>
      </c>
      <c r="H1055">
        <f>(raw_data!D1055*weights!$B$2)+(raw_data!E1055*weights!$B$3)+(raw_data!F1055*weights!$B$4)</f>
        <v>33.569000000000003</v>
      </c>
      <c r="I1055" t="str">
        <f t="shared" si="32"/>
        <v>Moderate</v>
      </c>
      <c r="J1055" t="str">
        <f t="shared" si="33"/>
        <v>2024 Q2</v>
      </c>
      <c r="K1055">
        <f>raw_data!H1055</f>
        <v>9.02</v>
      </c>
      <c r="L1055" s="13">
        <f>raw_data!I1055</f>
        <v>20.77</v>
      </c>
      <c r="M1055" s="13">
        <f>raw_data!J1055</f>
        <v>3.78</v>
      </c>
    </row>
    <row r="1056" spans="1:13" x14ac:dyDescent="0.2">
      <c r="A1056" t="str">
        <f>raw_data!A1056</f>
        <v>2024Q2</v>
      </c>
      <c r="B1056" t="str">
        <f>raw_data!B1056</f>
        <v>Queensland</v>
      </c>
      <c r="C1056" t="str">
        <f>raw_data!C1056</f>
        <v>Professional, Scientific and Technical Services</v>
      </c>
      <c r="D1056">
        <f>raw_data!D1056</f>
        <v>50.44</v>
      </c>
      <c r="E1056">
        <f>raw_data!E1056</f>
        <v>65.38</v>
      </c>
      <c r="F1056">
        <f>raw_data!F1056</f>
        <v>52.99</v>
      </c>
      <c r="G1056">
        <f>raw_data!G1056</f>
        <v>55.69</v>
      </c>
      <c r="H1056">
        <f>(raw_data!D1056*weights!$B$2)+(raw_data!E1056*weights!$B$3)+(raw_data!F1056*weights!$B$4)</f>
        <v>55.686999999999998</v>
      </c>
      <c r="I1056" t="str">
        <f t="shared" si="32"/>
        <v>High</v>
      </c>
      <c r="J1056" t="str">
        <f t="shared" si="33"/>
        <v>2024 Q2</v>
      </c>
      <c r="K1056">
        <f>raw_data!H1056</f>
        <v>20.18</v>
      </c>
      <c r="L1056" s="13">
        <f>raw_data!I1056</f>
        <v>19.62</v>
      </c>
      <c r="M1056" s="13">
        <f>raw_data!J1056</f>
        <v>15.9</v>
      </c>
    </row>
    <row r="1057" spans="1:13" x14ac:dyDescent="0.2">
      <c r="A1057" t="str">
        <f>raw_data!A1057</f>
        <v>2024Q2</v>
      </c>
      <c r="B1057" t="str">
        <f>raw_data!B1057</f>
        <v>Victoria</v>
      </c>
      <c r="C1057" t="str">
        <f>raw_data!C1057</f>
        <v>Accommodation and Food Services</v>
      </c>
      <c r="D1057">
        <f>raw_data!D1057</f>
        <v>56.9</v>
      </c>
      <c r="E1057">
        <f>raw_data!E1057</f>
        <v>75</v>
      </c>
      <c r="F1057">
        <f>raw_data!F1057</f>
        <v>14.98</v>
      </c>
      <c r="G1057">
        <f>raw_data!G1057</f>
        <v>49.76</v>
      </c>
      <c r="H1057">
        <f>(raw_data!D1057*weights!$B$2)+(raw_data!E1057*weights!$B$3)+(raw_data!F1057*weights!$B$4)</f>
        <v>49.754000000000005</v>
      </c>
      <c r="I1057" t="str">
        <f t="shared" si="32"/>
        <v>High</v>
      </c>
      <c r="J1057" t="str">
        <f t="shared" si="33"/>
        <v>2024 Q2</v>
      </c>
      <c r="K1057">
        <f>raw_data!H1057</f>
        <v>22.76</v>
      </c>
      <c r="L1057" s="13">
        <f>raw_data!I1057</f>
        <v>22.5</v>
      </c>
      <c r="M1057" s="13">
        <f>raw_data!J1057</f>
        <v>4.49</v>
      </c>
    </row>
    <row r="1058" spans="1:13" x14ac:dyDescent="0.2">
      <c r="A1058" t="str">
        <f>raw_data!A1058</f>
        <v>2024Q2</v>
      </c>
      <c r="B1058" t="str">
        <f>raw_data!B1058</f>
        <v>Victoria</v>
      </c>
      <c r="C1058" t="str">
        <f>raw_data!C1058</f>
        <v>Construction</v>
      </c>
      <c r="D1058">
        <f>raw_data!D1058</f>
        <v>17.3</v>
      </c>
      <c r="E1058">
        <f>raw_data!E1058</f>
        <v>67.31</v>
      </c>
      <c r="F1058">
        <f>raw_data!F1058</f>
        <v>18.64</v>
      </c>
      <c r="G1058">
        <f>raw_data!G1058</f>
        <v>32.71</v>
      </c>
      <c r="H1058">
        <f>(raw_data!D1058*weights!$B$2)+(raw_data!E1058*weights!$B$3)+(raw_data!F1058*weights!$B$4)</f>
        <v>32.705000000000005</v>
      </c>
      <c r="I1058" t="str">
        <f t="shared" si="32"/>
        <v>Moderate</v>
      </c>
      <c r="J1058" t="str">
        <f t="shared" si="33"/>
        <v>2024 Q2</v>
      </c>
      <c r="K1058">
        <f>raw_data!H1058</f>
        <v>6.92</v>
      </c>
      <c r="L1058" s="13">
        <f>raw_data!I1058</f>
        <v>20.190000000000001</v>
      </c>
      <c r="M1058" s="13">
        <f>raw_data!J1058</f>
        <v>5.59</v>
      </c>
    </row>
    <row r="1059" spans="1:13" x14ac:dyDescent="0.2">
      <c r="A1059" t="str">
        <f>raw_data!A1059</f>
        <v>2024Q2</v>
      </c>
      <c r="B1059" t="str">
        <f>raw_data!B1059</f>
        <v>Victoria</v>
      </c>
      <c r="C1059" t="str">
        <f>raw_data!C1059</f>
        <v>Education and Training</v>
      </c>
      <c r="D1059">
        <f>raw_data!D1059</f>
        <v>8.9499999999999993</v>
      </c>
      <c r="E1059">
        <f>raw_data!E1059</f>
        <v>76.92</v>
      </c>
      <c r="F1059">
        <f>raw_data!F1059</f>
        <v>16.62</v>
      </c>
      <c r="G1059">
        <f>raw_data!G1059</f>
        <v>31.64</v>
      </c>
      <c r="H1059">
        <f>(raw_data!D1059*weights!$B$2)+(raw_data!E1059*weights!$B$3)+(raw_data!F1059*weights!$B$4)</f>
        <v>31.641999999999999</v>
      </c>
      <c r="I1059" t="str">
        <f t="shared" si="32"/>
        <v>Moderate</v>
      </c>
      <c r="J1059" t="str">
        <f t="shared" si="33"/>
        <v>2024 Q2</v>
      </c>
      <c r="K1059">
        <f>raw_data!H1059</f>
        <v>3.58</v>
      </c>
      <c r="L1059" s="13">
        <f>raw_data!I1059</f>
        <v>23.08</v>
      </c>
      <c r="M1059" s="13">
        <f>raw_data!J1059</f>
        <v>4.99</v>
      </c>
    </row>
    <row r="1060" spans="1:13" x14ac:dyDescent="0.2">
      <c r="A1060" t="str">
        <f>raw_data!A1060</f>
        <v>2024Q2</v>
      </c>
      <c r="B1060" t="str">
        <f>raw_data!B1060</f>
        <v>Victoria</v>
      </c>
      <c r="C1060" t="str">
        <f>raw_data!C1060</f>
        <v>Health Care and Social Assistance</v>
      </c>
      <c r="D1060">
        <f>raw_data!D1060</f>
        <v>28.02</v>
      </c>
      <c r="E1060">
        <f>raw_data!E1060</f>
        <v>90.38</v>
      </c>
      <c r="F1060">
        <f>raw_data!F1060</f>
        <v>41.99</v>
      </c>
      <c r="G1060">
        <f>raw_data!G1060</f>
        <v>50.92</v>
      </c>
      <c r="H1060">
        <f>(raw_data!D1060*weights!$B$2)+(raw_data!E1060*weights!$B$3)+(raw_data!F1060*weights!$B$4)</f>
        <v>50.918999999999997</v>
      </c>
      <c r="I1060" t="str">
        <f t="shared" si="32"/>
        <v>High</v>
      </c>
      <c r="J1060" t="str">
        <f t="shared" si="33"/>
        <v>2024 Q2</v>
      </c>
      <c r="K1060">
        <f>raw_data!H1060</f>
        <v>11.21</v>
      </c>
      <c r="L1060" s="13">
        <f>raw_data!I1060</f>
        <v>27.12</v>
      </c>
      <c r="M1060" s="13">
        <f>raw_data!J1060</f>
        <v>12.6</v>
      </c>
    </row>
    <row r="1061" spans="1:13" x14ac:dyDescent="0.2">
      <c r="A1061" t="str">
        <f>raw_data!A1061</f>
        <v>2024Q2</v>
      </c>
      <c r="B1061" t="str">
        <f>raw_data!B1061</f>
        <v>Victoria</v>
      </c>
      <c r="C1061" t="str">
        <f>raw_data!C1061</f>
        <v>Manufacturing</v>
      </c>
      <c r="D1061">
        <f>raw_data!D1061</f>
        <v>14.27</v>
      </c>
      <c r="E1061">
        <f>raw_data!E1061</f>
        <v>69.23</v>
      </c>
      <c r="F1061">
        <f>raw_data!F1061</f>
        <v>6.87</v>
      </c>
      <c r="G1061">
        <f>raw_data!G1061</f>
        <v>28.54</v>
      </c>
      <c r="H1061">
        <f>(raw_data!D1061*weights!$B$2)+(raw_data!E1061*weights!$B$3)+(raw_data!F1061*weights!$B$4)</f>
        <v>28.538000000000004</v>
      </c>
      <c r="I1061" t="str">
        <f t="shared" si="32"/>
        <v>Moderate</v>
      </c>
      <c r="J1061" t="str">
        <f t="shared" si="33"/>
        <v>2024 Q2</v>
      </c>
      <c r="K1061">
        <f>raw_data!H1061</f>
        <v>5.71</v>
      </c>
      <c r="L1061" s="13">
        <f>raw_data!I1061</f>
        <v>20.77</v>
      </c>
      <c r="M1061" s="13">
        <f>raw_data!J1061</f>
        <v>2.06</v>
      </c>
    </row>
    <row r="1062" spans="1:13" x14ac:dyDescent="0.2">
      <c r="A1062" t="str">
        <f>raw_data!A1062</f>
        <v>2024Q2</v>
      </c>
      <c r="B1062" t="str">
        <f>raw_data!B1062</f>
        <v>Victoria</v>
      </c>
      <c r="C1062" t="str">
        <f>raw_data!C1062</f>
        <v>Professional, Scientific and Technical Services</v>
      </c>
      <c r="D1062">
        <f>raw_data!D1062</f>
        <v>31.61</v>
      </c>
      <c r="E1062">
        <f>raw_data!E1062</f>
        <v>65.38</v>
      </c>
      <c r="F1062">
        <f>raw_data!F1062</f>
        <v>18.64</v>
      </c>
      <c r="G1062">
        <f>raw_data!G1062</f>
        <v>37.85</v>
      </c>
      <c r="H1062">
        <f>(raw_data!D1062*weights!$B$2)+(raw_data!E1062*weights!$B$3)+(raw_data!F1062*weights!$B$4)</f>
        <v>37.849999999999994</v>
      </c>
      <c r="I1062" t="str">
        <f t="shared" si="32"/>
        <v>Moderate</v>
      </c>
      <c r="J1062" t="str">
        <f t="shared" si="33"/>
        <v>2024 Q2</v>
      </c>
      <c r="K1062">
        <f>raw_data!H1062</f>
        <v>12.64</v>
      </c>
      <c r="L1062" s="13">
        <f>raw_data!I1062</f>
        <v>19.62</v>
      </c>
      <c r="M1062" s="13">
        <f>raw_data!J1062</f>
        <v>5.59</v>
      </c>
    </row>
    <row r="1063" spans="1:13" x14ac:dyDescent="0.2">
      <c r="A1063" t="str">
        <f>raw_data!A1063</f>
        <v>2024Q3</v>
      </c>
      <c r="B1063" t="str">
        <f>raw_data!B1063</f>
        <v>New South Wales</v>
      </c>
      <c r="C1063" t="str">
        <f>raw_data!C1063</f>
        <v>Accommodation and Food Services</v>
      </c>
      <c r="D1063">
        <f>raw_data!D1063</f>
        <v>34.549999999999997</v>
      </c>
      <c r="E1063">
        <f>raw_data!E1063</f>
        <v>61.54</v>
      </c>
      <c r="F1063">
        <f>raw_data!F1063</f>
        <v>7.4</v>
      </c>
      <c r="G1063">
        <f>raw_data!G1063</f>
        <v>34.5</v>
      </c>
      <c r="H1063">
        <f>(raw_data!D1063*weights!$B$2)+(raw_data!E1063*weights!$B$3)+(raw_data!F1063*weights!$B$4)</f>
        <v>34.501999999999995</v>
      </c>
      <c r="I1063" t="str">
        <f t="shared" si="32"/>
        <v>Moderate</v>
      </c>
      <c r="J1063" t="str">
        <f t="shared" si="33"/>
        <v>2024 Q3</v>
      </c>
      <c r="K1063">
        <f>raw_data!H1063</f>
        <v>13.82</v>
      </c>
      <c r="L1063" s="13">
        <f>raw_data!I1063</f>
        <v>18.46</v>
      </c>
      <c r="M1063" s="13">
        <f>raw_data!J1063</f>
        <v>2.2200000000000002</v>
      </c>
    </row>
    <row r="1064" spans="1:13" x14ac:dyDescent="0.2">
      <c r="A1064" t="str">
        <f>raw_data!A1064</f>
        <v>2024Q3</v>
      </c>
      <c r="B1064" t="str">
        <f>raw_data!B1064</f>
        <v>New South Wales</v>
      </c>
      <c r="C1064" t="str">
        <f>raw_data!C1064</f>
        <v>Construction</v>
      </c>
      <c r="D1064">
        <f>raw_data!D1064</f>
        <v>16.59</v>
      </c>
      <c r="E1064">
        <f>raw_data!E1064</f>
        <v>61.54</v>
      </c>
      <c r="F1064">
        <f>raw_data!F1064</f>
        <v>10.41</v>
      </c>
      <c r="G1064">
        <f>raw_data!G1064</f>
        <v>28.22</v>
      </c>
      <c r="H1064">
        <f>(raw_data!D1064*weights!$B$2)+(raw_data!E1064*weights!$B$3)+(raw_data!F1064*weights!$B$4)</f>
        <v>28.221</v>
      </c>
      <c r="I1064" t="str">
        <f t="shared" si="32"/>
        <v>Moderate</v>
      </c>
      <c r="J1064" t="str">
        <f t="shared" si="33"/>
        <v>2024 Q3</v>
      </c>
      <c r="K1064">
        <f>raw_data!H1064</f>
        <v>6.63</v>
      </c>
      <c r="L1064" s="13">
        <f>raw_data!I1064</f>
        <v>18.46</v>
      </c>
      <c r="M1064" s="13">
        <f>raw_data!J1064</f>
        <v>3.12</v>
      </c>
    </row>
    <row r="1065" spans="1:13" x14ac:dyDescent="0.2">
      <c r="A1065" t="str">
        <f>raw_data!A1065</f>
        <v>2024Q3</v>
      </c>
      <c r="B1065" t="str">
        <f>raw_data!B1065</f>
        <v>New South Wales</v>
      </c>
      <c r="C1065" t="str">
        <f>raw_data!C1065</f>
        <v>Education and Training</v>
      </c>
      <c r="D1065">
        <f>raw_data!D1065</f>
        <v>6.5</v>
      </c>
      <c r="E1065">
        <f>raw_data!E1065</f>
        <v>78.849999999999994</v>
      </c>
      <c r="F1065">
        <f>raw_data!F1065</f>
        <v>8.74</v>
      </c>
      <c r="G1065">
        <f>raw_data!G1065</f>
        <v>28.88</v>
      </c>
      <c r="H1065">
        <f>(raw_data!D1065*weights!$B$2)+(raw_data!E1065*weights!$B$3)+(raw_data!F1065*weights!$B$4)</f>
        <v>28.876999999999999</v>
      </c>
      <c r="I1065" t="str">
        <f t="shared" si="32"/>
        <v>Moderate</v>
      </c>
      <c r="J1065" t="str">
        <f t="shared" si="33"/>
        <v>2024 Q3</v>
      </c>
      <c r="K1065">
        <f>raw_data!H1065</f>
        <v>2.6</v>
      </c>
      <c r="L1065" s="13">
        <f>raw_data!I1065</f>
        <v>23.65</v>
      </c>
      <c r="M1065" s="13">
        <f>raw_data!J1065</f>
        <v>2.62</v>
      </c>
    </row>
    <row r="1066" spans="1:13" x14ac:dyDescent="0.2">
      <c r="A1066" t="str">
        <f>raw_data!A1066</f>
        <v>2024Q3</v>
      </c>
      <c r="B1066" t="str">
        <f>raw_data!B1066</f>
        <v>New South Wales</v>
      </c>
      <c r="C1066" t="str">
        <f>raw_data!C1066</f>
        <v>Health Care and Social Assistance</v>
      </c>
      <c r="D1066">
        <f>raw_data!D1066</f>
        <v>23.06</v>
      </c>
      <c r="E1066">
        <f>raw_data!E1066</f>
        <v>63.46</v>
      </c>
      <c r="F1066">
        <f>raw_data!F1066</f>
        <v>39.47</v>
      </c>
      <c r="G1066">
        <f>raw_data!G1066</f>
        <v>40.1</v>
      </c>
      <c r="H1066">
        <f>(raw_data!D1066*weights!$B$2)+(raw_data!E1066*weights!$B$3)+(raw_data!F1066*weights!$B$4)</f>
        <v>40.103000000000002</v>
      </c>
      <c r="I1066" t="str">
        <f t="shared" si="32"/>
        <v>Moderate</v>
      </c>
      <c r="J1066" t="str">
        <f t="shared" si="33"/>
        <v>2024 Q3</v>
      </c>
      <c r="K1066">
        <f>raw_data!H1066</f>
        <v>9.2200000000000006</v>
      </c>
      <c r="L1066" s="13">
        <f>raw_data!I1066</f>
        <v>19.04</v>
      </c>
      <c r="M1066" s="13">
        <f>raw_data!J1066</f>
        <v>11.84</v>
      </c>
    </row>
    <row r="1067" spans="1:13" x14ac:dyDescent="0.2">
      <c r="A1067" t="str">
        <f>raw_data!A1067</f>
        <v>2024Q3</v>
      </c>
      <c r="B1067" t="str">
        <f>raw_data!B1067</f>
        <v>New South Wales</v>
      </c>
      <c r="C1067" t="str">
        <f>raw_data!C1067</f>
        <v>Manufacturing</v>
      </c>
      <c r="D1067">
        <f>raw_data!D1067</f>
        <v>16.29</v>
      </c>
      <c r="E1067">
        <f>raw_data!E1067</f>
        <v>67.31</v>
      </c>
      <c r="F1067">
        <f>raw_data!F1067</f>
        <v>15.45</v>
      </c>
      <c r="G1067">
        <f>raw_data!G1067</f>
        <v>31.34</v>
      </c>
      <c r="H1067">
        <f>(raw_data!D1067*weights!$B$2)+(raw_data!E1067*weights!$B$3)+(raw_data!F1067*weights!$B$4)</f>
        <v>31.344000000000001</v>
      </c>
      <c r="I1067" t="str">
        <f t="shared" si="32"/>
        <v>Moderate</v>
      </c>
      <c r="J1067" t="str">
        <f t="shared" si="33"/>
        <v>2024 Q3</v>
      </c>
      <c r="K1067">
        <f>raw_data!H1067</f>
        <v>6.52</v>
      </c>
      <c r="L1067" s="13">
        <f>raw_data!I1067</f>
        <v>20.190000000000001</v>
      </c>
      <c r="M1067" s="13">
        <f>raw_data!J1067</f>
        <v>4.63</v>
      </c>
    </row>
    <row r="1068" spans="1:13" x14ac:dyDescent="0.2">
      <c r="A1068" t="str">
        <f>raw_data!A1068</f>
        <v>2024Q3</v>
      </c>
      <c r="B1068" t="str">
        <f>raw_data!B1068</f>
        <v>New South Wales</v>
      </c>
      <c r="C1068" t="str">
        <f>raw_data!C1068</f>
        <v>Professional, Scientific and Technical Services</v>
      </c>
      <c r="D1068">
        <f>raw_data!D1068</f>
        <v>22.35</v>
      </c>
      <c r="E1068">
        <f>raw_data!E1068</f>
        <v>51.92</v>
      </c>
      <c r="F1068">
        <f>raw_data!F1068</f>
        <v>16.829999999999998</v>
      </c>
      <c r="G1068">
        <f>raw_data!G1068</f>
        <v>29.57</v>
      </c>
      <c r="H1068">
        <f>(raw_data!D1068*weights!$B$2)+(raw_data!E1068*weights!$B$3)+(raw_data!F1068*weights!$B$4)</f>
        <v>29.565000000000001</v>
      </c>
      <c r="I1068" t="str">
        <f t="shared" si="32"/>
        <v>Moderate</v>
      </c>
      <c r="J1068" t="str">
        <f t="shared" si="33"/>
        <v>2024 Q3</v>
      </c>
      <c r="K1068">
        <f>raw_data!H1068</f>
        <v>8.94</v>
      </c>
      <c r="L1068" s="13">
        <f>raw_data!I1068</f>
        <v>15.58</v>
      </c>
      <c r="M1068" s="13">
        <f>raw_data!J1068</f>
        <v>5.05</v>
      </c>
    </row>
    <row r="1069" spans="1:13" x14ac:dyDescent="0.2">
      <c r="A1069" t="str">
        <f>raw_data!A1069</f>
        <v>2024Q3</v>
      </c>
      <c r="B1069" t="str">
        <f>raw_data!B1069</f>
        <v>Queensland</v>
      </c>
      <c r="C1069" t="str">
        <f>raw_data!C1069</f>
        <v>Accommodation and Food Services</v>
      </c>
      <c r="D1069">
        <f>raw_data!D1069</f>
        <v>44.92</v>
      </c>
      <c r="E1069">
        <f>raw_data!E1069</f>
        <v>61.54</v>
      </c>
      <c r="F1069">
        <f>raw_data!F1069</f>
        <v>22.14</v>
      </c>
      <c r="G1069">
        <f>raw_data!G1069</f>
        <v>43.07</v>
      </c>
      <c r="H1069">
        <f>(raw_data!D1069*weights!$B$2)+(raw_data!E1069*weights!$B$3)+(raw_data!F1069*weights!$B$4)</f>
        <v>43.072000000000003</v>
      </c>
      <c r="I1069" t="str">
        <f t="shared" si="32"/>
        <v>Moderate</v>
      </c>
      <c r="J1069" t="str">
        <f t="shared" si="33"/>
        <v>2024 Q3</v>
      </c>
      <c r="K1069">
        <f>raw_data!H1069</f>
        <v>17.97</v>
      </c>
      <c r="L1069" s="13">
        <f>raw_data!I1069</f>
        <v>18.46</v>
      </c>
      <c r="M1069" s="13">
        <f>raw_data!J1069</f>
        <v>6.64</v>
      </c>
    </row>
    <row r="1070" spans="1:13" x14ac:dyDescent="0.2">
      <c r="A1070" t="str">
        <f>raw_data!A1070</f>
        <v>2024Q3</v>
      </c>
      <c r="B1070" t="str">
        <f>raw_data!B1070</f>
        <v>Queensland</v>
      </c>
      <c r="C1070" t="str">
        <f>raw_data!C1070</f>
        <v>Construction</v>
      </c>
      <c r="D1070">
        <f>raw_data!D1070</f>
        <v>24.63</v>
      </c>
      <c r="E1070">
        <f>raw_data!E1070</f>
        <v>61.54</v>
      </c>
      <c r="F1070">
        <f>raw_data!F1070</f>
        <v>11.18</v>
      </c>
      <c r="G1070">
        <f>raw_data!G1070</f>
        <v>31.67</v>
      </c>
      <c r="H1070">
        <f>(raw_data!D1070*weights!$B$2)+(raw_data!E1070*weights!$B$3)+(raw_data!F1070*weights!$B$4)</f>
        <v>31.667999999999999</v>
      </c>
      <c r="I1070" t="str">
        <f t="shared" si="32"/>
        <v>Moderate</v>
      </c>
      <c r="J1070" t="str">
        <f t="shared" si="33"/>
        <v>2024 Q3</v>
      </c>
      <c r="K1070">
        <f>raw_data!H1070</f>
        <v>9.85</v>
      </c>
      <c r="L1070" s="13">
        <f>raw_data!I1070</f>
        <v>18.46</v>
      </c>
      <c r="M1070" s="13">
        <f>raw_data!J1070</f>
        <v>3.35</v>
      </c>
    </row>
    <row r="1071" spans="1:13" x14ac:dyDescent="0.2">
      <c r="A1071" t="str">
        <f>raw_data!A1071</f>
        <v>2024Q3</v>
      </c>
      <c r="B1071" t="str">
        <f>raw_data!B1071</f>
        <v>Queensland</v>
      </c>
      <c r="C1071" t="str">
        <f>raw_data!C1071</f>
        <v>Education and Training</v>
      </c>
      <c r="D1071">
        <f>raw_data!D1071</f>
        <v>11.79</v>
      </c>
      <c r="E1071">
        <f>raw_data!E1071</f>
        <v>78.849999999999994</v>
      </c>
      <c r="F1071">
        <f>raw_data!F1071</f>
        <v>12.53</v>
      </c>
      <c r="G1071">
        <f>raw_data!G1071</f>
        <v>32.130000000000003</v>
      </c>
      <c r="H1071">
        <f>(raw_data!D1071*weights!$B$2)+(raw_data!E1071*weights!$B$3)+(raw_data!F1071*weights!$B$4)</f>
        <v>32.129999999999995</v>
      </c>
      <c r="I1071" t="str">
        <f t="shared" si="32"/>
        <v>Moderate</v>
      </c>
      <c r="J1071" t="str">
        <f t="shared" si="33"/>
        <v>2024 Q3</v>
      </c>
      <c r="K1071">
        <f>raw_data!H1071</f>
        <v>4.72</v>
      </c>
      <c r="L1071" s="13">
        <f>raw_data!I1071</f>
        <v>23.65</v>
      </c>
      <c r="M1071" s="13">
        <f>raw_data!J1071</f>
        <v>3.76</v>
      </c>
    </row>
    <row r="1072" spans="1:13" x14ac:dyDescent="0.2">
      <c r="A1072" t="str">
        <f>raw_data!A1072</f>
        <v>2024Q3</v>
      </c>
      <c r="B1072" t="str">
        <f>raw_data!B1072</f>
        <v>Queensland</v>
      </c>
      <c r="C1072" t="str">
        <f>raw_data!C1072</f>
        <v>Health Care and Social Assistance</v>
      </c>
      <c r="D1072">
        <f>raw_data!D1072</f>
        <v>37.090000000000003</v>
      </c>
      <c r="E1072">
        <f>raw_data!E1072</f>
        <v>63.46</v>
      </c>
      <c r="F1072">
        <f>raw_data!F1072</f>
        <v>27.3</v>
      </c>
      <c r="G1072">
        <f>raw_data!G1072</f>
        <v>42.07</v>
      </c>
      <c r="H1072">
        <f>(raw_data!D1072*weights!$B$2)+(raw_data!E1072*weights!$B$3)+(raw_data!F1072*weights!$B$4)</f>
        <v>42.064</v>
      </c>
      <c r="I1072" t="str">
        <f t="shared" si="32"/>
        <v>Moderate</v>
      </c>
      <c r="J1072" t="str">
        <f t="shared" si="33"/>
        <v>2024 Q3</v>
      </c>
      <c r="K1072">
        <f>raw_data!H1072</f>
        <v>14.84</v>
      </c>
      <c r="L1072" s="13">
        <f>raw_data!I1072</f>
        <v>19.04</v>
      </c>
      <c r="M1072" s="13">
        <f>raw_data!J1072</f>
        <v>8.19</v>
      </c>
    </row>
    <row r="1073" spans="1:13" x14ac:dyDescent="0.2">
      <c r="A1073" t="str">
        <f>raw_data!A1073</f>
        <v>2024Q3</v>
      </c>
      <c r="B1073" t="str">
        <f>raw_data!B1073</f>
        <v>Queensland</v>
      </c>
      <c r="C1073" t="str">
        <f>raw_data!C1073</f>
        <v>Manufacturing</v>
      </c>
      <c r="D1073">
        <f>raw_data!D1073</f>
        <v>21.3</v>
      </c>
      <c r="E1073">
        <f>raw_data!E1073</f>
        <v>67.31</v>
      </c>
      <c r="F1073">
        <f>raw_data!F1073</f>
        <v>12.38</v>
      </c>
      <c r="G1073">
        <f>raw_data!G1073</f>
        <v>32.43</v>
      </c>
      <c r="H1073">
        <f>(raw_data!D1073*weights!$B$2)+(raw_data!E1073*weights!$B$3)+(raw_data!F1073*weights!$B$4)</f>
        <v>32.427</v>
      </c>
      <c r="I1073" t="str">
        <f t="shared" si="32"/>
        <v>Moderate</v>
      </c>
      <c r="J1073" t="str">
        <f t="shared" si="33"/>
        <v>2024 Q3</v>
      </c>
      <c r="K1073">
        <f>raw_data!H1073</f>
        <v>8.52</v>
      </c>
      <c r="L1073" s="13">
        <f>raw_data!I1073</f>
        <v>20.190000000000001</v>
      </c>
      <c r="M1073" s="13">
        <f>raw_data!J1073</f>
        <v>3.71</v>
      </c>
    </row>
    <row r="1074" spans="1:13" x14ac:dyDescent="0.2">
      <c r="A1074" t="str">
        <f>raw_data!A1074</f>
        <v>2024Q3</v>
      </c>
      <c r="B1074" t="str">
        <f>raw_data!B1074</f>
        <v>Queensland</v>
      </c>
      <c r="C1074" t="str">
        <f>raw_data!C1074</f>
        <v>Professional, Scientific and Technical Services</v>
      </c>
      <c r="D1074">
        <f>raw_data!D1074</f>
        <v>48.71</v>
      </c>
      <c r="E1074">
        <f>raw_data!E1074</f>
        <v>51.92</v>
      </c>
      <c r="F1074">
        <f>raw_data!F1074</f>
        <v>35.78</v>
      </c>
      <c r="G1074">
        <f>raw_data!G1074</f>
        <v>45.79</v>
      </c>
      <c r="H1074">
        <f>(raw_data!D1074*weights!$B$2)+(raw_data!E1074*weights!$B$3)+(raw_data!F1074*weights!$B$4)</f>
        <v>45.794000000000004</v>
      </c>
      <c r="I1074" t="str">
        <f t="shared" si="32"/>
        <v>High</v>
      </c>
      <c r="J1074" t="str">
        <f t="shared" si="33"/>
        <v>2024 Q3</v>
      </c>
      <c r="K1074">
        <f>raw_data!H1074</f>
        <v>19.48</v>
      </c>
      <c r="L1074" s="13">
        <f>raw_data!I1074</f>
        <v>15.58</v>
      </c>
      <c r="M1074" s="13">
        <f>raw_data!J1074</f>
        <v>10.73</v>
      </c>
    </row>
    <row r="1075" spans="1:13" x14ac:dyDescent="0.2">
      <c r="A1075" t="str">
        <f>raw_data!A1075</f>
        <v>2024Q3</v>
      </c>
      <c r="B1075" t="str">
        <f>raw_data!B1075</f>
        <v>Victoria</v>
      </c>
      <c r="C1075" t="str">
        <f>raw_data!C1075</f>
        <v>Accommodation and Food Services</v>
      </c>
      <c r="D1075">
        <f>raw_data!D1075</f>
        <v>47.7</v>
      </c>
      <c r="E1075">
        <f>raw_data!E1075</f>
        <v>61.54</v>
      </c>
      <c r="F1075">
        <f>raw_data!F1075</f>
        <v>8.7799999999999994</v>
      </c>
      <c r="G1075">
        <f>raw_data!G1075</f>
        <v>40.18</v>
      </c>
      <c r="H1075">
        <f>(raw_data!D1075*weights!$B$2)+(raw_data!E1075*weights!$B$3)+(raw_data!F1075*weights!$B$4)</f>
        <v>40.176000000000002</v>
      </c>
      <c r="I1075" t="str">
        <f t="shared" si="32"/>
        <v>Moderate</v>
      </c>
      <c r="J1075" t="str">
        <f t="shared" si="33"/>
        <v>2024 Q3</v>
      </c>
      <c r="K1075">
        <f>raw_data!H1075</f>
        <v>19.079999999999998</v>
      </c>
      <c r="L1075" s="13">
        <f>raw_data!I1075</f>
        <v>18.46</v>
      </c>
      <c r="M1075" s="13">
        <f>raw_data!J1075</f>
        <v>2.63</v>
      </c>
    </row>
    <row r="1076" spans="1:13" x14ac:dyDescent="0.2">
      <c r="A1076" t="str">
        <f>raw_data!A1076</f>
        <v>2024Q3</v>
      </c>
      <c r="B1076" t="str">
        <f>raw_data!B1076</f>
        <v>Victoria</v>
      </c>
      <c r="C1076" t="str">
        <f>raw_data!C1076</f>
        <v>Construction</v>
      </c>
      <c r="D1076">
        <f>raw_data!D1076</f>
        <v>18.38</v>
      </c>
      <c r="E1076">
        <f>raw_data!E1076</f>
        <v>61.54</v>
      </c>
      <c r="F1076">
        <f>raw_data!F1076</f>
        <v>15.01</v>
      </c>
      <c r="G1076">
        <f>raw_data!G1076</f>
        <v>30.31</v>
      </c>
      <c r="H1076">
        <f>(raw_data!D1076*weights!$B$2)+(raw_data!E1076*weights!$B$3)+(raw_data!F1076*weights!$B$4)</f>
        <v>30.317</v>
      </c>
      <c r="I1076" t="str">
        <f t="shared" si="32"/>
        <v>Moderate</v>
      </c>
      <c r="J1076" t="str">
        <f t="shared" si="33"/>
        <v>2024 Q3</v>
      </c>
      <c r="K1076">
        <f>raw_data!H1076</f>
        <v>7.35</v>
      </c>
      <c r="L1076" s="13">
        <f>raw_data!I1076</f>
        <v>18.46</v>
      </c>
      <c r="M1076" s="13">
        <f>raw_data!J1076</f>
        <v>4.5</v>
      </c>
    </row>
    <row r="1077" spans="1:13" x14ac:dyDescent="0.2">
      <c r="A1077" t="str">
        <f>raw_data!A1077</f>
        <v>2024Q3</v>
      </c>
      <c r="B1077" t="str">
        <f>raw_data!B1077</f>
        <v>Victoria</v>
      </c>
      <c r="C1077" t="str">
        <f>raw_data!C1077</f>
        <v>Education and Training</v>
      </c>
      <c r="D1077">
        <f>raw_data!D1077</f>
        <v>8.08</v>
      </c>
      <c r="E1077">
        <f>raw_data!E1077</f>
        <v>78.849999999999994</v>
      </c>
      <c r="F1077">
        <f>raw_data!F1077</f>
        <v>10.25</v>
      </c>
      <c r="G1077">
        <f>raw_data!G1077</f>
        <v>29.96</v>
      </c>
      <c r="H1077">
        <f>(raw_data!D1077*weights!$B$2)+(raw_data!E1077*weights!$B$3)+(raw_data!F1077*weights!$B$4)</f>
        <v>29.961999999999996</v>
      </c>
      <c r="I1077" t="str">
        <f t="shared" si="32"/>
        <v>Moderate</v>
      </c>
      <c r="J1077" t="str">
        <f t="shared" si="33"/>
        <v>2024 Q3</v>
      </c>
      <c r="K1077">
        <f>raw_data!H1077</f>
        <v>3.23</v>
      </c>
      <c r="L1077" s="13">
        <f>raw_data!I1077</f>
        <v>23.65</v>
      </c>
      <c r="M1077" s="13">
        <f>raw_data!J1077</f>
        <v>3.08</v>
      </c>
    </row>
    <row r="1078" spans="1:13" x14ac:dyDescent="0.2">
      <c r="A1078" t="str">
        <f>raw_data!A1078</f>
        <v>2024Q3</v>
      </c>
      <c r="B1078" t="str">
        <f>raw_data!B1078</f>
        <v>Victoria</v>
      </c>
      <c r="C1078" t="str">
        <f>raw_data!C1078</f>
        <v>Health Care and Social Assistance</v>
      </c>
      <c r="D1078">
        <f>raw_data!D1078</f>
        <v>26.9</v>
      </c>
      <c r="E1078">
        <f>raw_data!E1078</f>
        <v>63.46</v>
      </c>
      <c r="F1078">
        <f>raw_data!F1078</f>
        <v>21.88</v>
      </c>
      <c r="G1078">
        <f>raw_data!G1078</f>
        <v>36.36</v>
      </c>
      <c r="H1078">
        <f>(raw_data!D1078*weights!$B$2)+(raw_data!E1078*weights!$B$3)+(raw_data!F1078*weights!$B$4)</f>
        <v>36.362000000000002</v>
      </c>
      <c r="I1078" t="str">
        <f t="shared" si="32"/>
        <v>Moderate</v>
      </c>
      <c r="J1078" t="str">
        <f t="shared" si="33"/>
        <v>2024 Q3</v>
      </c>
      <c r="K1078">
        <f>raw_data!H1078</f>
        <v>10.76</v>
      </c>
      <c r="L1078" s="13">
        <f>raw_data!I1078</f>
        <v>19.04</v>
      </c>
      <c r="M1078" s="13">
        <f>raw_data!J1078</f>
        <v>6.56</v>
      </c>
    </row>
    <row r="1079" spans="1:13" x14ac:dyDescent="0.2">
      <c r="A1079" t="str">
        <f>raw_data!A1079</f>
        <v>2024Q3</v>
      </c>
      <c r="B1079" t="str">
        <f>raw_data!B1079</f>
        <v>Victoria</v>
      </c>
      <c r="C1079" t="str">
        <f>raw_data!C1079</f>
        <v>Manufacturing</v>
      </c>
      <c r="D1079">
        <f>raw_data!D1079</f>
        <v>12.32</v>
      </c>
      <c r="E1079">
        <f>raw_data!E1079</f>
        <v>67.31</v>
      </c>
      <c r="F1079">
        <f>raw_data!F1079</f>
        <v>9.69</v>
      </c>
      <c r="G1079">
        <f>raw_data!G1079</f>
        <v>28.03</v>
      </c>
      <c r="H1079">
        <f>(raw_data!D1079*weights!$B$2)+(raw_data!E1079*weights!$B$3)+(raw_data!F1079*weights!$B$4)</f>
        <v>28.028000000000002</v>
      </c>
      <c r="I1079" t="str">
        <f t="shared" si="32"/>
        <v>Moderate</v>
      </c>
      <c r="J1079" t="str">
        <f t="shared" si="33"/>
        <v>2024 Q3</v>
      </c>
      <c r="K1079">
        <f>raw_data!H1079</f>
        <v>4.93</v>
      </c>
      <c r="L1079" s="13">
        <f>raw_data!I1079</f>
        <v>20.190000000000001</v>
      </c>
      <c r="M1079" s="13">
        <f>raw_data!J1079</f>
        <v>2.91</v>
      </c>
    </row>
    <row r="1080" spans="1:13" x14ac:dyDescent="0.2">
      <c r="A1080" t="str">
        <f>raw_data!A1080</f>
        <v>2024Q3</v>
      </c>
      <c r="B1080" t="str">
        <f>raw_data!B1080</f>
        <v>Victoria</v>
      </c>
      <c r="C1080" t="str">
        <f>raw_data!C1080</f>
        <v>Professional, Scientific and Technical Services</v>
      </c>
      <c r="D1080">
        <f>raw_data!D1080</f>
        <v>28.32</v>
      </c>
      <c r="E1080">
        <f>raw_data!E1080</f>
        <v>51.92</v>
      </c>
      <c r="F1080">
        <f>raw_data!F1080</f>
        <v>24.61</v>
      </c>
      <c r="G1080">
        <f>raw_data!G1080</f>
        <v>34.29</v>
      </c>
      <c r="H1080">
        <f>(raw_data!D1080*weights!$B$2)+(raw_data!E1080*weights!$B$3)+(raw_data!F1080*weights!$B$4)</f>
        <v>34.287000000000006</v>
      </c>
      <c r="I1080" t="str">
        <f t="shared" si="32"/>
        <v>Moderate</v>
      </c>
      <c r="J1080" t="str">
        <f t="shared" si="33"/>
        <v>2024 Q3</v>
      </c>
      <c r="K1080">
        <f>raw_data!H1080</f>
        <v>11.33</v>
      </c>
      <c r="L1080" s="13">
        <f>raw_data!I1080</f>
        <v>15.58</v>
      </c>
      <c r="M1080" s="13">
        <f>raw_data!J1080</f>
        <v>7.38</v>
      </c>
    </row>
    <row r="1081" spans="1:13" x14ac:dyDescent="0.2">
      <c r="A1081" t="str">
        <f>raw_data!A1081</f>
        <v>2024Q4</v>
      </c>
      <c r="B1081" t="str">
        <f>raw_data!B1081</f>
        <v>New South Wales</v>
      </c>
      <c r="C1081" t="str">
        <f>raw_data!C1081</f>
        <v>Accommodation and Food Services</v>
      </c>
      <c r="D1081">
        <f>raw_data!D1081</f>
        <v>40.75</v>
      </c>
      <c r="E1081">
        <f>raw_data!E1081</f>
        <v>57.69</v>
      </c>
      <c r="F1081">
        <f>raw_data!F1081</f>
        <v>14.09</v>
      </c>
      <c r="G1081">
        <f>raw_data!G1081</f>
        <v>37.840000000000003</v>
      </c>
      <c r="H1081">
        <f>(raw_data!D1081*weights!$B$2)+(raw_data!E1081*weights!$B$3)+(raw_data!F1081*weights!$B$4)</f>
        <v>37.833999999999996</v>
      </c>
      <c r="I1081" t="str">
        <f t="shared" si="32"/>
        <v>Moderate</v>
      </c>
      <c r="J1081" t="str">
        <f t="shared" si="33"/>
        <v>2024 Q4</v>
      </c>
      <c r="K1081">
        <f>raw_data!H1081</f>
        <v>16.3</v>
      </c>
      <c r="L1081" s="13">
        <f>raw_data!I1081</f>
        <v>17.309999999999999</v>
      </c>
      <c r="M1081" s="13">
        <f>raw_data!J1081</f>
        <v>4.2300000000000004</v>
      </c>
    </row>
    <row r="1082" spans="1:13" x14ac:dyDescent="0.2">
      <c r="A1082" t="str">
        <f>raw_data!A1082</f>
        <v>2024Q4</v>
      </c>
      <c r="B1082" t="str">
        <f>raw_data!B1082</f>
        <v>New South Wales</v>
      </c>
      <c r="C1082" t="str">
        <f>raw_data!C1082</f>
        <v>Construction</v>
      </c>
      <c r="D1082">
        <f>raw_data!D1082</f>
        <v>13.26</v>
      </c>
      <c r="E1082">
        <f>raw_data!E1082</f>
        <v>59.62</v>
      </c>
      <c r="F1082">
        <f>raw_data!F1082</f>
        <v>16.079999999999998</v>
      </c>
      <c r="G1082">
        <f>raw_data!G1082</f>
        <v>28.01</v>
      </c>
      <c r="H1082">
        <f>(raw_data!D1082*weights!$B$2)+(raw_data!E1082*weights!$B$3)+(raw_data!F1082*weights!$B$4)</f>
        <v>28.013999999999996</v>
      </c>
      <c r="I1082" t="str">
        <f t="shared" si="32"/>
        <v>Moderate</v>
      </c>
      <c r="J1082" t="str">
        <f t="shared" si="33"/>
        <v>2024 Q4</v>
      </c>
      <c r="K1082">
        <f>raw_data!H1082</f>
        <v>5.3</v>
      </c>
      <c r="L1082" s="13">
        <f>raw_data!I1082</f>
        <v>17.88</v>
      </c>
      <c r="M1082" s="13">
        <f>raw_data!J1082</f>
        <v>4.82</v>
      </c>
    </row>
    <row r="1083" spans="1:13" x14ac:dyDescent="0.2">
      <c r="A1083" t="str">
        <f>raw_data!A1083</f>
        <v>2024Q4</v>
      </c>
      <c r="B1083" t="str">
        <f>raw_data!B1083</f>
        <v>New South Wales</v>
      </c>
      <c r="C1083" t="str">
        <f>raw_data!C1083</f>
        <v>Education and Training</v>
      </c>
      <c r="D1083">
        <f>raw_data!D1083</f>
        <v>5.55</v>
      </c>
      <c r="E1083">
        <f>raw_data!E1083</f>
        <v>57.69</v>
      </c>
      <c r="F1083">
        <f>raw_data!F1083</f>
        <v>7.93</v>
      </c>
      <c r="G1083">
        <f>raw_data!G1083</f>
        <v>21.91</v>
      </c>
      <c r="H1083">
        <f>(raw_data!D1083*weights!$B$2)+(raw_data!E1083*weights!$B$3)+(raw_data!F1083*weights!$B$4)</f>
        <v>21.905999999999999</v>
      </c>
      <c r="I1083" t="str">
        <f t="shared" si="32"/>
        <v>Low</v>
      </c>
      <c r="J1083" t="str">
        <f t="shared" si="33"/>
        <v>2024 Q4</v>
      </c>
      <c r="K1083">
        <f>raw_data!H1083</f>
        <v>2.2200000000000002</v>
      </c>
      <c r="L1083" s="13">
        <f>raw_data!I1083</f>
        <v>17.309999999999999</v>
      </c>
      <c r="M1083" s="13">
        <f>raw_data!J1083</f>
        <v>2.38</v>
      </c>
    </row>
    <row r="1084" spans="1:13" x14ac:dyDescent="0.2">
      <c r="A1084" t="str">
        <f>raw_data!A1084</f>
        <v>2024Q4</v>
      </c>
      <c r="B1084" t="str">
        <f>raw_data!B1084</f>
        <v>New South Wales</v>
      </c>
      <c r="C1084" t="str">
        <f>raw_data!C1084</f>
        <v>Health Care and Social Assistance</v>
      </c>
      <c r="D1084">
        <f>raw_data!D1084</f>
        <v>23.77</v>
      </c>
      <c r="E1084">
        <f>raw_data!E1084</f>
        <v>48.08</v>
      </c>
      <c r="F1084">
        <f>raw_data!F1084</f>
        <v>26.08</v>
      </c>
      <c r="G1084">
        <f>raw_data!G1084</f>
        <v>31.76</v>
      </c>
      <c r="H1084">
        <f>(raw_data!D1084*weights!$B$2)+(raw_data!E1084*weights!$B$3)+(raw_data!F1084*weights!$B$4)</f>
        <v>31.756</v>
      </c>
      <c r="I1084" t="str">
        <f t="shared" si="32"/>
        <v>Moderate</v>
      </c>
      <c r="J1084" t="str">
        <f t="shared" si="33"/>
        <v>2024 Q4</v>
      </c>
      <c r="K1084">
        <f>raw_data!H1084</f>
        <v>9.51</v>
      </c>
      <c r="L1084" s="13">
        <f>raw_data!I1084</f>
        <v>14.42</v>
      </c>
      <c r="M1084" s="13">
        <f>raw_data!J1084</f>
        <v>7.82</v>
      </c>
    </row>
    <row r="1085" spans="1:13" x14ac:dyDescent="0.2">
      <c r="A1085" t="str">
        <f>raw_data!A1085</f>
        <v>2024Q4</v>
      </c>
      <c r="B1085" t="str">
        <f>raw_data!B1085</f>
        <v>New South Wales</v>
      </c>
      <c r="C1085" t="str">
        <f>raw_data!C1085</f>
        <v>Manufacturing</v>
      </c>
      <c r="D1085">
        <f>raw_data!D1085</f>
        <v>14.75</v>
      </c>
      <c r="E1085">
        <f>raw_data!E1085</f>
        <v>65.38</v>
      </c>
      <c r="F1085">
        <f>raw_data!F1085</f>
        <v>10.59</v>
      </c>
      <c r="G1085">
        <f>raw_data!G1085</f>
        <v>28.7</v>
      </c>
      <c r="H1085">
        <f>(raw_data!D1085*weights!$B$2)+(raw_data!E1085*weights!$B$3)+(raw_data!F1085*weights!$B$4)</f>
        <v>28.690999999999995</v>
      </c>
      <c r="I1085" t="str">
        <f t="shared" si="32"/>
        <v>Moderate</v>
      </c>
      <c r="J1085" t="str">
        <f t="shared" si="33"/>
        <v>2024 Q4</v>
      </c>
      <c r="K1085">
        <f>raw_data!H1085</f>
        <v>5.9</v>
      </c>
      <c r="L1085" s="13">
        <f>raw_data!I1085</f>
        <v>19.62</v>
      </c>
      <c r="M1085" s="13">
        <f>raw_data!J1085</f>
        <v>3.18</v>
      </c>
    </row>
    <row r="1086" spans="1:13" x14ac:dyDescent="0.2">
      <c r="A1086" t="str">
        <f>raw_data!A1086</f>
        <v>2024Q4</v>
      </c>
      <c r="B1086" t="str">
        <f>raw_data!B1086</f>
        <v>New South Wales</v>
      </c>
      <c r="C1086" t="str">
        <f>raw_data!C1086</f>
        <v>Professional, Scientific and Technical Services</v>
      </c>
      <c r="D1086">
        <f>raw_data!D1086</f>
        <v>24.67</v>
      </c>
      <c r="E1086">
        <f>raw_data!E1086</f>
        <v>48.08</v>
      </c>
      <c r="F1086">
        <f>raw_data!F1086</f>
        <v>21.54</v>
      </c>
      <c r="G1086">
        <f>raw_data!G1086</f>
        <v>30.75</v>
      </c>
      <c r="H1086">
        <f>(raw_data!D1086*weights!$B$2)+(raw_data!E1086*weights!$B$3)+(raw_data!F1086*weights!$B$4)</f>
        <v>30.754000000000001</v>
      </c>
      <c r="I1086" t="str">
        <f t="shared" si="32"/>
        <v>Moderate</v>
      </c>
      <c r="J1086" t="str">
        <f t="shared" si="33"/>
        <v>2024 Q4</v>
      </c>
      <c r="K1086">
        <f>raw_data!H1086</f>
        <v>9.8699999999999992</v>
      </c>
      <c r="L1086" s="13">
        <f>raw_data!I1086</f>
        <v>14.42</v>
      </c>
      <c r="M1086" s="13">
        <f>raw_data!J1086</f>
        <v>6.46</v>
      </c>
    </row>
    <row r="1087" spans="1:13" x14ac:dyDescent="0.2">
      <c r="A1087" t="str">
        <f>raw_data!A1087</f>
        <v>2024Q4</v>
      </c>
      <c r="B1087" t="str">
        <f>raw_data!B1087</f>
        <v>Queensland</v>
      </c>
      <c r="C1087" t="str">
        <f>raw_data!C1087</f>
        <v>Accommodation and Food Services</v>
      </c>
      <c r="D1087">
        <f>raw_data!D1087</f>
        <v>58.62</v>
      </c>
      <c r="E1087">
        <f>raw_data!E1087</f>
        <v>57.69</v>
      </c>
      <c r="F1087">
        <f>raw_data!F1087</f>
        <v>20.67</v>
      </c>
      <c r="G1087">
        <f>raw_data!G1087</f>
        <v>46.96</v>
      </c>
      <c r="H1087">
        <f>(raw_data!D1087*weights!$B$2)+(raw_data!E1087*weights!$B$3)+(raw_data!F1087*weights!$B$4)</f>
        <v>46.955999999999996</v>
      </c>
      <c r="I1087" t="str">
        <f t="shared" si="32"/>
        <v>High</v>
      </c>
      <c r="J1087" t="str">
        <f t="shared" si="33"/>
        <v>2024 Q4</v>
      </c>
      <c r="K1087">
        <f>raw_data!H1087</f>
        <v>23.45</v>
      </c>
      <c r="L1087" s="13">
        <f>raw_data!I1087</f>
        <v>17.309999999999999</v>
      </c>
      <c r="M1087" s="13">
        <f>raw_data!J1087</f>
        <v>6.2</v>
      </c>
    </row>
    <row r="1088" spans="1:13" x14ac:dyDescent="0.2">
      <c r="A1088" t="str">
        <f>raw_data!A1088</f>
        <v>2024Q4</v>
      </c>
      <c r="B1088" t="str">
        <f>raw_data!B1088</f>
        <v>Queensland</v>
      </c>
      <c r="C1088" t="str">
        <f>raw_data!C1088</f>
        <v>Construction</v>
      </c>
      <c r="D1088">
        <f>raw_data!D1088</f>
        <v>19.61</v>
      </c>
      <c r="E1088">
        <f>raw_data!E1088</f>
        <v>59.62</v>
      </c>
      <c r="F1088">
        <f>raw_data!F1088</f>
        <v>21.62</v>
      </c>
      <c r="G1088">
        <f>raw_data!G1088</f>
        <v>32.21</v>
      </c>
      <c r="H1088">
        <f>(raw_data!D1088*weights!$B$2)+(raw_data!E1088*weights!$B$3)+(raw_data!F1088*weights!$B$4)</f>
        <v>32.216000000000001</v>
      </c>
      <c r="I1088" t="str">
        <f t="shared" si="32"/>
        <v>Moderate</v>
      </c>
      <c r="J1088" t="str">
        <f t="shared" si="33"/>
        <v>2024 Q4</v>
      </c>
      <c r="K1088">
        <f>raw_data!H1088</f>
        <v>7.84</v>
      </c>
      <c r="L1088" s="13">
        <f>raw_data!I1088</f>
        <v>17.88</v>
      </c>
      <c r="M1088" s="13">
        <f>raw_data!J1088</f>
        <v>6.48</v>
      </c>
    </row>
    <row r="1089" spans="1:13" x14ac:dyDescent="0.2">
      <c r="A1089" t="str">
        <f>raw_data!A1089</f>
        <v>2024Q4</v>
      </c>
      <c r="B1089" t="str">
        <f>raw_data!B1089</f>
        <v>Queensland</v>
      </c>
      <c r="C1089" t="str">
        <f>raw_data!C1089</f>
        <v>Education and Training</v>
      </c>
      <c r="D1089">
        <f>raw_data!D1089</f>
        <v>10.14</v>
      </c>
      <c r="E1089">
        <f>raw_data!E1089</f>
        <v>57.69</v>
      </c>
      <c r="F1089">
        <f>raw_data!F1089</f>
        <v>19.82</v>
      </c>
      <c r="G1089">
        <f>raw_data!G1089</f>
        <v>27.31</v>
      </c>
      <c r="H1089">
        <f>(raw_data!D1089*weights!$B$2)+(raw_data!E1089*weights!$B$3)+(raw_data!F1089*weights!$B$4)</f>
        <v>27.308999999999997</v>
      </c>
      <c r="I1089" t="str">
        <f t="shared" si="32"/>
        <v>Moderate</v>
      </c>
      <c r="J1089" t="str">
        <f t="shared" si="33"/>
        <v>2024 Q4</v>
      </c>
      <c r="K1089">
        <f>raw_data!H1089</f>
        <v>4.0599999999999996</v>
      </c>
      <c r="L1089" s="13">
        <f>raw_data!I1089</f>
        <v>17.309999999999999</v>
      </c>
      <c r="M1089" s="13">
        <f>raw_data!J1089</f>
        <v>5.95</v>
      </c>
    </row>
    <row r="1090" spans="1:13" x14ac:dyDescent="0.2">
      <c r="A1090" t="str">
        <f>raw_data!A1090</f>
        <v>2024Q4</v>
      </c>
      <c r="B1090" t="str">
        <f>raw_data!B1090</f>
        <v>Queensland</v>
      </c>
      <c r="C1090" t="str">
        <f>raw_data!C1090</f>
        <v>Health Care and Social Assistance</v>
      </c>
      <c r="D1090">
        <f>raw_data!D1090</f>
        <v>34.729999999999997</v>
      </c>
      <c r="E1090">
        <f>raw_data!E1090</f>
        <v>48.08</v>
      </c>
      <c r="F1090">
        <f>raw_data!F1090</f>
        <v>35.71</v>
      </c>
      <c r="G1090">
        <f>raw_data!G1090</f>
        <v>39.03</v>
      </c>
      <c r="H1090">
        <f>(raw_data!D1090*weights!$B$2)+(raw_data!E1090*weights!$B$3)+(raw_data!F1090*weights!$B$4)</f>
        <v>39.028999999999996</v>
      </c>
      <c r="I1090" t="str">
        <f t="shared" si="32"/>
        <v>Moderate</v>
      </c>
      <c r="J1090" t="str">
        <f t="shared" si="33"/>
        <v>2024 Q4</v>
      </c>
      <c r="K1090">
        <f>raw_data!H1090</f>
        <v>13.89</v>
      </c>
      <c r="L1090" s="13">
        <f>raw_data!I1090</f>
        <v>14.42</v>
      </c>
      <c r="M1090" s="13">
        <f>raw_data!J1090</f>
        <v>10.71</v>
      </c>
    </row>
    <row r="1091" spans="1:13" x14ac:dyDescent="0.2">
      <c r="A1091" t="str">
        <f>raw_data!A1091</f>
        <v>2024Q4</v>
      </c>
      <c r="B1091" t="str">
        <f>raw_data!B1091</f>
        <v>Queensland</v>
      </c>
      <c r="C1091" t="str">
        <f>raw_data!C1091</f>
        <v>Manufacturing</v>
      </c>
      <c r="D1091">
        <f>raw_data!D1091</f>
        <v>23.03</v>
      </c>
      <c r="E1091">
        <f>raw_data!E1091</f>
        <v>65.38</v>
      </c>
      <c r="F1091">
        <f>raw_data!F1091</f>
        <v>20.74</v>
      </c>
      <c r="G1091">
        <f>raw_data!G1091</f>
        <v>35.049999999999997</v>
      </c>
      <c r="H1091">
        <f>(raw_data!D1091*weights!$B$2)+(raw_data!E1091*weights!$B$3)+(raw_data!F1091*weights!$B$4)</f>
        <v>35.048000000000002</v>
      </c>
      <c r="I1091" t="str">
        <f t="shared" ref="I1091:I1154" si="34">IF(H1091&gt;=60,"Critical",IF(H1091&gt;=45,"High",IF(H1091&gt;=25,"Moderate","Low")))</f>
        <v>Moderate</v>
      </c>
      <c r="J1091" t="str">
        <f t="shared" ref="J1091:J1154" si="35">LEFT(A1091,4)&amp;" "&amp;RIGHT(A1091,2)</f>
        <v>2024 Q4</v>
      </c>
      <c r="K1091">
        <f>raw_data!H1091</f>
        <v>9.2100000000000009</v>
      </c>
      <c r="L1091" s="13">
        <f>raw_data!I1091</f>
        <v>19.62</v>
      </c>
      <c r="M1091" s="13">
        <f>raw_data!J1091</f>
        <v>6.22</v>
      </c>
    </row>
    <row r="1092" spans="1:13" x14ac:dyDescent="0.2">
      <c r="A1092" t="str">
        <f>raw_data!A1092</f>
        <v>2024Q4</v>
      </c>
      <c r="B1092" t="str">
        <f>raw_data!B1092</f>
        <v>Queensland</v>
      </c>
      <c r="C1092" t="str">
        <f>raw_data!C1092</f>
        <v>Professional, Scientific and Technical Services</v>
      </c>
      <c r="D1092">
        <f>raw_data!D1092</f>
        <v>52</v>
      </c>
      <c r="E1092">
        <f>raw_data!E1092</f>
        <v>48.08</v>
      </c>
      <c r="F1092">
        <f>raw_data!F1092</f>
        <v>49.32</v>
      </c>
      <c r="G1092">
        <f>raw_data!G1092</f>
        <v>50.02</v>
      </c>
      <c r="H1092">
        <f>(raw_data!D1092*weights!$B$2)+(raw_data!E1092*weights!$B$3)+(raw_data!F1092*weights!$B$4)</f>
        <v>50.02</v>
      </c>
      <c r="I1092" t="str">
        <f t="shared" si="34"/>
        <v>High</v>
      </c>
      <c r="J1092" t="str">
        <f t="shared" si="35"/>
        <v>2024 Q4</v>
      </c>
      <c r="K1092">
        <f>raw_data!H1092</f>
        <v>20.8</v>
      </c>
      <c r="L1092" s="13">
        <f>raw_data!I1092</f>
        <v>14.42</v>
      </c>
      <c r="M1092" s="13">
        <f>raw_data!J1092</f>
        <v>14.8</v>
      </c>
    </row>
    <row r="1093" spans="1:13" x14ac:dyDescent="0.2">
      <c r="A1093" t="str">
        <f>raw_data!A1093</f>
        <v>2024Q4</v>
      </c>
      <c r="B1093" t="str">
        <f>raw_data!B1093</f>
        <v>Victoria</v>
      </c>
      <c r="C1093" t="str">
        <f>raw_data!C1093</f>
        <v>Accommodation and Food Services</v>
      </c>
      <c r="D1093">
        <f>raw_data!D1093</f>
        <v>51.19</v>
      </c>
      <c r="E1093">
        <f>raw_data!E1093</f>
        <v>57.69</v>
      </c>
      <c r="F1093">
        <f>raw_data!F1093</f>
        <v>13.51</v>
      </c>
      <c r="G1093">
        <f>raw_data!G1093</f>
        <v>41.84</v>
      </c>
      <c r="H1093">
        <f>(raw_data!D1093*weights!$B$2)+(raw_data!E1093*weights!$B$3)+(raw_data!F1093*weights!$B$4)</f>
        <v>41.835999999999999</v>
      </c>
      <c r="I1093" t="str">
        <f t="shared" si="34"/>
        <v>Moderate</v>
      </c>
      <c r="J1093" t="str">
        <f t="shared" si="35"/>
        <v>2024 Q4</v>
      </c>
      <c r="K1093">
        <f>raw_data!H1093</f>
        <v>20.48</v>
      </c>
      <c r="L1093" s="13">
        <f>raw_data!I1093</f>
        <v>17.309999999999999</v>
      </c>
      <c r="M1093" s="13">
        <f>raw_data!J1093</f>
        <v>4.05</v>
      </c>
    </row>
    <row r="1094" spans="1:13" x14ac:dyDescent="0.2">
      <c r="A1094" t="str">
        <f>raw_data!A1094</f>
        <v>2024Q4</v>
      </c>
      <c r="B1094" t="str">
        <f>raw_data!B1094</f>
        <v>Victoria</v>
      </c>
      <c r="C1094" t="str">
        <f>raw_data!C1094</f>
        <v>Construction</v>
      </c>
      <c r="D1094">
        <f>raw_data!D1094</f>
        <v>16.09</v>
      </c>
      <c r="E1094">
        <f>raw_data!E1094</f>
        <v>59.62</v>
      </c>
      <c r="F1094">
        <f>raw_data!F1094</f>
        <v>12.8</v>
      </c>
      <c r="G1094">
        <f>raw_data!G1094</f>
        <v>28.16</v>
      </c>
      <c r="H1094">
        <f>(raw_data!D1094*weights!$B$2)+(raw_data!E1094*weights!$B$3)+(raw_data!F1094*weights!$B$4)</f>
        <v>28.161999999999999</v>
      </c>
      <c r="I1094" t="str">
        <f t="shared" si="34"/>
        <v>Moderate</v>
      </c>
      <c r="J1094" t="str">
        <f t="shared" si="35"/>
        <v>2024 Q4</v>
      </c>
      <c r="K1094">
        <f>raw_data!H1094</f>
        <v>6.44</v>
      </c>
      <c r="L1094" s="13">
        <f>raw_data!I1094</f>
        <v>17.88</v>
      </c>
      <c r="M1094" s="13">
        <f>raw_data!J1094</f>
        <v>3.84</v>
      </c>
    </row>
    <row r="1095" spans="1:13" x14ac:dyDescent="0.2">
      <c r="A1095" t="str">
        <f>raw_data!A1095</f>
        <v>2024Q4</v>
      </c>
      <c r="B1095" t="str">
        <f>raw_data!B1095</f>
        <v>Victoria</v>
      </c>
      <c r="C1095" t="str">
        <f>raw_data!C1095</f>
        <v>Education and Training</v>
      </c>
      <c r="D1095">
        <f>raw_data!D1095</f>
        <v>6.55</v>
      </c>
      <c r="E1095">
        <f>raw_data!E1095</f>
        <v>57.69</v>
      </c>
      <c r="F1095">
        <f>raw_data!F1095</f>
        <v>19.260000000000002</v>
      </c>
      <c r="G1095">
        <f>raw_data!G1095</f>
        <v>25.71</v>
      </c>
      <c r="H1095">
        <f>(raw_data!D1095*weights!$B$2)+(raw_data!E1095*weights!$B$3)+(raw_data!F1095*weights!$B$4)</f>
        <v>25.704999999999998</v>
      </c>
      <c r="I1095" t="str">
        <f t="shared" si="34"/>
        <v>Moderate</v>
      </c>
      <c r="J1095" t="str">
        <f t="shared" si="35"/>
        <v>2024 Q4</v>
      </c>
      <c r="K1095">
        <f>raw_data!H1095</f>
        <v>2.62</v>
      </c>
      <c r="L1095" s="13">
        <f>raw_data!I1095</f>
        <v>17.309999999999999</v>
      </c>
      <c r="M1095" s="13">
        <f>raw_data!J1095</f>
        <v>5.78</v>
      </c>
    </row>
    <row r="1096" spans="1:13" x14ac:dyDescent="0.2">
      <c r="A1096" t="str">
        <f>raw_data!A1096</f>
        <v>2024Q4</v>
      </c>
      <c r="B1096" t="str">
        <f>raw_data!B1096</f>
        <v>Victoria</v>
      </c>
      <c r="C1096" t="str">
        <f>raw_data!C1096</f>
        <v>Health Care and Social Assistance</v>
      </c>
      <c r="D1096">
        <f>raw_data!D1096</f>
        <v>28.38</v>
      </c>
      <c r="E1096">
        <f>raw_data!E1096</f>
        <v>48.08</v>
      </c>
      <c r="F1096">
        <f>raw_data!F1096</f>
        <v>33.4</v>
      </c>
      <c r="G1096">
        <f>raw_data!G1096</f>
        <v>35.79</v>
      </c>
      <c r="H1096">
        <f>(raw_data!D1096*weights!$B$2)+(raw_data!E1096*weights!$B$3)+(raw_data!F1096*weights!$B$4)</f>
        <v>35.795999999999999</v>
      </c>
      <c r="I1096" t="str">
        <f t="shared" si="34"/>
        <v>Moderate</v>
      </c>
      <c r="J1096" t="str">
        <f t="shared" si="35"/>
        <v>2024 Q4</v>
      </c>
      <c r="K1096">
        <f>raw_data!H1096</f>
        <v>11.35</v>
      </c>
      <c r="L1096" s="13">
        <f>raw_data!I1096</f>
        <v>14.42</v>
      </c>
      <c r="M1096" s="13">
        <f>raw_data!J1096</f>
        <v>10.02</v>
      </c>
    </row>
    <row r="1097" spans="1:13" x14ac:dyDescent="0.2">
      <c r="A1097" t="str">
        <f>raw_data!A1097</f>
        <v>2024Q4</v>
      </c>
      <c r="B1097" t="str">
        <f>raw_data!B1097</f>
        <v>Victoria</v>
      </c>
      <c r="C1097" t="str">
        <f>raw_data!C1097</f>
        <v>Manufacturing</v>
      </c>
      <c r="D1097">
        <f>raw_data!D1097</f>
        <v>12.58</v>
      </c>
      <c r="E1097">
        <f>raw_data!E1097</f>
        <v>65.38</v>
      </c>
      <c r="F1097">
        <f>raw_data!F1097</f>
        <v>9.9</v>
      </c>
      <c r="G1097">
        <f>raw_data!G1097</f>
        <v>27.61</v>
      </c>
      <c r="H1097">
        <f>(raw_data!D1097*weights!$B$2)+(raw_data!E1097*weights!$B$3)+(raw_data!F1097*weights!$B$4)</f>
        <v>27.615999999999996</v>
      </c>
      <c r="I1097" t="str">
        <f t="shared" si="34"/>
        <v>Moderate</v>
      </c>
      <c r="J1097" t="str">
        <f t="shared" si="35"/>
        <v>2024 Q4</v>
      </c>
      <c r="K1097">
        <f>raw_data!H1097</f>
        <v>5.03</v>
      </c>
      <c r="L1097" s="13">
        <f>raw_data!I1097</f>
        <v>19.62</v>
      </c>
      <c r="M1097" s="13">
        <f>raw_data!J1097</f>
        <v>2.97</v>
      </c>
    </row>
    <row r="1098" spans="1:13" x14ac:dyDescent="0.2">
      <c r="A1098" t="str">
        <f>raw_data!A1098</f>
        <v>2024Q4</v>
      </c>
      <c r="B1098" t="str">
        <f>raw_data!B1098</f>
        <v>Victoria</v>
      </c>
      <c r="C1098" t="str">
        <f>raw_data!C1098</f>
        <v>Professional, Scientific and Technical Services</v>
      </c>
      <c r="D1098">
        <f>raw_data!D1098</f>
        <v>28.22</v>
      </c>
      <c r="E1098">
        <f>raw_data!E1098</f>
        <v>48.08</v>
      </c>
      <c r="F1098">
        <f>raw_data!F1098</f>
        <v>21.42</v>
      </c>
      <c r="G1098">
        <f>raw_data!G1098</f>
        <v>32.14</v>
      </c>
      <c r="H1098">
        <f>(raw_data!D1098*weights!$B$2)+(raw_data!E1098*weights!$B$3)+(raw_data!F1098*weights!$B$4)</f>
        <v>32.137999999999998</v>
      </c>
      <c r="I1098" t="str">
        <f t="shared" si="34"/>
        <v>Moderate</v>
      </c>
      <c r="J1098" t="str">
        <f t="shared" si="35"/>
        <v>2024 Q4</v>
      </c>
      <c r="K1098">
        <f>raw_data!H1098</f>
        <v>11.29</v>
      </c>
      <c r="L1098" s="13">
        <f>raw_data!I1098</f>
        <v>14.42</v>
      </c>
      <c r="M1098" s="13">
        <f>raw_data!J1098</f>
        <v>6.43</v>
      </c>
    </row>
    <row r="1099" spans="1:13" x14ac:dyDescent="0.2">
      <c r="A1099" t="str">
        <f>raw_data!A1099</f>
        <v>2025Q1</v>
      </c>
      <c r="B1099" t="str">
        <f>raw_data!B1099</f>
        <v>New South Wales</v>
      </c>
      <c r="C1099" t="str">
        <f>raw_data!C1099</f>
        <v>Accommodation and Food Services</v>
      </c>
      <c r="D1099">
        <f>raw_data!D1099</f>
        <v>39.92</v>
      </c>
      <c r="E1099">
        <f>raw_data!E1099</f>
        <v>57.69</v>
      </c>
      <c r="F1099">
        <f>raw_data!F1099</f>
        <v>10.75</v>
      </c>
      <c r="G1099">
        <f>raw_data!G1099</f>
        <v>36.5</v>
      </c>
      <c r="H1099">
        <f>(raw_data!D1099*weights!$B$2)+(raw_data!E1099*weights!$B$3)+(raw_data!F1099*weights!$B$4)</f>
        <v>36.5</v>
      </c>
      <c r="I1099" t="str">
        <f t="shared" si="34"/>
        <v>Moderate</v>
      </c>
      <c r="J1099" t="str">
        <f t="shared" si="35"/>
        <v>2025 Q1</v>
      </c>
      <c r="K1099">
        <f>raw_data!H1099</f>
        <v>15.97</v>
      </c>
      <c r="L1099" s="13">
        <f>raw_data!I1099</f>
        <v>17.309999999999999</v>
      </c>
      <c r="M1099" s="13">
        <f>raw_data!J1099</f>
        <v>3.23</v>
      </c>
    </row>
    <row r="1100" spans="1:13" x14ac:dyDescent="0.2">
      <c r="A1100" t="str">
        <f>raw_data!A1100</f>
        <v>2025Q1</v>
      </c>
      <c r="B1100" t="str">
        <f>raw_data!B1100</f>
        <v>New South Wales</v>
      </c>
      <c r="C1100" t="str">
        <f>raw_data!C1100</f>
        <v>Construction</v>
      </c>
      <c r="D1100">
        <f>raw_data!D1100</f>
        <v>9.6</v>
      </c>
      <c r="E1100">
        <f>raw_data!E1100</f>
        <v>61.54</v>
      </c>
      <c r="F1100">
        <f>raw_data!F1100</f>
        <v>9.52</v>
      </c>
      <c r="G1100">
        <f>raw_data!G1100</f>
        <v>25.16</v>
      </c>
      <c r="H1100">
        <f>(raw_data!D1100*weights!$B$2)+(raw_data!E1100*weights!$B$3)+(raw_data!F1100*weights!$B$4)</f>
        <v>25.158000000000001</v>
      </c>
      <c r="I1100" t="str">
        <f t="shared" si="34"/>
        <v>Moderate</v>
      </c>
      <c r="J1100" t="str">
        <f t="shared" si="35"/>
        <v>2025 Q1</v>
      </c>
      <c r="K1100">
        <f>raw_data!H1100</f>
        <v>3.84</v>
      </c>
      <c r="L1100" s="13">
        <f>raw_data!I1100</f>
        <v>18.46</v>
      </c>
      <c r="M1100" s="13">
        <f>raw_data!J1100</f>
        <v>2.86</v>
      </c>
    </row>
    <row r="1101" spans="1:13" x14ac:dyDescent="0.2">
      <c r="A1101" t="str">
        <f>raw_data!A1101</f>
        <v>2025Q1</v>
      </c>
      <c r="B1101" t="str">
        <f>raw_data!B1101</f>
        <v>New South Wales</v>
      </c>
      <c r="C1101" t="str">
        <f>raw_data!C1101</f>
        <v>Education and Training</v>
      </c>
      <c r="D1101">
        <f>raw_data!D1101</f>
        <v>6.54</v>
      </c>
      <c r="E1101">
        <f>raw_data!E1101</f>
        <v>67.31</v>
      </c>
      <c r="F1101">
        <f>raw_data!F1101</f>
        <v>6.77</v>
      </c>
      <c r="G1101">
        <f>raw_data!G1101</f>
        <v>24.84</v>
      </c>
      <c r="H1101">
        <f>(raw_data!D1101*weights!$B$2)+(raw_data!E1101*weights!$B$3)+(raw_data!F1101*weights!$B$4)</f>
        <v>24.84</v>
      </c>
      <c r="I1101" t="str">
        <f t="shared" si="34"/>
        <v>Low</v>
      </c>
      <c r="J1101" t="str">
        <f t="shared" si="35"/>
        <v>2025 Q1</v>
      </c>
      <c r="K1101">
        <f>raw_data!H1101</f>
        <v>2.62</v>
      </c>
      <c r="L1101" s="13">
        <f>raw_data!I1101</f>
        <v>20.190000000000001</v>
      </c>
      <c r="M1101" s="13">
        <f>raw_data!J1101</f>
        <v>2.0299999999999998</v>
      </c>
    </row>
    <row r="1102" spans="1:13" x14ac:dyDescent="0.2">
      <c r="A1102" t="str">
        <f>raw_data!A1102</f>
        <v>2025Q1</v>
      </c>
      <c r="B1102" t="str">
        <f>raw_data!B1102</f>
        <v>New South Wales</v>
      </c>
      <c r="C1102" t="str">
        <f>raw_data!C1102</f>
        <v>Health Care and Social Assistance</v>
      </c>
      <c r="D1102">
        <f>raw_data!D1102</f>
        <v>21.38</v>
      </c>
      <c r="E1102">
        <f>raw_data!E1102</f>
        <v>67.31</v>
      </c>
      <c r="F1102">
        <f>raw_data!F1102</f>
        <v>24.68</v>
      </c>
      <c r="G1102">
        <f>raw_data!G1102</f>
        <v>36.15</v>
      </c>
      <c r="H1102">
        <f>(raw_data!D1102*weights!$B$2)+(raw_data!E1102*weights!$B$3)+(raw_data!F1102*weights!$B$4)</f>
        <v>36.149000000000001</v>
      </c>
      <c r="I1102" t="str">
        <f t="shared" si="34"/>
        <v>Moderate</v>
      </c>
      <c r="J1102" t="str">
        <f t="shared" si="35"/>
        <v>2025 Q1</v>
      </c>
      <c r="K1102">
        <f>raw_data!H1102</f>
        <v>8.5500000000000007</v>
      </c>
      <c r="L1102" s="13">
        <f>raw_data!I1102</f>
        <v>20.190000000000001</v>
      </c>
      <c r="M1102" s="13">
        <f>raw_data!J1102</f>
        <v>7.4</v>
      </c>
    </row>
    <row r="1103" spans="1:13" x14ac:dyDescent="0.2">
      <c r="A1103" t="str">
        <f>raw_data!A1103</f>
        <v>2025Q1</v>
      </c>
      <c r="B1103" t="str">
        <f>raw_data!B1103</f>
        <v>New South Wales</v>
      </c>
      <c r="C1103" t="str">
        <f>raw_data!C1103</f>
        <v>Manufacturing</v>
      </c>
      <c r="D1103">
        <f>raw_data!D1103</f>
        <v>18.12</v>
      </c>
      <c r="E1103">
        <f>raw_data!E1103</f>
        <v>61.54</v>
      </c>
      <c r="F1103">
        <f>raw_data!F1103</f>
        <v>9.2799999999999994</v>
      </c>
      <c r="G1103">
        <f>raw_data!G1103</f>
        <v>28.49</v>
      </c>
      <c r="H1103">
        <f>(raw_data!D1103*weights!$B$2)+(raw_data!E1103*weights!$B$3)+(raw_data!F1103*weights!$B$4)</f>
        <v>28.494</v>
      </c>
      <c r="I1103" t="str">
        <f t="shared" si="34"/>
        <v>Moderate</v>
      </c>
      <c r="J1103" t="str">
        <f t="shared" si="35"/>
        <v>2025 Q1</v>
      </c>
      <c r="K1103">
        <f>raw_data!H1103</f>
        <v>7.25</v>
      </c>
      <c r="L1103" s="13">
        <f>raw_data!I1103</f>
        <v>18.46</v>
      </c>
      <c r="M1103" s="13">
        <f>raw_data!J1103</f>
        <v>2.78</v>
      </c>
    </row>
    <row r="1104" spans="1:13" x14ac:dyDescent="0.2">
      <c r="A1104" t="str">
        <f>raw_data!A1104</f>
        <v>2025Q1</v>
      </c>
      <c r="B1104" t="str">
        <f>raw_data!B1104</f>
        <v>New South Wales</v>
      </c>
      <c r="C1104" t="str">
        <f>raw_data!C1104</f>
        <v>Professional, Scientific and Technical Services</v>
      </c>
      <c r="D1104">
        <f>raw_data!D1104</f>
        <v>21.48</v>
      </c>
      <c r="E1104">
        <f>raw_data!E1104</f>
        <v>50</v>
      </c>
      <c r="F1104">
        <f>raw_data!F1104</f>
        <v>10.47</v>
      </c>
      <c r="G1104">
        <f>raw_data!G1104</f>
        <v>26.73</v>
      </c>
      <c r="H1104">
        <f>(raw_data!D1104*weights!$B$2)+(raw_data!E1104*weights!$B$3)+(raw_data!F1104*weights!$B$4)</f>
        <v>26.732999999999997</v>
      </c>
      <c r="I1104" t="str">
        <f t="shared" si="34"/>
        <v>Moderate</v>
      </c>
      <c r="J1104" t="str">
        <f t="shared" si="35"/>
        <v>2025 Q1</v>
      </c>
      <c r="K1104">
        <f>raw_data!H1104</f>
        <v>8.59</v>
      </c>
      <c r="L1104" s="13">
        <f>raw_data!I1104</f>
        <v>15</v>
      </c>
      <c r="M1104" s="13">
        <f>raw_data!J1104</f>
        <v>3.14</v>
      </c>
    </row>
    <row r="1105" spans="1:13" x14ac:dyDescent="0.2">
      <c r="A1105" t="str">
        <f>raw_data!A1105</f>
        <v>2025Q1</v>
      </c>
      <c r="B1105" t="str">
        <f>raw_data!B1105</f>
        <v>Queensland</v>
      </c>
      <c r="C1105" t="str">
        <f>raw_data!C1105</f>
        <v>Accommodation and Food Services</v>
      </c>
      <c r="D1105">
        <f>raw_data!D1105</f>
        <v>58.57</v>
      </c>
      <c r="E1105">
        <f>raw_data!E1105</f>
        <v>57.69</v>
      </c>
      <c r="F1105">
        <f>raw_data!F1105</f>
        <v>20.22</v>
      </c>
      <c r="G1105">
        <f>raw_data!G1105</f>
        <v>46.8</v>
      </c>
      <c r="H1105">
        <f>(raw_data!D1105*weights!$B$2)+(raw_data!E1105*weights!$B$3)+(raw_data!F1105*weights!$B$4)</f>
        <v>46.801000000000002</v>
      </c>
      <c r="I1105" t="str">
        <f t="shared" si="34"/>
        <v>High</v>
      </c>
      <c r="J1105" t="str">
        <f t="shared" si="35"/>
        <v>2025 Q1</v>
      </c>
      <c r="K1105">
        <f>raw_data!H1105</f>
        <v>23.43</v>
      </c>
      <c r="L1105" s="13">
        <f>raw_data!I1105</f>
        <v>17.309999999999999</v>
      </c>
      <c r="M1105" s="13">
        <f>raw_data!J1105</f>
        <v>6.07</v>
      </c>
    </row>
    <row r="1106" spans="1:13" x14ac:dyDescent="0.2">
      <c r="A1106" t="str">
        <f>raw_data!A1106</f>
        <v>2025Q1</v>
      </c>
      <c r="B1106" t="str">
        <f>raw_data!B1106</f>
        <v>Queensland</v>
      </c>
      <c r="C1106" t="str">
        <f>raw_data!C1106</f>
        <v>Construction</v>
      </c>
      <c r="D1106">
        <f>raw_data!D1106</f>
        <v>16.079999999999998</v>
      </c>
      <c r="E1106">
        <f>raw_data!E1106</f>
        <v>61.54</v>
      </c>
      <c r="F1106">
        <f>raw_data!F1106</f>
        <v>11.01</v>
      </c>
      <c r="G1106">
        <f>raw_data!G1106</f>
        <v>28.2</v>
      </c>
      <c r="H1106">
        <f>(raw_data!D1106*weights!$B$2)+(raw_data!E1106*weights!$B$3)+(raw_data!F1106*weights!$B$4)</f>
        <v>28.196999999999999</v>
      </c>
      <c r="I1106" t="str">
        <f t="shared" si="34"/>
        <v>Moderate</v>
      </c>
      <c r="J1106" t="str">
        <f t="shared" si="35"/>
        <v>2025 Q1</v>
      </c>
      <c r="K1106">
        <f>raw_data!H1106</f>
        <v>6.43</v>
      </c>
      <c r="L1106" s="13">
        <f>raw_data!I1106</f>
        <v>18.46</v>
      </c>
      <c r="M1106" s="13">
        <f>raw_data!J1106</f>
        <v>3.3</v>
      </c>
    </row>
    <row r="1107" spans="1:13" x14ac:dyDescent="0.2">
      <c r="A1107" t="str">
        <f>raw_data!A1107</f>
        <v>2025Q1</v>
      </c>
      <c r="B1107" t="str">
        <f>raw_data!B1107</f>
        <v>Queensland</v>
      </c>
      <c r="C1107" t="str">
        <f>raw_data!C1107</f>
        <v>Education and Training</v>
      </c>
      <c r="D1107">
        <f>raw_data!D1107</f>
        <v>12.04</v>
      </c>
      <c r="E1107">
        <f>raw_data!E1107</f>
        <v>67.31</v>
      </c>
      <c r="F1107">
        <f>raw_data!F1107</f>
        <v>8.7899999999999991</v>
      </c>
      <c r="G1107">
        <f>raw_data!G1107</f>
        <v>27.65</v>
      </c>
      <c r="H1107">
        <f>(raw_data!D1107*weights!$B$2)+(raw_data!E1107*weights!$B$3)+(raw_data!F1107*weights!$B$4)</f>
        <v>27.646000000000001</v>
      </c>
      <c r="I1107" t="str">
        <f t="shared" si="34"/>
        <v>Moderate</v>
      </c>
      <c r="J1107" t="str">
        <f t="shared" si="35"/>
        <v>2025 Q1</v>
      </c>
      <c r="K1107">
        <f>raw_data!H1107</f>
        <v>4.82</v>
      </c>
      <c r="L1107" s="13">
        <f>raw_data!I1107</f>
        <v>20.190000000000001</v>
      </c>
      <c r="M1107" s="13">
        <f>raw_data!J1107</f>
        <v>2.64</v>
      </c>
    </row>
    <row r="1108" spans="1:13" x14ac:dyDescent="0.2">
      <c r="A1108" t="str">
        <f>raw_data!A1108</f>
        <v>2025Q1</v>
      </c>
      <c r="B1108" t="str">
        <f>raw_data!B1108</f>
        <v>Queensland</v>
      </c>
      <c r="C1108" t="str">
        <f>raw_data!C1108</f>
        <v>Health Care and Social Assistance</v>
      </c>
      <c r="D1108">
        <f>raw_data!D1108</f>
        <v>31.45</v>
      </c>
      <c r="E1108">
        <f>raw_data!E1108</f>
        <v>67.31</v>
      </c>
      <c r="F1108">
        <f>raw_data!F1108</f>
        <v>43.19</v>
      </c>
      <c r="G1108">
        <f>raw_data!G1108</f>
        <v>45.73</v>
      </c>
      <c r="H1108">
        <f>(raw_data!D1108*weights!$B$2)+(raw_data!E1108*weights!$B$3)+(raw_data!F1108*weights!$B$4)</f>
        <v>45.730000000000004</v>
      </c>
      <c r="I1108" t="str">
        <f t="shared" si="34"/>
        <v>High</v>
      </c>
      <c r="J1108" t="str">
        <f t="shared" si="35"/>
        <v>2025 Q1</v>
      </c>
      <c r="K1108">
        <f>raw_data!H1108</f>
        <v>12.58</v>
      </c>
      <c r="L1108" s="13">
        <f>raw_data!I1108</f>
        <v>20.190000000000001</v>
      </c>
      <c r="M1108" s="13">
        <f>raw_data!J1108</f>
        <v>12.96</v>
      </c>
    </row>
    <row r="1109" spans="1:13" x14ac:dyDescent="0.2">
      <c r="A1109" t="str">
        <f>raw_data!A1109</f>
        <v>2025Q1</v>
      </c>
      <c r="B1109" t="str">
        <f>raw_data!B1109</f>
        <v>Queensland</v>
      </c>
      <c r="C1109" t="str">
        <f>raw_data!C1109</f>
        <v>Manufacturing</v>
      </c>
      <c r="D1109">
        <f>raw_data!D1109</f>
        <v>28.15</v>
      </c>
      <c r="E1109">
        <f>raw_data!E1109</f>
        <v>61.54</v>
      </c>
      <c r="F1109">
        <f>raw_data!F1109</f>
        <v>13.05</v>
      </c>
      <c r="G1109">
        <f>raw_data!G1109</f>
        <v>33.64</v>
      </c>
      <c r="H1109">
        <f>(raw_data!D1109*weights!$B$2)+(raw_data!E1109*weights!$B$3)+(raw_data!F1109*weights!$B$4)</f>
        <v>33.637</v>
      </c>
      <c r="I1109" t="str">
        <f t="shared" si="34"/>
        <v>Moderate</v>
      </c>
      <c r="J1109" t="str">
        <f t="shared" si="35"/>
        <v>2025 Q1</v>
      </c>
      <c r="K1109">
        <f>raw_data!H1109</f>
        <v>11.26</v>
      </c>
      <c r="L1109" s="13">
        <f>raw_data!I1109</f>
        <v>18.46</v>
      </c>
      <c r="M1109" s="13">
        <f>raw_data!J1109</f>
        <v>3.91</v>
      </c>
    </row>
    <row r="1110" spans="1:13" x14ac:dyDescent="0.2">
      <c r="A1110" t="str">
        <f>raw_data!A1110</f>
        <v>2025Q1</v>
      </c>
      <c r="B1110" t="str">
        <f>raw_data!B1110</f>
        <v>Queensland</v>
      </c>
      <c r="C1110" t="str">
        <f>raw_data!C1110</f>
        <v>Professional, Scientific and Technical Services</v>
      </c>
      <c r="D1110">
        <f>raw_data!D1110</f>
        <v>41.14</v>
      </c>
      <c r="E1110">
        <f>raw_data!E1110</f>
        <v>50</v>
      </c>
      <c r="F1110">
        <f>raw_data!F1110</f>
        <v>19.559999999999999</v>
      </c>
      <c r="G1110">
        <f>raw_data!G1110</f>
        <v>37.32</v>
      </c>
      <c r="H1110">
        <f>(raw_data!D1110*weights!$B$2)+(raw_data!E1110*weights!$B$3)+(raw_data!F1110*weights!$B$4)</f>
        <v>37.323999999999998</v>
      </c>
      <c r="I1110" t="str">
        <f t="shared" si="34"/>
        <v>Moderate</v>
      </c>
      <c r="J1110" t="str">
        <f t="shared" si="35"/>
        <v>2025 Q1</v>
      </c>
      <c r="K1110">
        <f>raw_data!H1110</f>
        <v>16.45</v>
      </c>
      <c r="L1110" s="13">
        <f>raw_data!I1110</f>
        <v>15</v>
      </c>
      <c r="M1110" s="13">
        <f>raw_data!J1110</f>
        <v>5.87</v>
      </c>
    </row>
    <row r="1111" spans="1:13" x14ac:dyDescent="0.2">
      <c r="A1111" t="str">
        <f>raw_data!A1111</f>
        <v>2025Q1</v>
      </c>
      <c r="B1111" t="str">
        <f>raw_data!B1111</f>
        <v>Victoria</v>
      </c>
      <c r="C1111" t="str">
        <f>raw_data!C1111</f>
        <v>Accommodation and Food Services</v>
      </c>
      <c r="D1111">
        <f>raw_data!D1111</f>
        <v>54.53</v>
      </c>
      <c r="E1111">
        <f>raw_data!E1111</f>
        <v>57.69</v>
      </c>
      <c r="F1111">
        <f>raw_data!F1111</f>
        <v>9.32</v>
      </c>
      <c r="G1111">
        <f>raw_data!G1111</f>
        <v>41.91</v>
      </c>
      <c r="H1111">
        <f>(raw_data!D1111*weights!$B$2)+(raw_data!E1111*weights!$B$3)+(raw_data!F1111*weights!$B$4)</f>
        <v>41.914999999999999</v>
      </c>
      <c r="I1111" t="str">
        <f t="shared" si="34"/>
        <v>Moderate</v>
      </c>
      <c r="J1111" t="str">
        <f t="shared" si="35"/>
        <v>2025 Q1</v>
      </c>
      <c r="K1111">
        <f>raw_data!H1111</f>
        <v>21.81</v>
      </c>
      <c r="L1111" s="13">
        <f>raw_data!I1111</f>
        <v>17.309999999999999</v>
      </c>
      <c r="M1111" s="13">
        <f>raw_data!J1111</f>
        <v>2.8</v>
      </c>
    </row>
    <row r="1112" spans="1:13" x14ac:dyDescent="0.2">
      <c r="A1112" t="str">
        <f>raw_data!A1112</f>
        <v>2025Q1</v>
      </c>
      <c r="B1112" t="str">
        <f>raw_data!B1112</f>
        <v>Victoria</v>
      </c>
      <c r="C1112" t="str">
        <f>raw_data!C1112</f>
        <v>Construction</v>
      </c>
      <c r="D1112">
        <f>raw_data!D1112</f>
        <v>12.67</v>
      </c>
      <c r="E1112">
        <f>raw_data!E1112</f>
        <v>61.54</v>
      </c>
      <c r="F1112">
        <f>raw_data!F1112</f>
        <v>9.3800000000000008</v>
      </c>
      <c r="G1112">
        <f>raw_data!G1112</f>
        <v>26.35</v>
      </c>
      <c r="H1112">
        <f>(raw_data!D1112*weights!$B$2)+(raw_data!E1112*weights!$B$3)+(raw_data!F1112*weights!$B$4)</f>
        <v>26.344000000000001</v>
      </c>
      <c r="I1112" t="str">
        <f t="shared" si="34"/>
        <v>Moderate</v>
      </c>
      <c r="J1112" t="str">
        <f t="shared" si="35"/>
        <v>2025 Q1</v>
      </c>
      <c r="K1112">
        <f>raw_data!H1112</f>
        <v>5.07</v>
      </c>
      <c r="L1112" s="13">
        <f>raw_data!I1112</f>
        <v>18.46</v>
      </c>
      <c r="M1112" s="13">
        <f>raw_data!J1112</f>
        <v>2.81</v>
      </c>
    </row>
    <row r="1113" spans="1:13" x14ac:dyDescent="0.2">
      <c r="A1113" t="str">
        <f>raw_data!A1113</f>
        <v>2025Q1</v>
      </c>
      <c r="B1113" t="str">
        <f>raw_data!B1113</f>
        <v>Victoria</v>
      </c>
      <c r="C1113" t="str">
        <f>raw_data!C1113</f>
        <v>Education and Training</v>
      </c>
      <c r="D1113">
        <f>raw_data!D1113</f>
        <v>7.52</v>
      </c>
      <c r="E1113">
        <f>raw_data!E1113</f>
        <v>67.31</v>
      </c>
      <c r="F1113">
        <f>raw_data!F1113</f>
        <v>8.6</v>
      </c>
      <c r="G1113">
        <f>raw_data!G1113</f>
        <v>25.78</v>
      </c>
      <c r="H1113">
        <f>(raw_data!D1113*weights!$B$2)+(raw_data!E1113*weights!$B$3)+(raw_data!F1113*weights!$B$4)</f>
        <v>25.780999999999999</v>
      </c>
      <c r="I1113" t="str">
        <f t="shared" si="34"/>
        <v>Moderate</v>
      </c>
      <c r="J1113" t="str">
        <f t="shared" si="35"/>
        <v>2025 Q1</v>
      </c>
      <c r="K1113">
        <f>raw_data!H1113</f>
        <v>3.01</v>
      </c>
      <c r="L1113" s="13">
        <f>raw_data!I1113</f>
        <v>20.190000000000001</v>
      </c>
      <c r="M1113" s="13">
        <f>raw_data!J1113</f>
        <v>2.58</v>
      </c>
    </row>
    <row r="1114" spans="1:13" x14ac:dyDescent="0.2">
      <c r="A1114" t="str">
        <f>raw_data!A1114</f>
        <v>2025Q1</v>
      </c>
      <c r="B1114" t="str">
        <f>raw_data!B1114</f>
        <v>Victoria</v>
      </c>
      <c r="C1114" t="str">
        <f>raw_data!C1114</f>
        <v>Health Care and Social Assistance</v>
      </c>
      <c r="D1114">
        <f>raw_data!D1114</f>
        <v>25.48</v>
      </c>
      <c r="E1114">
        <f>raw_data!E1114</f>
        <v>67.31</v>
      </c>
      <c r="F1114">
        <f>raw_data!F1114</f>
        <v>18.97</v>
      </c>
      <c r="G1114">
        <f>raw_data!G1114</f>
        <v>36.08</v>
      </c>
      <c r="H1114">
        <f>(raw_data!D1114*weights!$B$2)+(raw_data!E1114*weights!$B$3)+(raw_data!F1114*weights!$B$4)</f>
        <v>36.076000000000001</v>
      </c>
      <c r="I1114" t="str">
        <f t="shared" si="34"/>
        <v>Moderate</v>
      </c>
      <c r="J1114" t="str">
        <f t="shared" si="35"/>
        <v>2025 Q1</v>
      </c>
      <c r="K1114">
        <f>raw_data!H1114</f>
        <v>10.19</v>
      </c>
      <c r="L1114" s="13">
        <f>raw_data!I1114</f>
        <v>20.190000000000001</v>
      </c>
      <c r="M1114" s="13">
        <f>raw_data!J1114</f>
        <v>5.69</v>
      </c>
    </row>
    <row r="1115" spans="1:13" x14ac:dyDescent="0.2">
      <c r="A1115" t="str">
        <f>raw_data!A1115</f>
        <v>2025Q1</v>
      </c>
      <c r="B1115" t="str">
        <f>raw_data!B1115</f>
        <v>Victoria</v>
      </c>
      <c r="C1115" t="str">
        <f>raw_data!C1115</f>
        <v>Manufacturing</v>
      </c>
      <c r="D1115">
        <f>raw_data!D1115</f>
        <v>16.920000000000002</v>
      </c>
      <c r="E1115">
        <f>raw_data!E1115</f>
        <v>61.54</v>
      </c>
      <c r="F1115">
        <f>raw_data!F1115</f>
        <v>9.16</v>
      </c>
      <c r="G1115">
        <f>raw_data!G1115</f>
        <v>27.98</v>
      </c>
      <c r="H1115">
        <f>(raw_data!D1115*weights!$B$2)+(raw_data!E1115*weights!$B$3)+(raw_data!F1115*weights!$B$4)</f>
        <v>27.978000000000002</v>
      </c>
      <c r="I1115" t="str">
        <f t="shared" si="34"/>
        <v>Moderate</v>
      </c>
      <c r="J1115" t="str">
        <f t="shared" si="35"/>
        <v>2025 Q1</v>
      </c>
      <c r="K1115">
        <f>raw_data!H1115</f>
        <v>6.77</v>
      </c>
      <c r="L1115" s="13">
        <f>raw_data!I1115</f>
        <v>18.46</v>
      </c>
      <c r="M1115" s="13">
        <f>raw_data!J1115</f>
        <v>2.75</v>
      </c>
    </row>
    <row r="1116" spans="1:13" x14ac:dyDescent="0.2">
      <c r="A1116" t="str">
        <f>raw_data!A1116</f>
        <v>2025Q1</v>
      </c>
      <c r="B1116" t="str">
        <f>raw_data!B1116</f>
        <v>Victoria</v>
      </c>
      <c r="C1116" t="str">
        <f>raw_data!C1116</f>
        <v>Professional, Scientific and Technical Services</v>
      </c>
      <c r="D1116">
        <f>raw_data!D1116</f>
        <v>24.57</v>
      </c>
      <c r="E1116">
        <f>raw_data!E1116</f>
        <v>50</v>
      </c>
      <c r="F1116">
        <f>raw_data!F1116</f>
        <v>10.55</v>
      </c>
      <c r="G1116">
        <f>raw_data!G1116</f>
        <v>27.99</v>
      </c>
      <c r="H1116">
        <f>(raw_data!D1116*weights!$B$2)+(raw_data!E1116*weights!$B$3)+(raw_data!F1116*weights!$B$4)</f>
        <v>27.993000000000002</v>
      </c>
      <c r="I1116" t="str">
        <f t="shared" si="34"/>
        <v>Moderate</v>
      </c>
      <c r="J1116" t="str">
        <f t="shared" si="35"/>
        <v>2025 Q1</v>
      </c>
      <c r="K1116">
        <f>raw_data!H1116</f>
        <v>9.83</v>
      </c>
      <c r="L1116" s="13">
        <f>raw_data!I1116</f>
        <v>15</v>
      </c>
      <c r="M1116" s="13">
        <f>raw_data!J1116</f>
        <v>3.16</v>
      </c>
    </row>
    <row r="1117" spans="1:13" x14ac:dyDescent="0.2">
      <c r="A1117" t="str">
        <f>raw_data!A1117</f>
        <v>2025Q2</v>
      </c>
      <c r="B1117" t="str">
        <f>raw_data!B1117</f>
        <v>New South Wales</v>
      </c>
      <c r="C1117" t="str">
        <f>raw_data!C1117</f>
        <v>Accommodation and Food Services</v>
      </c>
      <c r="D1117">
        <f>raw_data!D1117</f>
        <v>48.28</v>
      </c>
      <c r="E1117">
        <f>raw_data!E1117</f>
        <v>57.69</v>
      </c>
      <c r="F1117">
        <f>raw_data!F1117</f>
        <v>15.55</v>
      </c>
      <c r="G1117">
        <f>raw_data!G1117</f>
        <v>41.28</v>
      </c>
      <c r="H1117">
        <f>(raw_data!D1117*weights!$B$2)+(raw_data!E1117*weights!$B$3)+(raw_data!F1117*weights!$B$4)</f>
        <v>41.283999999999999</v>
      </c>
      <c r="I1117" t="str">
        <f t="shared" si="34"/>
        <v>Moderate</v>
      </c>
      <c r="J1117" t="str">
        <f t="shared" si="35"/>
        <v>2025 Q2</v>
      </c>
      <c r="K1117">
        <f>raw_data!H1117</f>
        <v>19.309999999999999</v>
      </c>
      <c r="L1117" s="13">
        <f>raw_data!I1117</f>
        <v>17.309999999999999</v>
      </c>
      <c r="M1117" s="13">
        <f>raw_data!J1117</f>
        <v>4.66</v>
      </c>
    </row>
    <row r="1118" spans="1:13" x14ac:dyDescent="0.2">
      <c r="A1118" t="str">
        <f>raw_data!A1118</f>
        <v>2025Q2</v>
      </c>
      <c r="B1118" t="str">
        <f>raw_data!B1118</f>
        <v>New South Wales</v>
      </c>
      <c r="C1118" t="str">
        <f>raw_data!C1118</f>
        <v>Construction</v>
      </c>
      <c r="D1118">
        <f>raw_data!D1118</f>
        <v>13.66</v>
      </c>
      <c r="E1118">
        <f>raw_data!E1118</f>
        <v>55.77</v>
      </c>
      <c r="F1118">
        <f>raw_data!F1118</f>
        <v>11.23</v>
      </c>
      <c r="G1118">
        <f>raw_data!G1118</f>
        <v>25.56</v>
      </c>
      <c r="H1118">
        <f>(raw_data!D1118*weights!$B$2)+(raw_data!E1118*weights!$B$3)+(raw_data!F1118*weights!$B$4)</f>
        <v>25.564</v>
      </c>
      <c r="I1118" t="str">
        <f t="shared" si="34"/>
        <v>Moderate</v>
      </c>
      <c r="J1118" t="str">
        <f t="shared" si="35"/>
        <v>2025 Q2</v>
      </c>
      <c r="K1118">
        <f>raw_data!H1118</f>
        <v>5.46</v>
      </c>
      <c r="L1118" s="13">
        <f>raw_data!I1118</f>
        <v>16.73</v>
      </c>
      <c r="M1118" s="13">
        <f>raw_data!J1118</f>
        <v>3.37</v>
      </c>
    </row>
    <row r="1119" spans="1:13" x14ac:dyDescent="0.2">
      <c r="A1119" t="str">
        <f>raw_data!A1119</f>
        <v>2025Q2</v>
      </c>
      <c r="B1119" t="str">
        <f>raw_data!B1119</f>
        <v>New South Wales</v>
      </c>
      <c r="C1119" t="str">
        <f>raw_data!C1119</f>
        <v>Education and Training</v>
      </c>
      <c r="D1119">
        <f>raw_data!D1119</f>
        <v>6.53</v>
      </c>
      <c r="E1119">
        <f>raw_data!E1119</f>
        <v>63.46</v>
      </c>
      <c r="F1119">
        <f>raw_data!F1119</f>
        <v>5.67</v>
      </c>
      <c r="G1119">
        <f>raw_data!G1119</f>
        <v>23.35</v>
      </c>
      <c r="H1119">
        <f>(raw_data!D1119*weights!$B$2)+(raw_data!E1119*weights!$B$3)+(raw_data!F1119*weights!$B$4)</f>
        <v>23.350999999999999</v>
      </c>
      <c r="I1119" t="str">
        <f t="shared" si="34"/>
        <v>Low</v>
      </c>
      <c r="J1119" t="str">
        <f t="shared" si="35"/>
        <v>2025 Q2</v>
      </c>
      <c r="K1119">
        <f>raw_data!H1119</f>
        <v>2.61</v>
      </c>
      <c r="L1119" s="13">
        <f>raw_data!I1119</f>
        <v>19.04</v>
      </c>
      <c r="M1119" s="13">
        <f>raw_data!J1119</f>
        <v>1.7</v>
      </c>
    </row>
    <row r="1120" spans="1:13" x14ac:dyDescent="0.2">
      <c r="A1120" t="str">
        <f>raw_data!A1120</f>
        <v>2025Q2</v>
      </c>
      <c r="B1120" t="str">
        <f>raw_data!B1120</f>
        <v>New South Wales</v>
      </c>
      <c r="C1120" t="str">
        <f>raw_data!C1120</f>
        <v>Health Care and Social Assistance</v>
      </c>
      <c r="D1120">
        <f>raw_data!D1120</f>
        <v>19.739999999999998</v>
      </c>
      <c r="E1120">
        <f>raw_data!E1120</f>
        <v>69.23</v>
      </c>
      <c r="F1120">
        <f>raw_data!F1120</f>
        <v>28.37</v>
      </c>
      <c r="G1120">
        <f>raw_data!G1120</f>
        <v>37.17</v>
      </c>
      <c r="H1120">
        <f>(raw_data!D1120*weights!$B$2)+(raw_data!E1120*weights!$B$3)+(raw_data!F1120*weights!$B$4)</f>
        <v>37.176000000000002</v>
      </c>
      <c r="I1120" t="str">
        <f t="shared" si="34"/>
        <v>Moderate</v>
      </c>
      <c r="J1120" t="str">
        <f t="shared" si="35"/>
        <v>2025 Q2</v>
      </c>
      <c r="K1120">
        <f>raw_data!H1120</f>
        <v>7.9</v>
      </c>
      <c r="L1120" s="13">
        <f>raw_data!I1120</f>
        <v>20.77</v>
      </c>
      <c r="M1120" s="13">
        <f>raw_data!J1120</f>
        <v>8.51</v>
      </c>
    </row>
    <row r="1121" spans="1:13" x14ac:dyDescent="0.2">
      <c r="A1121" t="str">
        <f>raw_data!A1121</f>
        <v>2025Q2</v>
      </c>
      <c r="B1121" t="str">
        <f>raw_data!B1121</f>
        <v>New South Wales</v>
      </c>
      <c r="C1121" t="str">
        <f>raw_data!C1121</f>
        <v>Manufacturing</v>
      </c>
      <c r="D1121">
        <f>raw_data!D1121</f>
        <v>20.22</v>
      </c>
      <c r="E1121">
        <f>raw_data!E1121</f>
        <v>59.62</v>
      </c>
      <c r="F1121">
        <f>raw_data!F1121</f>
        <v>8.77</v>
      </c>
      <c r="G1121">
        <f>raw_data!G1121</f>
        <v>28.6</v>
      </c>
      <c r="H1121">
        <f>(raw_data!D1121*weights!$B$2)+(raw_data!E1121*weights!$B$3)+(raw_data!F1121*weights!$B$4)</f>
        <v>28.604999999999997</v>
      </c>
      <c r="I1121" t="str">
        <f t="shared" si="34"/>
        <v>Moderate</v>
      </c>
      <c r="J1121" t="str">
        <f t="shared" si="35"/>
        <v>2025 Q2</v>
      </c>
      <c r="K1121">
        <f>raw_data!H1121</f>
        <v>8.09</v>
      </c>
      <c r="L1121" s="13">
        <f>raw_data!I1121</f>
        <v>17.88</v>
      </c>
      <c r="M1121" s="13">
        <f>raw_data!J1121</f>
        <v>2.63</v>
      </c>
    </row>
    <row r="1122" spans="1:13" x14ac:dyDescent="0.2">
      <c r="A1122" t="str">
        <f>raw_data!A1122</f>
        <v>2025Q2</v>
      </c>
      <c r="B1122" t="str">
        <f>raw_data!B1122</f>
        <v>New South Wales</v>
      </c>
      <c r="C1122" t="str">
        <f>raw_data!C1122</f>
        <v>Professional, Scientific and Technical Services</v>
      </c>
      <c r="D1122">
        <f>raw_data!D1122</f>
        <v>21.17</v>
      </c>
      <c r="E1122">
        <f>raw_data!E1122</f>
        <v>51.92</v>
      </c>
      <c r="F1122">
        <f>raw_data!F1122</f>
        <v>20.34</v>
      </c>
      <c r="G1122">
        <f>raw_data!G1122</f>
        <v>30.15</v>
      </c>
      <c r="H1122">
        <f>(raw_data!D1122*weights!$B$2)+(raw_data!E1122*weights!$B$3)+(raw_data!F1122*weights!$B$4)</f>
        <v>30.146000000000004</v>
      </c>
      <c r="I1122" t="str">
        <f t="shared" si="34"/>
        <v>Moderate</v>
      </c>
      <c r="J1122" t="str">
        <f t="shared" si="35"/>
        <v>2025 Q2</v>
      </c>
      <c r="K1122">
        <f>raw_data!H1122</f>
        <v>8.4700000000000006</v>
      </c>
      <c r="L1122" s="13">
        <f>raw_data!I1122</f>
        <v>15.58</v>
      </c>
      <c r="M1122" s="13">
        <f>raw_data!J1122</f>
        <v>6.1</v>
      </c>
    </row>
    <row r="1123" spans="1:13" x14ac:dyDescent="0.2">
      <c r="A1123" t="str">
        <f>raw_data!A1123</f>
        <v>2025Q2</v>
      </c>
      <c r="B1123" t="str">
        <f>raw_data!B1123</f>
        <v>Queensland</v>
      </c>
      <c r="C1123" t="str">
        <f>raw_data!C1123</f>
        <v>Accommodation and Food Services</v>
      </c>
      <c r="D1123">
        <f>raw_data!D1123</f>
        <v>57.98</v>
      </c>
      <c r="E1123">
        <f>raw_data!E1123</f>
        <v>57.69</v>
      </c>
      <c r="F1123">
        <f>raw_data!F1123</f>
        <v>12.92</v>
      </c>
      <c r="G1123">
        <f>raw_data!G1123</f>
        <v>44.37</v>
      </c>
      <c r="H1123">
        <f>(raw_data!D1123*weights!$B$2)+(raw_data!E1123*weights!$B$3)+(raw_data!F1123*weights!$B$4)</f>
        <v>44.374999999999993</v>
      </c>
      <c r="I1123" t="str">
        <f t="shared" si="34"/>
        <v>Moderate</v>
      </c>
      <c r="J1123" t="str">
        <f t="shared" si="35"/>
        <v>2025 Q2</v>
      </c>
      <c r="K1123">
        <f>raw_data!H1123</f>
        <v>23.19</v>
      </c>
      <c r="L1123" s="13">
        <f>raw_data!I1123</f>
        <v>17.309999999999999</v>
      </c>
      <c r="M1123" s="13">
        <f>raw_data!J1123</f>
        <v>3.87</v>
      </c>
    </row>
    <row r="1124" spans="1:13" x14ac:dyDescent="0.2">
      <c r="A1124" t="str">
        <f>raw_data!A1124</f>
        <v>2025Q2</v>
      </c>
      <c r="B1124" t="str">
        <f>raw_data!B1124</f>
        <v>Queensland</v>
      </c>
      <c r="C1124" t="str">
        <f>raw_data!C1124</f>
        <v>Construction</v>
      </c>
      <c r="D1124">
        <f>raw_data!D1124</f>
        <v>20.04</v>
      </c>
      <c r="E1124">
        <f>raw_data!E1124</f>
        <v>55.77</v>
      </c>
      <c r="F1124">
        <f>raw_data!F1124</f>
        <v>30.84</v>
      </c>
      <c r="G1124">
        <f>raw_data!G1124</f>
        <v>34</v>
      </c>
      <c r="H1124">
        <f>(raw_data!D1124*weights!$B$2)+(raw_data!E1124*weights!$B$3)+(raw_data!F1124*weights!$B$4)</f>
        <v>33.998999999999995</v>
      </c>
      <c r="I1124" t="str">
        <f t="shared" si="34"/>
        <v>Moderate</v>
      </c>
      <c r="J1124" t="str">
        <f t="shared" si="35"/>
        <v>2025 Q2</v>
      </c>
      <c r="K1124">
        <f>raw_data!H1124</f>
        <v>8.02</v>
      </c>
      <c r="L1124" s="13">
        <f>raw_data!I1124</f>
        <v>16.73</v>
      </c>
      <c r="M1124" s="13">
        <f>raw_data!J1124</f>
        <v>9.25</v>
      </c>
    </row>
    <row r="1125" spans="1:13" x14ac:dyDescent="0.2">
      <c r="A1125" t="str">
        <f>raw_data!A1125</f>
        <v>2025Q2</v>
      </c>
      <c r="B1125" t="str">
        <f>raw_data!B1125</f>
        <v>Queensland</v>
      </c>
      <c r="C1125" t="str">
        <f>raw_data!C1125</f>
        <v>Education and Training</v>
      </c>
      <c r="D1125">
        <f>raw_data!D1125</f>
        <v>12.01</v>
      </c>
      <c r="E1125">
        <f>raw_data!E1125</f>
        <v>63.46</v>
      </c>
      <c r="F1125">
        <f>raw_data!F1125</f>
        <v>17.05</v>
      </c>
      <c r="G1125">
        <f>raw_data!G1125</f>
        <v>28.96</v>
      </c>
      <c r="H1125">
        <f>(raw_data!D1125*weights!$B$2)+(raw_data!E1125*weights!$B$3)+(raw_data!F1125*weights!$B$4)</f>
        <v>28.957000000000001</v>
      </c>
      <c r="I1125" t="str">
        <f t="shared" si="34"/>
        <v>Moderate</v>
      </c>
      <c r="J1125" t="str">
        <f t="shared" si="35"/>
        <v>2025 Q2</v>
      </c>
      <c r="K1125">
        <f>raw_data!H1125</f>
        <v>4.8099999999999996</v>
      </c>
      <c r="L1125" s="13">
        <f>raw_data!I1125</f>
        <v>19.04</v>
      </c>
      <c r="M1125" s="13">
        <f>raw_data!J1125</f>
        <v>5.1100000000000003</v>
      </c>
    </row>
    <row r="1126" spans="1:13" x14ac:dyDescent="0.2">
      <c r="A1126" t="str">
        <f>raw_data!A1126</f>
        <v>2025Q2</v>
      </c>
      <c r="B1126" t="str">
        <f>raw_data!B1126</f>
        <v>Queensland</v>
      </c>
      <c r="C1126" t="str">
        <f>raw_data!C1126</f>
        <v>Health Care and Social Assistance</v>
      </c>
      <c r="D1126">
        <f>raw_data!D1126</f>
        <v>26.69</v>
      </c>
      <c r="E1126">
        <f>raw_data!E1126</f>
        <v>69.23</v>
      </c>
      <c r="F1126">
        <f>raw_data!F1126</f>
        <v>100</v>
      </c>
      <c r="G1126">
        <f>raw_data!G1126</f>
        <v>61.45</v>
      </c>
      <c r="H1126">
        <f>(raw_data!D1126*weights!$B$2)+(raw_data!E1126*weights!$B$3)+(raw_data!F1126*weights!$B$4)</f>
        <v>61.445000000000007</v>
      </c>
      <c r="I1126" t="str">
        <f t="shared" si="34"/>
        <v>Critical</v>
      </c>
      <c r="J1126" t="str">
        <f t="shared" si="35"/>
        <v>2025 Q2</v>
      </c>
      <c r="K1126">
        <f>raw_data!H1126</f>
        <v>10.68</v>
      </c>
      <c r="L1126" s="13">
        <f>raw_data!I1126</f>
        <v>20.77</v>
      </c>
      <c r="M1126" s="13">
        <f>raw_data!J1126</f>
        <v>30</v>
      </c>
    </row>
    <row r="1127" spans="1:13" x14ac:dyDescent="0.2">
      <c r="A1127" t="str">
        <f>raw_data!A1127</f>
        <v>2025Q2</v>
      </c>
      <c r="B1127" t="str">
        <f>raw_data!B1127</f>
        <v>Queensland</v>
      </c>
      <c r="C1127" t="str">
        <f>raw_data!C1127</f>
        <v>Manufacturing</v>
      </c>
      <c r="D1127">
        <f>raw_data!D1127</f>
        <v>29.88</v>
      </c>
      <c r="E1127">
        <f>raw_data!E1127</f>
        <v>59.62</v>
      </c>
      <c r="F1127">
        <f>raw_data!F1127</f>
        <v>26.02</v>
      </c>
      <c r="G1127">
        <f>raw_data!G1127</f>
        <v>37.64</v>
      </c>
      <c r="H1127">
        <f>(raw_data!D1127*weights!$B$2)+(raw_data!E1127*weights!$B$3)+(raw_data!F1127*weights!$B$4)</f>
        <v>37.643999999999998</v>
      </c>
      <c r="I1127" t="str">
        <f t="shared" si="34"/>
        <v>Moderate</v>
      </c>
      <c r="J1127" t="str">
        <f t="shared" si="35"/>
        <v>2025 Q2</v>
      </c>
      <c r="K1127">
        <f>raw_data!H1127</f>
        <v>11.95</v>
      </c>
      <c r="L1127" s="13">
        <f>raw_data!I1127</f>
        <v>17.88</v>
      </c>
      <c r="M1127" s="13">
        <f>raw_data!J1127</f>
        <v>7.81</v>
      </c>
    </row>
    <row r="1128" spans="1:13" x14ac:dyDescent="0.2">
      <c r="A1128" t="str">
        <f>raw_data!A1128</f>
        <v>2025Q2</v>
      </c>
      <c r="B1128" t="str">
        <f>raw_data!B1128</f>
        <v>Queensland</v>
      </c>
      <c r="C1128" t="str">
        <f>raw_data!C1128</f>
        <v>Professional, Scientific and Technical Services</v>
      </c>
      <c r="D1128">
        <f>raw_data!D1128</f>
        <v>42.47</v>
      </c>
      <c r="E1128">
        <f>raw_data!E1128</f>
        <v>51.92</v>
      </c>
      <c r="F1128">
        <f>raw_data!F1128</f>
        <v>28.85</v>
      </c>
      <c r="G1128">
        <f>raw_data!G1128</f>
        <v>41.22</v>
      </c>
      <c r="H1128">
        <f>(raw_data!D1128*weights!$B$2)+(raw_data!E1128*weights!$B$3)+(raw_data!F1128*weights!$B$4)</f>
        <v>41.219000000000001</v>
      </c>
      <c r="I1128" t="str">
        <f t="shared" si="34"/>
        <v>Moderate</v>
      </c>
      <c r="J1128" t="str">
        <f t="shared" si="35"/>
        <v>2025 Q2</v>
      </c>
      <c r="K1128">
        <f>raw_data!H1128</f>
        <v>16.989999999999998</v>
      </c>
      <c r="L1128" s="13">
        <f>raw_data!I1128</f>
        <v>15.58</v>
      </c>
      <c r="M1128" s="13">
        <f>raw_data!J1128</f>
        <v>8.66</v>
      </c>
    </row>
    <row r="1129" spans="1:13" x14ac:dyDescent="0.2">
      <c r="A1129" t="str">
        <f>raw_data!A1129</f>
        <v>2025Q2</v>
      </c>
      <c r="B1129" t="str">
        <f>raw_data!B1129</f>
        <v>Victoria</v>
      </c>
      <c r="C1129" t="str">
        <f>raw_data!C1129</f>
        <v>Accommodation and Food Services</v>
      </c>
      <c r="D1129">
        <f>raw_data!D1129</f>
        <v>48.68</v>
      </c>
      <c r="E1129">
        <f>raw_data!E1129</f>
        <v>57.69</v>
      </c>
      <c r="F1129">
        <f>raw_data!F1129</f>
        <v>19.73</v>
      </c>
      <c r="G1129">
        <f>raw_data!G1129</f>
        <v>42.7</v>
      </c>
      <c r="H1129">
        <f>(raw_data!D1129*weights!$B$2)+(raw_data!E1129*weights!$B$3)+(raw_data!F1129*weights!$B$4)</f>
        <v>42.697999999999993</v>
      </c>
      <c r="I1129" t="str">
        <f t="shared" si="34"/>
        <v>Moderate</v>
      </c>
      <c r="J1129" t="str">
        <f t="shared" si="35"/>
        <v>2025 Q2</v>
      </c>
      <c r="K1129">
        <f>raw_data!H1129</f>
        <v>19.47</v>
      </c>
      <c r="L1129" s="13">
        <f>raw_data!I1129</f>
        <v>17.309999999999999</v>
      </c>
      <c r="M1129" s="13">
        <f>raw_data!J1129</f>
        <v>5.92</v>
      </c>
    </row>
    <row r="1130" spans="1:13" x14ac:dyDescent="0.2">
      <c r="A1130" t="str">
        <f>raw_data!A1130</f>
        <v>2025Q2</v>
      </c>
      <c r="B1130" t="str">
        <f>raw_data!B1130</f>
        <v>Victoria</v>
      </c>
      <c r="C1130" t="str">
        <f>raw_data!C1130</f>
        <v>Construction</v>
      </c>
      <c r="D1130">
        <f>raw_data!D1130</f>
        <v>16.510000000000002</v>
      </c>
      <c r="E1130">
        <f>raw_data!E1130</f>
        <v>55.77</v>
      </c>
      <c r="F1130">
        <f>raw_data!F1130</f>
        <v>21.14</v>
      </c>
      <c r="G1130">
        <f>raw_data!G1130</f>
        <v>29.68</v>
      </c>
      <c r="H1130">
        <f>(raw_data!D1130*weights!$B$2)+(raw_data!E1130*weights!$B$3)+(raw_data!F1130*weights!$B$4)</f>
        <v>29.677</v>
      </c>
      <c r="I1130" t="str">
        <f t="shared" si="34"/>
        <v>Moderate</v>
      </c>
      <c r="J1130" t="str">
        <f t="shared" si="35"/>
        <v>2025 Q2</v>
      </c>
      <c r="K1130">
        <f>raw_data!H1130</f>
        <v>6.61</v>
      </c>
      <c r="L1130" s="13">
        <f>raw_data!I1130</f>
        <v>16.73</v>
      </c>
      <c r="M1130" s="13">
        <f>raw_data!J1130</f>
        <v>6.34</v>
      </c>
    </row>
    <row r="1131" spans="1:13" x14ac:dyDescent="0.2">
      <c r="A1131" t="str">
        <f>raw_data!A1131</f>
        <v>2025Q2</v>
      </c>
      <c r="B1131" t="str">
        <f>raw_data!B1131</f>
        <v>Victoria</v>
      </c>
      <c r="C1131" t="str">
        <f>raw_data!C1131</f>
        <v>Education and Training</v>
      </c>
      <c r="D1131">
        <f>raw_data!D1131</f>
        <v>8.2200000000000006</v>
      </c>
      <c r="E1131">
        <f>raw_data!E1131</f>
        <v>63.46</v>
      </c>
      <c r="F1131">
        <f>raw_data!F1131</f>
        <v>7.36</v>
      </c>
      <c r="G1131">
        <f>raw_data!G1131</f>
        <v>24.53</v>
      </c>
      <c r="H1131">
        <f>(raw_data!D1131*weights!$B$2)+(raw_data!E1131*weights!$B$3)+(raw_data!F1131*weights!$B$4)</f>
        <v>24.533999999999999</v>
      </c>
      <c r="I1131" t="str">
        <f t="shared" si="34"/>
        <v>Low</v>
      </c>
      <c r="J1131" t="str">
        <f t="shared" si="35"/>
        <v>2025 Q2</v>
      </c>
      <c r="K1131">
        <f>raw_data!H1131</f>
        <v>3.29</v>
      </c>
      <c r="L1131" s="13">
        <f>raw_data!I1131</f>
        <v>19.04</v>
      </c>
      <c r="M1131" s="13">
        <f>raw_data!J1131</f>
        <v>2.21</v>
      </c>
    </row>
    <row r="1132" spans="1:13" x14ac:dyDescent="0.2">
      <c r="A1132" t="str">
        <f>raw_data!A1132</f>
        <v>2025Q2</v>
      </c>
      <c r="B1132" t="str">
        <f>raw_data!B1132</f>
        <v>Victoria</v>
      </c>
      <c r="C1132" t="str">
        <f>raw_data!C1132</f>
        <v>Health Care and Social Assistance</v>
      </c>
      <c r="D1132">
        <f>raw_data!D1132</f>
        <v>23.45</v>
      </c>
      <c r="E1132">
        <f>raw_data!E1132</f>
        <v>69.23</v>
      </c>
      <c r="F1132">
        <f>raw_data!F1132</f>
        <v>29.96</v>
      </c>
      <c r="G1132">
        <f>raw_data!G1132</f>
        <v>39.14</v>
      </c>
      <c r="H1132">
        <f>(raw_data!D1132*weights!$B$2)+(raw_data!E1132*weights!$B$3)+(raw_data!F1132*weights!$B$4)</f>
        <v>39.137</v>
      </c>
      <c r="I1132" t="str">
        <f t="shared" si="34"/>
        <v>Moderate</v>
      </c>
      <c r="J1132" t="str">
        <f t="shared" si="35"/>
        <v>2025 Q2</v>
      </c>
      <c r="K1132">
        <f>raw_data!H1132</f>
        <v>9.3800000000000008</v>
      </c>
      <c r="L1132" s="13">
        <f>raw_data!I1132</f>
        <v>20.77</v>
      </c>
      <c r="M1132" s="13">
        <f>raw_data!J1132</f>
        <v>8.99</v>
      </c>
    </row>
    <row r="1133" spans="1:13" x14ac:dyDescent="0.2">
      <c r="A1133" t="str">
        <f>raw_data!A1133</f>
        <v>2025Q2</v>
      </c>
      <c r="B1133" t="str">
        <f>raw_data!B1133</f>
        <v>Victoria</v>
      </c>
      <c r="C1133" t="str">
        <f>raw_data!C1133</f>
        <v>Manufacturing</v>
      </c>
      <c r="D1133">
        <f>raw_data!D1133</f>
        <v>20.329999999999998</v>
      </c>
      <c r="E1133">
        <f>raw_data!E1133</f>
        <v>59.62</v>
      </c>
      <c r="F1133">
        <f>raw_data!F1133</f>
        <v>9.48</v>
      </c>
      <c r="G1133">
        <f>raw_data!G1133</f>
        <v>28.86</v>
      </c>
      <c r="H1133">
        <f>(raw_data!D1133*weights!$B$2)+(raw_data!E1133*weights!$B$3)+(raw_data!F1133*weights!$B$4)</f>
        <v>28.862000000000002</v>
      </c>
      <c r="I1133" t="str">
        <f t="shared" si="34"/>
        <v>Moderate</v>
      </c>
      <c r="J1133" t="str">
        <f t="shared" si="35"/>
        <v>2025 Q2</v>
      </c>
      <c r="K1133">
        <f>raw_data!H1133</f>
        <v>8.1300000000000008</v>
      </c>
      <c r="L1133" s="13">
        <f>raw_data!I1133</f>
        <v>17.88</v>
      </c>
      <c r="M1133" s="13">
        <f>raw_data!J1133</f>
        <v>2.84</v>
      </c>
    </row>
    <row r="1134" spans="1:13" x14ac:dyDescent="0.2">
      <c r="A1134" t="str">
        <f>raw_data!A1134</f>
        <v>2025Q2</v>
      </c>
      <c r="B1134" t="str">
        <f>raw_data!B1134</f>
        <v>Victoria</v>
      </c>
      <c r="C1134" t="str">
        <f>raw_data!C1134</f>
        <v>Professional, Scientific and Technical Services</v>
      </c>
      <c r="D1134">
        <f>raw_data!D1134</f>
        <v>25.7</v>
      </c>
      <c r="E1134">
        <f>raw_data!E1134</f>
        <v>51.92</v>
      </c>
      <c r="F1134">
        <f>raw_data!F1134</f>
        <v>18.77</v>
      </c>
      <c r="G1134">
        <f>raw_data!G1134</f>
        <v>31.49</v>
      </c>
      <c r="H1134">
        <f>(raw_data!D1134*weights!$B$2)+(raw_data!E1134*weights!$B$3)+(raw_data!F1134*weights!$B$4)</f>
        <v>31.487000000000002</v>
      </c>
      <c r="I1134" t="str">
        <f t="shared" si="34"/>
        <v>Moderate</v>
      </c>
      <c r="J1134" t="str">
        <f t="shared" si="35"/>
        <v>2025 Q2</v>
      </c>
      <c r="K1134">
        <f>raw_data!H1134</f>
        <v>10.28</v>
      </c>
      <c r="L1134" s="13">
        <f>raw_data!I1134</f>
        <v>15.58</v>
      </c>
      <c r="M1134" s="13">
        <f>raw_data!J1134</f>
        <v>5.63</v>
      </c>
    </row>
    <row r="1135" spans="1:13" x14ac:dyDescent="0.2">
      <c r="A1135" t="str">
        <f>raw_data!A1135</f>
        <v>2025Q3</v>
      </c>
      <c r="B1135" t="str">
        <f>raw_data!B1135</f>
        <v>New South Wales</v>
      </c>
      <c r="C1135" t="str">
        <f>raw_data!C1135</f>
        <v>Accommodation and Food Services</v>
      </c>
      <c r="D1135">
        <f>raw_data!D1135</f>
        <v>48.24</v>
      </c>
      <c r="E1135">
        <f>raw_data!E1135</f>
        <v>50</v>
      </c>
      <c r="F1135">
        <f>raw_data!F1135</f>
        <v>17.079999999999998</v>
      </c>
      <c r="G1135">
        <f>raw_data!G1135</f>
        <v>39.42</v>
      </c>
      <c r="H1135">
        <f>(raw_data!D1135*weights!$B$2)+(raw_data!E1135*weights!$B$3)+(raw_data!F1135*weights!$B$4)</f>
        <v>39.420000000000009</v>
      </c>
      <c r="I1135" t="str">
        <f t="shared" si="34"/>
        <v>Moderate</v>
      </c>
      <c r="J1135" t="str">
        <f t="shared" si="35"/>
        <v>2025 Q3</v>
      </c>
      <c r="K1135">
        <f>raw_data!H1135</f>
        <v>19.3</v>
      </c>
      <c r="L1135" s="13">
        <f>raw_data!I1135</f>
        <v>15</v>
      </c>
      <c r="M1135" s="13">
        <f>raw_data!J1135</f>
        <v>5.12</v>
      </c>
    </row>
    <row r="1136" spans="1:13" x14ac:dyDescent="0.2">
      <c r="A1136" t="str">
        <f>raw_data!A1136</f>
        <v>2025Q3</v>
      </c>
      <c r="B1136" t="str">
        <f>raw_data!B1136</f>
        <v>New South Wales</v>
      </c>
      <c r="C1136" t="str">
        <f>raw_data!C1136</f>
        <v>Construction</v>
      </c>
      <c r="D1136">
        <f>raw_data!D1136</f>
        <v>10.97</v>
      </c>
      <c r="E1136">
        <f>raw_data!E1136</f>
        <v>59.62</v>
      </c>
      <c r="F1136">
        <f>raw_data!F1136</f>
        <v>16.010000000000002</v>
      </c>
      <c r="G1136">
        <f>raw_data!G1136</f>
        <v>27.07</v>
      </c>
      <c r="H1136">
        <f>(raw_data!D1136*weights!$B$2)+(raw_data!E1136*weights!$B$3)+(raw_data!F1136*weights!$B$4)</f>
        <v>27.077000000000002</v>
      </c>
      <c r="I1136" t="str">
        <f t="shared" si="34"/>
        <v>Moderate</v>
      </c>
      <c r="J1136" t="str">
        <f t="shared" si="35"/>
        <v>2025 Q3</v>
      </c>
      <c r="K1136">
        <f>raw_data!H1136</f>
        <v>4.3899999999999997</v>
      </c>
      <c r="L1136" s="13">
        <f>raw_data!I1136</f>
        <v>17.88</v>
      </c>
      <c r="M1136" s="13">
        <f>raw_data!J1136</f>
        <v>4.8</v>
      </c>
    </row>
    <row r="1137" spans="1:13" x14ac:dyDescent="0.2">
      <c r="A1137" t="str">
        <f>raw_data!A1137</f>
        <v>2025Q3</v>
      </c>
      <c r="B1137" t="str">
        <f>raw_data!B1137</f>
        <v>New South Wales</v>
      </c>
      <c r="C1137" t="str">
        <f>raw_data!C1137</f>
        <v>Education and Training</v>
      </c>
      <c r="D1137">
        <f>raw_data!D1137</f>
        <v>6.51</v>
      </c>
      <c r="E1137">
        <f>raw_data!E1137</f>
        <v>63.46</v>
      </c>
      <c r="F1137">
        <f>raw_data!F1137</f>
        <v>10.16</v>
      </c>
      <c r="G1137">
        <f>raw_data!G1137</f>
        <v>24.69</v>
      </c>
      <c r="H1137">
        <f>(raw_data!D1137*weights!$B$2)+(raw_data!E1137*weights!$B$3)+(raw_data!F1137*weights!$B$4)</f>
        <v>24.689999999999998</v>
      </c>
      <c r="I1137" t="str">
        <f t="shared" si="34"/>
        <v>Low</v>
      </c>
      <c r="J1137" t="str">
        <f t="shared" si="35"/>
        <v>2025 Q3</v>
      </c>
      <c r="K1137">
        <f>raw_data!H1137</f>
        <v>2.61</v>
      </c>
      <c r="L1137" s="13">
        <f>raw_data!I1137</f>
        <v>19.04</v>
      </c>
      <c r="M1137" s="13">
        <f>raw_data!J1137</f>
        <v>3.05</v>
      </c>
    </row>
    <row r="1138" spans="1:13" x14ac:dyDescent="0.2">
      <c r="A1138" t="str">
        <f>raw_data!A1138</f>
        <v>2025Q3</v>
      </c>
      <c r="B1138" t="str">
        <f>raw_data!B1138</f>
        <v>New South Wales</v>
      </c>
      <c r="C1138" t="str">
        <f>raw_data!C1138</f>
        <v>Health Care and Social Assistance</v>
      </c>
      <c r="D1138">
        <f>raw_data!D1138</f>
        <v>20.8</v>
      </c>
      <c r="E1138">
        <f>raw_data!E1138</f>
        <v>67.31</v>
      </c>
      <c r="F1138">
        <f>raw_data!F1138</f>
        <v>26.97</v>
      </c>
      <c r="G1138">
        <f>raw_data!G1138</f>
        <v>36.61</v>
      </c>
      <c r="H1138">
        <f>(raw_data!D1138*weights!$B$2)+(raw_data!E1138*weights!$B$3)+(raw_data!F1138*weights!$B$4)</f>
        <v>36.603999999999999</v>
      </c>
      <c r="I1138" t="str">
        <f t="shared" si="34"/>
        <v>Moderate</v>
      </c>
      <c r="J1138" t="str">
        <f t="shared" si="35"/>
        <v>2025 Q3</v>
      </c>
      <c r="K1138">
        <f>raw_data!H1138</f>
        <v>8.32</v>
      </c>
      <c r="L1138" s="13">
        <f>raw_data!I1138</f>
        <v>20.190000000000001</v>
      </c>
      <c r="M1138" s="13">
        <f>raw_data!J1138</f>
        <v>8.09</v>
      </c>
    </row>
    <row r="1139" spans="1:13" x14ac:dyDescent="0.2">
      <c r="A1139" t="str">
        <f>raw_data!A1139</f>
        <v>2025Q3</v>
      </c>
      <c r="B1139" t="str">
        <f>raw_data!B1139</f>
        <v>New South Wales</v>
      </c>
      <c r="C1139" t="str">
        <f>raw_data!C1139</f>
        <v>Manufacturing</v>
      </c>
      <c r="D1139">
        <f>raw_data!D1139</f>
        <v>23.17</v>
      </c>
      <c r="E1139">
        <f>raw_data!E1139</f>
        <v>55.77</v>
      </c>
      <c r="F1139">
        <f>raw_data!F1139</f>
        <v>11</v>
      </c>
      <c r="G1139">
        <f>raw_data!G1139</f>
        <v>29.3</v>
      </c>
      <c r="H1139">
        <f>(raw_data!D1139*weights!$B$2)+(raw_data!E1139*weights!$B$3)+(raw_data!F1139*weights!$B$4)</f>
        <v>29.299000000000003</v>
      </c>
      <c r="I1139" t="str">
        <f t="shared" si="34"/>
        <v>Moderate</v>
      </c>
      <c r="J1139" t="str">
        <f t="shared" si="35"/>
        <v>2025 Q3</v>
      </c>
      <c r="K1139">
        <f>raw_data!H1139</f>
        <v>9.27</v>
      </c>
      <c r="L1139" s="13">
        <f>raw_data!I1139</f>
        <v>16.73</v>
      </c>
      <c r="M1139" s="13">
        <f>raw_data!J1139</f>
        <v>3.3</v>
      </c>
    </row>
    <row r="1140" spans="1:13" x14ac:dyDescent="0.2">
      <c r="A1140" t="str">
        <f>raw_data!A1140</f>
        <v>2025Q3</v>
      </c>
      <c r="B1140" t="str">
        <f>raw_data!B1140</f>
        <v>New South Wales</v>
      </c>
      <c r="C1140" t="str">
        <f>raw_data!C1140</f>
        <v>Professional, Scientific and Technical Services</v>
      </c>
      <c r="D1140">
        <f>raw_data!D1140</f>
        <v>18.48</v>
      </c>
      <c r="E1140">
        <f>raw_data!E1140</f>
        <v>57.69</v>
      </c>
      <c r="F1140">
        <f>raw_data!F1140</f>
        <v>13.86</v>
      </c>
      <c r="G1140">
        <f>raw_data!G1140</f>
        <v>28.86</v>
      </c>
      <c r="H1140">
        <f>(raw_data!D1140*weights!$B$2)+(raw_data!E1140*weights!$B$3)+(raw_data!F1140*weights!$B$4)</f>
        <v>28.856999999999999</v>
      </c>
      <c r="I1140" t="str">
        <f t="shared" si="34"/>
        <v>Moderate</v>
      </c>
      <c r="J1140" t="str">
        <f t="shared" si="35"/>
        <v>2025 Q3</v>
      </c>
      <c r="K1140">
        <f>raw_data!H1140</f>
        <v>7.39</v>
      </c>
      <c r="L1140" s="13">
        <f>raw_data!I1140</f>
        <v>17.309999999999999</v>
      </c>
      <c r="M1140" s="13">
        <f>raw_data!J1140</f>
        <v>4.16</v>
      </c>
    </row>
    <row r="1141" spans="1:13" x14ac:dyDescent="0.2">
      <c r="A1141" t="str">
        <f>raw_data!A1141</f>
        <v>2025Q3</v>
      </c>
      <c r="B1141" t="str">
        <f>raw_data!B1141</f>
        <v>Queensland</v>
      </c>
      <c r="C1141" t="str">
        <f>raw_data!C1141</f>
        <v>Accommodation and Food Services</v>
      </c>
      <c r="D1141">
        <f>raw_data!D1141</f>
        <v>64.94</v>
      </c>
      <c r="E1141">
        <f>raw_data!E1141</f>
        <v>50</v>
      </c>
      <c r="F1141">
        <f>raw_data!F1141</f>
        <v>11.61</v>
      </c>
      <c r="G1141">
        <f>raw_data!G1141</f>
        <v>44.46</v>
      </c>
      <c r="H1141">
        <f>(raw_data!D1141*weights!$B$2)+(raw_data!E1141*weights!$B$3)+(raw_data!F1141*weights!$B$4)</f>
        <v>44.458999999999996</v>
      </c>
      <c r="I1141" t="str">
        <f t="shared" si="34"/>
        <v>Moderate</v>
      </c>
      <c r="J1141" t="str">
        <f t="shared" si="35"/>
        <v>2025 Q3</v>
      </c>
      <c r="K1141">
        <f>raw_data!H1141</f>
        <v>25.98</v>
      </c>
      <c r="L1141" s="13">
        <f>raw_data!I1141</f>
        <v>15</v>
      </c>
      <c r="M1141" s="13">
        <f>raw_data!J1141</f>
        <v>3.48</v>
      </c>
    </row>
    <row r="1142" spans="1:13" x14ac:dyDescent="0.2">
      <c r="A1142" t="str">
        <f>raw_data!A1142</f>
        <v>2025Q3</v>
      </c>
      <c r="B1142" t="str">
        <f>raw_data!B1142</f>
        <v>Queensland</v>
      </c>
      <c r="C1142" t="str">
        <f>raw_data!C1142</f>
        <v>Construction</v>
      </c>
      <c r="D1142">
        <f>raw_data!D1142</f>
        <v>18.579999999999998</v>
      </c>
      <c r="E1142">
        <f>raw_data!E1142</f>
        <v>59.62</v>
      </c>
      <c r="F1142">
        <f>raw_data!F1142</f>
        <v>7.84</v>
      </c>
      <c r="G1142">
        <f>raw_data!G1142</f>
        <v>27.67</v>
      </c>
      <c r="H1142">
        <f>(raw_data!D1142*weights!$B$2)+(raw_data!E1142*weights!$B$3)+(raw_data!F1142*weights!$B$4)</f>
        <v>27.669999999999998</v>
      </c>
      <c r="I1142" t="str">
        <f t="shared" si="34"/>
        <v>Moderate</v>
      </c>
      <c r="J1142" t="str">
        <f t="shared" si="35"/>
        <v>2025 Q3</v>
      </c>
      <c r="K1142">
        <f>raw_data!H1142</f>
        <v>7.43</v>
      </c>
      <c r="L1142" s="13">
        <f>raw_data!I1142</f>
        <v>17.88</v>
      </c>
      <c r="M1142" s="13">
        <f>raw_data!J1142</f>
        <v>2.35</v>
      </c>
    </row>
    <row r="1143" spans="1:13" x14ac:dyDescent="0.2">
      <c r="A1143" t="str">
        <f>raw_data!A1143</f>
        <v>2025Q3</v>
      </c>
      <c r="B1143" t="str">
        <f>raw_data!B1143</f>
        <v>Queensland</v>
      </c>
      <c r="C1143" t="str">
        <f>raw_data!C1143</f>
        <v>Education and Training</v>
      </c>
      <c r="D1143">
        <f>raw_data!D1143</f>
        <v>13.01</v>
      </c>
      <c r="E1143">
        <f>raw_data!E1143</f>
        <v>63.46</v>
      </c>
      <c r="F1143">
        <f>raw_data!F1143</f>
        <v>37.270000000000003</v>
      </c>
      <c r="G1143">
        <f>raw_data!G1143</f>
        <v>35.42</v>
      </c>
      <c r="H1143">
        <f>(raw_data!D1143*weights!$B$2)+(raw_data!E1143*weights!$B$3)+(raw_data!F1143*weights!$B$4)</f>
        <v>35.423000000000002</v>
      </c>
      <c r="I1143" t="str">
        <f t="shared" si="34"/>
        <v>Moderate</v>
      </c>
      <c r="J1143" t="str">
        <f t="shared" si="35"/>
        <v>2025 Q3</v>
      </c>
      <c r="K1143">
        <f>raw_data!H1143</f>
        <v>5.2</v>
      </c>
      <c r="L1143" s="13">
        <f>raw_data!I1143</f>
        <v>19.04</v>
      </c>
      <c r="M1143" s="13">
        <f>raw_data!J1143</f>
        <v>11.18</v>
      </c>
    </row>
    <row r="1144" spans="1:13" x14ac:dyDescent="0.2">
      <c r="A1144" t="str">
        <f>raw_data!A1144</f>
        <v>2025Q3</v>
      </c>
      <c r="B1144" t="str">
        <f>raw_data!B1144</f>
        <v>Queensland</v>
      </c>
      <c r="C1144" t="str">
        <f>raw_data!C1144</f>
        <v>Health Care and Social Assistance</v>
      </c>
      <c r="D1144">
        <f>raw_data!D1144</f>
        <v>28.29</v>
      </c>
      <c r="E1144">
        <f>raw_data!E1144</f>
        <v>67.31</v>
      </c>
      <c r="F1144">
        <f>raw_data!F1144</f>
        <v>65.83</v>
      </c>
      <c r="G1144">
        <f>raw_data!G1144</f>
        <v>51.26</v>
      </c>
      <c r="H1144">
        <f>(raw_data!D1144*weights!$B$2)+(raw_data!E1144*weights!$B$3)+(raw_data!F1144*weights!$B$4)</f>
        <v>51.257999999999996</v>
      </c>
      <c r="I1144" t="str">
        <f t="shared" si="34"/>
        <v>High</v>
      </c>
      <c r="J1144" t="str">
        <f t="shared" si="35"/>
        <v>2025 Q3</v>
      </c>
      <c r="K1144">
        <f>raw_data!H1144</f>
        <v>11.32</v>
      </c>
      <c r="L1144" s="13">
        <f>raw_data!I1144</f>
        <v>20.190000000000001</v>
      </c>
      <c r="M1144" s="13">
        <f>raw_data!J1144</f>
        <v>19.75</v>
      </c>
    </row>
    <row r="1145" spans="1:13" x14ac:dyDescent="0.2">
      <c r="A1145" t="str">
        <f>raw_data!A1145</f>
        <v>2025Q3</v>
      </c>
      <c r="B1145" t="str">
        <f>raw_data!B1145</f>
        <v>Queensland</v>
      </c>
      <c r="C1145" t="str">
        <f>raw_data!C1145</f>
        <v>Manufacturing</v>
      </c>
      <c r="D1145">
        <f>raw_data!D1145</f>
        <v>33.61</v>
      </c>
      <c r="E1145">
        <f>raw_data!E1145</f>
        <v>55.77</v>
      </c>
      <c r="F1145">
        <f>raw_data!F1145</f>
        <v>21.5</v>
      </c>
      <c r="G1145">
        <f>raw_data!G1145</f>
        <v>36.630000000000003</v>
      </c>
      <c r="H1145">
        <f>(raw_data!D1145*weights!$B$2)+(raw_data!E1145*weights!$B$3)+(raw_data!F1145*weights!$B$4)</f>
        <v>36.625000000000007</v>
      </c>
      <c r="I1145" t="str">
        <f t="shared" si="34"/>
        <v>Moderate</v>
      </c>
      <c r="J1145" t="str">
        <f t="shared" si="35"/>
        <v>2025 Q3</v>
      </c>
      <c r="K1145">
        <f>raw_data!H1145</f>
        <v>13.45</v>
      </c>
      <c r="L1145" s="13">
        <f>raw_data!I1145</f>
        <v>16.73</v>
      </c>
      <c r="M1145" s="13">
        <f>raw_data!J1145</f>
        <v>6.45</v>
      </c>
    </row>
    <row r="1146" spans="1:13" x14ac:dyDescent="0.2">
      <c r="A1146" t="str">
        <f>raw_data!A1146</f>
        <v>2025Q3</v>
      </c>
      <c r="B1146" t="str">
        <f>raw_data!B1146</f>
        <v>Queensland</v>
      </c>
      <c r="C1146" t="str">
        <f>raw_data!C1146</f>
        <v>Professional, Scientific and Technical Services</v>
      </c>
      <c r="D1146">
        <f>raw_data!D1146</f>
        <v>41.72</v>
      </c>
      <c r="E1146">
        <f>raw_data!E1146</f>
        <v>57.69</v>
      </c>
      <c r="F1146">
        <f>raw_data!F1146</f>
        <v>16.149999999999999</v>
      </c>
      <c r="G1146">
        <f>raw_data!G1146</f>
        <v>38.840000000000003</v>
      </c>
      <c r="H1146">
        <f>(raw_data!D1146*weights!$B$2)+(raw_data!E1146*weights!$B$3)+(raw_data!F1146*weights!$B$4)</f>
        <v>38.839999999999996</v>
      </c>
      <c r="I1146" t="str">
        <f t="shared" si="34"/>
        <v>Moderate</v>
      </c>
      <c r="J1146" t="str">
        <f t="shared" si="35"/>
        <v>2025 Q3</v>
      </c>
      <c r="K1146">
        <f>raw_data!H1146</f>
        <v>16.690000000000001</v>
      </c>
      <c r="L1146" s="13">
        <f>raw_data!I1146</f>
        <v>17.309999999999999</v>
      </c>
      <c r="M1146" s="13">
        <f>raw_data!J1146</f>
        <v>4.84</v>
      </c>
    </row>
    <row r="1147" spans="1:13" x14ac:dyDescent="0.2">
      <c r="A1147" t="str">
        <f>raw_data!A1147</f>
        <v>2025Q3</v>
      </c>
      <c r="B1147" t="str">
        <f>raw_data!B1147</f>
        <v>Victoria</v>
      </c>
      <c r="C1147" t="str">
        <f>raw_data!C1147</f>
        <v>Accommodation and Food Services</v>
      </c>
      <c r="D1147">
        <f>raw_data!D1147</f>
        <v>48.76</v>
      </c>
      <c r="E1147">
        <f>raw_data!E1147</f>
        <v>50</v>
      </c>
      <c r="F1147">
        <f>raw_data!F1147</f>
        <v>13.93</v>
      </c>
      <c r="G1147">
        <f>raw_data!G1147</f>
        <v>38.68</v>
      </c>
      <c r="H1147">
        <f>(raw_data!D1147*weights!$B$2)+(raw_data!E1147*weights!$B$3)+(raw_data!F1147*weights!$B$4)</f>
        <v>38.683000000000007</v>
      </c>
      <c r="I1147" t="str">
        <f t="shared" si="34"/>
        <v>Moderate</v>
      </c>
      <c r="J1147" t="str">
        <f t="shared" si="35"/>
        <v>2025 Q3</v>
      </c>
      <c r="K1147">
        <f>raw_data!H1147</f>
        <v>19.5</v>
      </c>
      <c r="L1147" s="13">
        <f>raw_data!I1147</f>
        <v>15</v>
      </c>
      <c r="M1147" s="13">
        <f>raw_data!J1147</f>
        <v>4.18</v>
      </c>
    </row>
    <row r="1148" spans="1:13" x14ac:dyDescent="0.2">
      <c r="A1148" t="str">
        <f>raw_data!A1148</f>
        <v>2025Q3</v>
      </c>
      <c r="B1148" t="str">
        <f>raw_data!B1148</f>
        <v>Victoria</v>
      </c>
      <c r="C1148" t="str">
        <f>raw_data!C1148</f>
        <v>Construction</v>
      </c>
      <c r="D1148">
        <f>raw_data!D1148</f>
        <v>15.29</v>
      </c>
      <c r="E1148">
        <f>raw_data!E1148</f>
        <v>59.62</v>
      </c>
      <c r="F1148">
        <f>raw_data!F1148</f>
        <v>9.36</v>
      </c>
      <c r="G1148">
        <f>raw_data!G1148</f>
        <v>26.81</v>
      </c>
      <c r="H1148">
        <f>(raw_data!D1148*weights!$B$2)+(raw_data!E1148*weights!$B$3)+(raw_data!F1148*weights!$B$4)</f>
        <v>26.81</v>
      </c>
      <c r="I1148" t="str">
        <f t="shared" si="34"/>
        <v>Moderate</v>
      </c>
      <c r="J1148" t="str">
        <f t="shared" si="35"/>
        <v>2025 Q3</v>
      </c>
      <c r="K1148">
        <f>raw_data!H1148</f>
        <v>6.12</v>
      </c>
      <c r="L1148" s="13">
        <f>raw_data!I1148</f>
        <v>17.88</v>
      </c>
      <c r="M1148" s="13">
        <f>raw_data!J1148</f>
        <v>2.81</v>
      </c>
    </row>
    <row r="1149" spans="1:13" x14ac:dyDescent="0.2">
      <c r="A1149" t="str">
        <f>raw_data!A1149</f>
        <v>2025Q3</v>
      </c>
      <c r="B1149" t="str">
        <f>raw_data!B1149</f>
        <v>Victoria</v>
      </c>
      <c r="C1149" t="str">
        <f>raw_data!C1149</f>
        <v>Education and Training</v>
      </c>
      <c r="D1149">
        <f>raw_data!D1149</f>
        <v>7.92</v>
      </c>
      <c r="E1149">
        <f>raw_data!E1149</f>
        <v>63.46</v>
      </c>
      <c r="F1149">
        <f>raw_data!F1149</f>
        <v>8.9700000000000006</v>
      </c>
      <c r="G1149">
        <f>raw_data!G1149</f>
        <v>24.9</v>
      </c>
      <c r="H1149">
        <f>(raw_data!D1149*weights!$B$2)+(raw_data!E1149*weights!$B$3)+(raw_data!F1149*weights!$B$4)</f>
        <v>24.896999999999998</v>
      </c>
      <c r="I1149" t="str">
        <f t="shared" si="34"/>
        <v>Low</v>
      </c>
      <c r="J1149" t="str">
        <f t="shared" si="35"/>
        <v>2025 Q3</v>
      </c>
      <c r="K1149">
        <f>raw_data!H1149</f>
        <v>3.17</v>
      </c>
      <c r="L1149" s="13">
        <f>raw_data!I1149</f>
        <v>19.04</v>
      </c>
      <c r="M1149" s="13">
        <f>raw_data!J1149</f>
        <v>2.69</v>
      </c>
    </row>
    <row r="1150" spans="1:13" x14ac:dyDescent="0.2">
      <c r="A1150" t="str">
        <f>raw_data!A1150</f>
        <v>2025Q3</v>
      </c>
      <c r="B1150" t="str">
        <f>raw_data!B1150</f>
        <v>Victoria</v>
      </c>
      <c r="C1150" t="str">
        <f>raw_data!C1150</f>
        <v>Health Care and Social Assistance</v>
      </c>
      <c r="D1150">
        <f>raw_data!D1150</f>
        <v>23.07</v>
      </c>
      <c r="E1150">
        <f>raw_data!E1150</f>
        <v>67.31</v>
      </c>
      <c r="F1150">
        <f>raw_data!F1150</f>
        <v>14.68</v>
      </c>
      <c r="G1150">
        <f>raw_data!G1150</f>
        <v>33.82</v>
      </c>
      <c r="H1150">
        <f>(raw_data!D1150*weights!$B$2)+(raw_data!E1150*weights!$B$3)+(raw_data!F1150*weights!$B$4)</f>
        <v>33.825000000000003</v>
      </c>
      <c r="I1150" t="str">
        <f t="shared" si="34"/>
        <v>Moderate</v>
      </c>
      <c r="J1150" t="str">
        <f t="shared" si="35"/>
        <v>2025 Q3</v>
      </c>
      <c r="K1150">
        <f>raw_data!H1150</f>
        <v>9.23</v>
      </c>
      <c r="L1150" s="13">
        <f>raw_data!I1150</f>
        <v>20.190000000000001</v>
      </c>
      <c r="M1150" s="13">
        <f>raw_data!J1150</f>
        <v>4.4000000000000004</v>
      </c>
    </row>
    <row r="1151" spans="1:13" x14ac:dyDescent="0.2">
      <c r="A1151" t="str">
        <f>raw_data!A1151</f>
        <v>2025Q3</v>
      </c>
      <c r="B1151" t="str">
        <f>raw_data!B1151</f>
        <v>Victoria</v>
      </c>
      <c r="C1151" t="str">
        <f>raw_data!C1151</f>
        <v>Manufacturing</v>
      </c>
      <c r="D1151">
        <f>raw_data!D1151</f>
        <v>22.82</v>
      </c>
      <c r="E1151">
        <f>raw_data!E1151</f>
        <v>55.77</v>
      </c>
      <c r="F1151">
        <f>raw_data!F1151</f>
        <v>11.52</v>
      </c>
      <c r="G1151">
        <f>raw_data!G1151</f>
        <v>29.32</v>
      </c>
      <c r="H1151">
        <f>(raw_data!D1151*weights!$B$2)+(raw_data!E1151*weights!$B$3)+(raw_data!F1151*weights!$B$4)</f>
        <v>29.315000000000001</v>
      </c>
      <c r="I1151" t="str">
        <f t="shared" si="34"/>
        <v>Moderate</v>
      </c>
      <c r="J1151" t="str">
        <f t="shared" si="35"/>
        <v>2025 Q3</v>
      </c>
      <c r="K1151">
        <f>raw_data!H1151</f>
        <v>9.1300000000000008</v>
      </c>
      <c r="L1151" s="13">
        <f>raw_data!I1151</f>
        <v>16.73</v>
      </c>
      <c r="M1151" s="13">
        <f>raw_data!J1151</f>
        <v>3.46</v>
      </c>
    </row>
    <row r="1152" spans="1:13" x14ac:dyDescent="0.2">
      <c r="A1152" t="str">
        <f>raw_data!A1152</f>
        <v>2025Q3</v>
      </c>
      <c r="B1152" t="str">
        <f>raw_data!B1152</f>
        <v>Victoria</v>
      </c>
      <c r="C1152" t="str">
        <f>raw_data!C1152</f>
        <v>Professional, Scientific and Technical Services</v>
      </c>
      <c r="D1152">
        <f>raw_data!D1152</f>
        <v>21.75</v>
      </c>
      <c r="E1152">
        <f>raw_data!E1152</f>
        <v>57.69</v>
      </c>
      <c r="F1152">
        <f>raw_data!F1152</f>
        <v>10.86</v>
      </c>
      <c r="G1152">
        <f>raw_data!G1152</f>
        <v>29.26</v>
      </c>
      <c r="H1152">
        <f>(raw_data!D1152*weights!$B$2)+(raw_data!E1152*weights!$B$3)+(raw_data!F1152*weights!$B$4)</f>
        <v>29.264999999999997</v>
      </c>
      <c r="I1152" t="str">
        <f t="shared" si="34"/>
        <v>Moderate</v>
      </c>
      <c r="J1152" t="str">
        <f t="shared" si="35"/>
        <v>2025 Q3</v>
      </c>
      <c r="K1152">
        <f>raw_data!H1152</f>
        <v>8.6999999999999993</v>
      </c>
      <c r="L1152" s="13">
        <f>raw_data!I1152</f>
        <v>17.309999999999999</v>
      </c>
      <c r="M1152" s="13">
        <f>raw_data!J1152</f>
        <v>3.26</v>
      </c>
    </row>
    <row r="1153" spans="1:13" x14ac:dyDescent="0.2">
      <c r="A1153" t="str">
        <f>raw_data!A1153</f>
        <v>2025Q4</v>
      </c>
      <c r="B1153" t="str">
        <f>raw_data!B1153</f>
        <v>New South Wales</v>
      </c>
      <c r="C1153" t="str">
        <f>raw_data!C1153</f>
        <v>Accommodation and Food Services</v>
      </c>
      <c r="D1153">
        <f>raw_data!D1153</f>
        <v>44.47</v>
      </c>
      <c r="E1153">
        <f>raw_data!E1153</f>
        <v>51.92</v>
      </c>
      <c r="F1153">
        <f>raw_data!F1153</f>
        <v>10.33</v>
      </c>
      <c r="G1153">
        <f>raw_data!G1153</f>
        <v>36.46</v>
      </c>
      <c r="H1153">
        <f>(raw_data!D1153*weights!$B$2)+(raw_data!E1153*weights!$B$3)+(raw_data!F1153*weights!$B$4)</f>
        <v>36.463000000000001</v>
      </c>
      <c r="I1153" t="str">
        <f t="shared" si="34"/>
        <v>Moderate</v>
      </c>
      <c r="J1153" t="str">
        <f t="shared" si="35"/>
        <v>2025 Q4</v>
      </c>
      <c r="K1153">
        <f>raw_data!H1153</f>
        <v>17.79</v>
      </c>
      <c r="L1153" s="13">
        <f>raw_data!I1153</f>
        <v>15.58</v>
      </c>
      <c r="M1153" s="13">
        <f>raw_data!J1153</f>
        <v>3.1</v>
      </c>
    </row>
    <row r="1154" spans="1:13" x14ac:dyDescent="0.2">
      <c r="A1154" t="str">
        <f>raw_data!A1154</f>
        <v>2025Q4</v>
      </c>
      <c r="B1154" t="str">
        <f>raw_data!B1154</f>
        <v>New South Wales</v>
      </c>
      <c r="C1154" t="str">
        <f>raw_data!C1154</f>
        <v>Construction</v>
      </c>
      <c r="D1154">
        <f>raw_data!D1154</f>
        <v>10.130000000000001</v>
      </c>
      <c r="E1154">
        <f>raw_data!E1154</f>
        <v>61.54</v>
      </c>
      <c r="F1154">
        <f>raw_data!F1154</f>
        <v>11.74</v>
      </c>
      <c r="G1154">
        <f>raw_data!G1154</f>
        <v>26.04</v>
      </c>
      <c r="H1154">
        <f>(raw_data!D1154*weights!$B$2)+(raw_data!E1154*weights!$B$3)+(raw_data!F1154*weights!$B$4)</f>
        <v>26.035999999999998</v>
      </c>
      <c r="I1154" t="str">
        <f t="shared" si="34"/>
        <v>Moderate</v>
      </c>
      <c r="J1154" t="str">
        <f t="shared" si="35"/>
        <v>2025 Q4</v>
      </c>
      <c r="K1154">
        <f>raw_data!H1154</f>
        <v>4.05</v>
      </c>
      <c r="L1154" s="13">
        <f>raw_data!I1154</f>
        <v>18.46</v>
      </c>
      <c r="M1154" s="13">
        <f>raw_data!J1154</f>
        <v>3.52</v>
      </c>
    </row>
    <row r="1155" spans="1:13" x14ac:dyDescent="0.2">
      <c r="A1155" t="str">
        <f>raw_data!A1155</f>
        <v>2025Q4</v>
      </c>
      <c r="B1155" t="str">
        <f>raw_data!B1155</f>
        <v>New South Wales</v>
      </c>
      <c r="C1155" t="str">
        <f>raw_data!C1155</f>
        <v>Education and Training</v>
      </c>
      <c r="D1155">
        <f>raw_data!D1155</f>
        <v>5.0599999999999996</v>
      </c>
      <c r="E1155">
        <f>raw_data!E1155</f>
        <v>65.38</v>
      </c>
      <c r="F1155">
        <f>raw_data!F1155</f>
        <v>9.23</v>
      </c>
      <c r="G1155">
        <f>raw_data!G1155</f>
        <v>24.41</v>
      </c>
      <c r="H1155">
        <f>(raw_data!D1155*weights!$B$2)+(raw_data!E1155*weights!$B$3)+(raw_data!F1155*weights!$B$4)</f>
        <v>24.406999999999996</v>
      </c>
      <c r="I1155" t="str">
        <f t="shared" ref="I1155:I1188" si="36">IF(H1155&gt;=60,"Critical",IF(H1155&gt;=45,"High",IF(H1155&gt;=25,"Moderate","Low")))</f>
        <v>Low</v>
      </c>
      <c r="J1155" t="str">
        <f t="shared" ref="J1155:J1188" si="37">LEFT(A1155,4)&amp;" "&amp;RIGHT(A1155,2)</f>
        <v>2025 Q4</v>
      </c>
      <c r="K1155">
        <f>raw_data!H1155</f>
        <v>2.0299999999999998</v>
      </c>
      <c r="L1155" s="13">
        <f>raw_data!I1155</f>
        <v>19.62</v>
      </c>
      <c r="M1155" s="13">
        <f>raw_data!J1155</f>
        <v>2.77</v>
      </c>
    </row>
    <row r="1156" spans="1:13" x14ac:dyDescent="0.2">
      <c r="A1156" t="str">
        <f>raw_data!A1156</f>
        <v>2025Q4</v>
      </c>
      <c r="B1156" t="str">
        <f>raw_data!B1156</f>
        <v>New South Wales</v>
      </c>
      <c r="C1156" t="str">
        <f>raw_data!C1156</f>
        <v>Health Care and Social Assistance</v>
      </c>
      <c r="D1156">
        <f>raw_data!D1156</f>
        <v>23.47</v>
      </c>
      <c r="E1156">
        <f>raw_data!E1156</f>
        <v>78.849999999999994</v>
      </c>
      <c r="F1156">
        <f>raw_data!F1156</f>
        <v>17.36</v>
      </c>
      <c r="G1156">
        <f>raw_data!G1156</f>
        <v>38.25</v>
      </c>
      <c r="H1156">
        <f>(raw_data!D1156*weights!$B$2)+(raw_data!E1156*weights!$B$3)+(raw_data!F1156*weights!$B$4)</f>
        <v>38.250999999999998</v>
      </c>
      <c r="I1156" t="str">
        <f t="shared" si="36"/>
        <v>Moderate</v>
      </c>
      <c r="J1156" t="str">
        <f t="shared" si="37"/>
        <v>2025 Q4</v>
      </c>
      <c r="K1156">
        <f>raw_data!H1156</f>
        <v>9.39</v>
      </c>
      <c r="L1156" s="13">
        <f>raw_data!I1156</f>
        <v>23.65</v>
      </c>
      <c r="M1156" s="13">
        <f>raw_data!J1156</f>
        <v>5.21</v>
      </c>
    </row>
    <row r="1157" spans="1:13" x14ac:dyDescent="0.2">
      <c r="A1157" t="str">
        <f>raw_data!A1157</f>
        <v>2025Q4</v>
      </c>
      <c r="B1157" t="str">
        <f>raw_data!B1157</f>
        <v>New South Wales</v>
      </c>
      <c r="C1157" t="str">
        <f>raw_data!C1157</f>
        <v>Manufacturing</v>
      </c>
      <c r="D1157">
        <f>raw_data!D1157</f>
        <v>20.38</v>
      </c>
      <c r="E1157">
        <f>raw_data!E1157</f>
        <v>50</v>
      </c>
      <c r="F1157">
        <f>raw_data!F1157</f>
        <v>16.41</v>
      </c>
      <c r="G1157">
        <f>raw_data!G1157</f>
        <v>28.07</v>
      </c>
      <c r="H1157">
        <f>(raw_data!D1157*weights!$B$2)+(raw_data!E1157*weights!$B$3)+(raw_data!F1157*weights!$B$4)</f>
        <v>28.075000000000003</v>
      </c>
      <c r="I1157" t="str">
        <f t="shared" si="36"/>
        <v>Moderate</v>
      </c>
      <c r="J1157" t="str">
        <f t="shared" si="37"/>
        <v>2025 Q4</v>
      </c>
      <c r="K1157">
        <f>raw_data!H1157</f>
        <v>8.15</v>
      </c>
      <c r="L1157" s="13">
        <f>raw_data!I1157</f>
        <v>15</v>
      </c>
      <c r="M1157" s="13">
        <f>raw_data!J1157</f>
        <v>4.92</v>
      </c>
    </row>
    <row r="1158" spans="1:13" x14ac:dyDescent="0.2">
      <c r="A1158" t="str">
        <f>raw_data!A1158</f>
        <v>2025Q4</v>
      </c>
      <c r="B1158" t="str">
        <f>raw_data!B1158</f>
        <v>New South Wales</v>
      </c>
      <c r="C1158" t="str">
        <f>raw_data!C1158</f>
        <v>Professional, Scientific and Technical Services</v>
      </c>
      <c r="D1158">
        <f>raw_data!D1158</f>
        <v>18.670000000000002</v>
      </c>
      <c r="E1158">
        <f>raw_data!E1158</f>
        <v>57.69</v>
      </c>
      <c r="F1158">
        <f>raw_data!F1158</f>
        <v>27.53</v>
      </c>
      <c r="G1158">
        <f>raw_data!G1158</f>
        <v>33.04</v>
      </c>
      <c r="H1158">
        <f>(raw_data!D1158*weights!$B$2)+(raw_data!E1158*weights!$B$3)+(raw_data!F1158*weights!$B$4)</f>
        <v>33.033999999999999</v>
      </c>
      <c r="I1158" t="str">
        <f t="shared" si="36"/>
        <v>Moderate</v>
      </c>
      <c r="J1158" t="str">
        <f t="shared" si="37"/>
        <v>2025 Q4</v>
      </c>
      <c r="K1158">
        <f>raw_data!H1158</f>
        <v>7.47</v>
      </c>
      <c r="L1158" s="13">
        <f>raw_data!I1158</f>
        <v>17.309999999999999</v>
      </c>
      <c r="M1158" s="13">
        <f>raw_data!J1158</f>
        <v>8.26</v>
      </c>
    </row>
    <row r="1159" spans="1:13" x14ac:dyDescent="0.2">
      <c r="A1159" t="str">
        <f>raw_data!A1159</f>
        <v>2025Q4</v>
      </c>
      <c r="B1159" t="str">
        <f>raw_data!B1159</f>
        <v>Queensland</v>
      </c>
      <c r="C1159" t="str">
        <f>raw_data!C1159</f>
        <v>Accommodation and Food Services</v>
      </c>
      <c r="D1159">
        <f>raw_data!D1159</f>
        <v>55.54</v>
      </c>
      <c r="E1159">
        <f>raw_data!E1159</f>
        <v>51.92</v>
      </c>
      <c r="F1159">
        <f>raw_data!F1159</f>
        <v>14.11</v>
      </c>
      <c r="G1159">
        <f>raw_data!G1159</f>
        <v>42.02</v>
      </c>
      <c r="H1159">
        <f>(raw_data!D1159*weights!$B$2)+(raw_data!E1159*weights!$B$3)+(raw_data!F1159*weights!$B$4)</f>
        <v>42.024999999999999</v>
      </c>
      <c r="I1159" t="str">
        <f t="shared" si="36"/>
        <v>Moderate</v>
      </c>
      <c r="J1159" t="str">
        <f t="shared" si="37"/>
        <v>2025 Q4</v>
      </c>
      <c r="K1159">
        <f>raw_data!H1159</f>
        <v>22.22</v>
      </c>
      <c r="L1159" s="13">
        <f>raw_data!I1159</f>
        <v>15.58</v>
      </c>
      <c r="M1159" s="13">
        <f>raw_data!J1159</f>
        <v>4.2300000000000004</v>
      </c>
    </row>
    <row r="1160" spans="1:13" x14ac:dyDescent="0.2">
      <c r="A1160" t="str">
        <f>raw_data!A1160</f>
        <v>2025Q4</v>
      </c>
      <c r="B1160" t="str">
        <f>raw_data!B1160</f>
        <v>Queensland</v>
      </c>
      <c r="C1160" t="str">
        <f>raw_data!C1160</f>
        <v>Construction</v>
      </c>
      <c r="D1160">
        <f>raw_data!D1160</f>
        <v>14.86</v>
      </c>
      <c r="E1160">
        <f>raw_data!E1160</f>
        <v>61.54</v>
      </c>
      <c r="F1160">
        <f>raw_data!F1160</f>
        <v>15.35</v>
      </c>
      <c r="G1160">
        <f>raw_data!G1160</f>
        <v>29.01</v>
      </c>
      <c r="H1160">
        <f>(raw_data!D1160*weights!$B$2)+(raw_data!E1160*weights!$B$3)+(raw_data!F1160*weights!$B$4)</f>
        <v>29.010999999999999</v>
      </c>
      <c r="I1160" t="str">
        <f t="shared" si="36"/>
        <v>Moderate</v>
      </c>
      <c r="J1160" t="str">
        <f t="shared" si="37"/>
        <v>2025 Q4</v>
      </c>
      <c r="K1160">
        <f>raw_data!H1160</f>
        <v>5.94</v>
      </c>
      <c r="L1160" s="13">
        <f>raw_data!I1160</f>
        <v>18.46</v>
      </c>
      <c r="M1160" s="13">
        <f>raw_data!J1160</f>
        <v>4.5999999999999996</v>
      </c>
    </row>
    <row r="1161" spans="1:13" x14ac:dyDescent="0.2">
      <c r="A1161" t="str">
        <f>raw_data!A1161</f>
        <v>2025Q4</v>
      </c>
      <c r="B1161" t="str">
        <f>raw_data!B1161</f>
        <v>Queensland</v>
      </c>
      <c r="C1161" t="str">
        <f>raw_data!C1161</f>
        <v>Education and Training</v>
      </c>
      <c r="D1161">
        <f>raw_data!D1161</f>
        <v>9.93</v>
      </c>
      <c r="E1161">
        <f>raw_data!E1161</f>
        <v>65.38</v>
      </c>
      <c r="F1161">
        <f>raw_data!F1161</f>
        <v>10.75</v>
      </c>
      <c r="G1161">
        <f>raw_data!G1161</f>
        <v>26.81</v>
      </c>
      <c r="H1161">
        <f>(raw_data!D1161*weights!$B$2)+(raw_data!E1161*weights!$B$3)+(raw_data!F1161*weights!$B$4)</f>
        <v>26.811</v>
      </c>
      <c r="I1161" t="str">
        <f t="shared" si="36"/>
        <v>Moderate</v>
      </c>
      <c r="J1161" t="str">
        <f t="shared" si="37"/>
        <v>2025 Q4</v>
      </c>
      <c r="K1161">
        <f>raw_data!H1161</f>
        <v>3.97</v>
      </c>
      <c r="L1161" s="13">
        <f>raw_data!I1161</f>
        <v>19.62</v>
      </c>
      <c r="M1161" s="13">
        <f>raw_data!J1161</f>
        <v>3.22</v>
      </c>
    </row>
    <row r="1162" spans="1:13" x14ac:dyDescent="0.2">
      <c r="A1162" t="str">
        <f>raw_data!A1162</f>
        <v>2025Q4</v>
      </c>
      <c r="B1162" t="str">
        <f>raw_data!B1162</f>
        <v>Queensland</v>
      </c>
      <c r="C1162" t="str">
        <f>raw_data!C1162</f>
        <v>Health Care and Social Assistance</v>
      </c>
      <c r="D1162">
        <f>raw_data!D1162</f>
        <v>30.4</v>
      </c>
      <c r="E1162">
        <f>raw_data!E1162</f>
        <v>78.849999999999994</v>
      </c>
      <c r="F1162">
        <f>raw_data!F1162</f>
        <v>34.53</v>
      </c>
      <c r="G1162">
        <f>raw_data!G1162</f>
        <v>46.17</v>
      </c>
      <c r="H1162">
        <f>(raw_data!D1162*weights!$B$2)+(raw_data!E1162*weights!$B$3)+(raw_data!F1162*weights!$B$4)</f>
        <v>46.173999999999999</v>
      </c>
      <c r="I1162" t="str">
        <f t="shared" si="36"/>
        <v>High</v>
      </c>
      <c r="J1162" t="str">
        <f t="shared" si="37"/>
        <v>2025 Q4</v>
      </c>
      <c r="K1162">
        <f>raw_data!H1162</f>
        <v>12.16</v>
      </c>
      <c r="L1162" s="13">
        <f>raw_data!I1162</f>
        <v>23.65</v>
      </c>
      <c r="M1162" s="13">
        <f>raw_data!J1162</f>
        <v>10.36</v>
      </c>
    </row>
    <row r="1163" spans="1:13" x14ac:dyDescent="0.2">
      <c r="A1163" t="str">
        <f>raw_data!A1163</f>
        <v>2025Q4</v>
      </c>
      <c r="B1163" t="str">
        <f>raw_data!B1163</f>
        <v>Queensland</v>
      </c>
      <c r="C1163" t="str">
        <f>raw_data!C1163</f>
        <v>Manufacturing</v>
      </c>
      <c r="D1163">
        <f>raw_data!D1163</f>
        <v>32.5</v>
      </c>
      <c r="E1163">
        <f>raw_data!E1163</f>
        <v>50</v>
      </c>
      <c r="F1163">
        <f>raw_data!F1163</f>
        <v>17.48</v>
      </c>
      <c r="G1163">
        <f>raw_data!G1163</f>
        <v>33.24</v>
      </c>
      <c r="H1163">
        <f>(raw_data!D1163*weights!$B$2)+(raw_data!E1163*weights!$B$3)+(raw_data!F1163*weights!$B$4)</f>
        <v>33.244</v>
      </c>
      <c r="I1163" t="str">
        <f t="shared" si="36"/>
        <v>Moderate</v>
      </c>
      <c r="J1163" t="str">
        <f t="shared" si="37"/>
        <v>2025 Q4</v>
      </c>
      <c r="K1163">
        <f>raw_data!H1163</f>
        <v>13</v>
      </c>
      <c r="L1163" s="13">
        <f>raw_data!I1163</f>
        <v>15</v>
      </c>
      <c r="M1163" s="13">
        <f>raw_data!J1163</f>
        <v>5.24</v>
      </c>
    </row>
    <row r="1164" spans="1:13" x14ac:dyDescent="0.2">
      <c r="A1164" t="str">
        <f>raw_data!A1164</f>
        <v>2025Q4</v>
      </c>
      <c r="B1164" t="str">
        <f>raw_data!B1164</f>
        <v>Queensland</v>
      </c>
      <c r="C1164" t="str">
        <f>raw_data!C1164</f>
        <v>Professional, Scientific and Technical Services</v>
      </c>
      <c r="D1164">
        <f>raw_data!D1164</f>
        <v>39.39</v>
      </c>
      <c r="E1164">
        <f>raw_data!E1164</f>
        <v>57.69</v>
      </c>
      <c r="F1164">
        <f>raw_data!F1164</f>
        <v>22.74</v>
      </c>
      <c r="G1164">
        <f>raw_data!G1164</f>
        <v>39.89</v>
      </c>
      <c r="H1164">
        <f>(raw_data!D1164*weights!$B$2)+(raw_data!E1164*weights!$B$3)+(raw_data!F1164*weights!$B$4)</f>
        <v>39.885000000000005</v>
      </c>
      <c r="I1164" t="str">
        <f t="shared" si="36"/>
        <v>Moderate</v>
      </c>
      <c r="J1164" t="str">
        <f t="shared" si="37"/>
        <v>2025 Q4</v>
      </c>
      <c r="K1164">
        <f>raw_data!H1164</f>
        <v>15.76</v>
      </c>
      <c r="L1164" s="13">
        <f>raw_data!I1164</f>
        <v>17.309999999999999</v>
      </c>
      <c r="M1164" s="13">
        <f>raw_data!J1164</f>
        <v>6.82</v>
      </c>
    </row>
    <row r="1165" spans="1:13" x14ac:dyDescent="0.2">
      <c r="A1165" t="str">
        <f>raw_data!A1165</f>
        <v>2025Q4</v>
      </c>
      <c r="B1165" t="str">
        <f>raw_data!B1165</f>
        <v>Victoria</v>
      </c>
      <c r="C1165" t="str">
        <f>raw_data!C1165</f>
        <v>Accommodation and Food Services</v>
      </c>
      <c r="D1165">
        <f>raw_data!D1165</f>
        <v>48.11</v>
      </c>
      <c r="E1165">
        <f>raw_data!E1165</f>
        <v>51.92</v>
      </c>
      <c r="F1165">
        <f>raw_data!F1165</f>
        <v>19</v>
      </c>
      <c r="G1165">
        <f>raw_data!G1165</f>
        <v>40.520000000000003</v>
      </c>
      <c r="H1165">
        <f>(raw_data!D1165*weights!$B$2)+(raw_data!E1165*weights!$B$3)+(raw_data!F1165*weights!$B$4)</f>
        <v>40.520000000000003</v>
      </c>
      <c r="I1165" t="str">
        <f t="shared" si="36"/>
        <v>Moderate</v>
      </c>
      <c r="J1165" t="str">
        <f t="shared" si="37"/>
        <v>2025 Q4</v>
      </c>
      <c r="K1165">
        <f>raw_data!H1165</f>
        <v>19.239999999999998</v>
      </c>
      <c r="L1165" s="13">
        <f>raw_data!I1165</f>
        <v>15.58</v>
      </c>
      <c r="M1165" s="13">
        <f>raw_data!J1165</f>
        <v>5.7</v>
      </c>
    </row>
    <row r="1166" spans="1:13" x14ac:dyDescent="0.2">
      <c r="A1166" t="str">
        <f>raw_data!A1166</f>
        <v>2025Q4</v>
      </c>
      <c r="B1166" t="str">
        <f>raw_data!B1166</f>
        <v>Victoria</v>
      </c>
      <c r="C1166" t="str">
        <f>raw_data!C1166</f>
        <v>Construction</v>
      </c>
      <c r="D1166">
        <f>raw_data!D1166</f>
        <v>13.56</v>
      </c>
      <c r="E1166">
        <f>raw_data!E1166</f>
        <v>61.54</v>
      </c>
      <c r="F1166">
        <f>raw_data!F1166</f>
        <v>10.71</v>
      </c>
      <c r="G1166">
        <f>raw_data!G1166</f>
        <v>27.1</v>
      </c>
      <c r="H1166">
        <f>(raw_data!D1166*weights!$B$2)+(raw_data!E1166*weights!$B$3)+(raw_data!F1166*weights!$B$4)</f>
        <v>27.099</v>
      </c>
      <c r="I1166" t="str">
        <f t="shared" si="36"/>
        <v>Moderate</v>
      </c>
      <c r="J1166" t="str">
        <f t="shared" si="37"/>
        <v>2025 Q4</v>
      </c>
      <c r="K1166">
        <f>raw_data!H1166</f>
        <v>5.42</v>
      </c>
      <c r="L1166" s="13">
        <f>raw_data!I1166</f>
        <v>18.46</v>
      </c>
      <c r="M1166" s="13">
        <f>raw_data!J1166</f>
        <v>3.21</v>
      </c>
    </row>
    <row r="1167" spans="1:13" x14ac:dyDescent="0.2">
      <c r="A1167" t="str">
        <f>raw_data!A1167</f>
        <v>2025Q4</v>
      </c>
      <c r="B1167" t="str">
        <f>raw_data!B1167</f>
        <v>Victoria</v>
      </c>
      <c r="C1167" t="str">
        <f>raw_data!C1167</f>
        <v>Education and Training</v>
      </c>
      <c r="D1167">
        <f>raw_data!D1167</f>
        <v>6.16</v>
      </c>
      <c r="E1167">
        <f>raw_data!E1167</f>
        <v>65.38</v>
      </c>
      <c r="F1167">
        <f>raw_data!F1167</f>
        <v>5.16</v>
      </c>
      <c r="G1167">
        <f>raw_data!G1167</f>
        <v>23.63</v>
      </c>
      <c r="H1167">
        <f>(raw_data!D1167*weights!$B$2)+(raw_data!E1167*weights!$B$3)+(raw_data!F1167*weights!$B$4)</f>
        <v>23.625999999999998</v>
      </c>
      <c r="I1167" t="str">
        <f t="shared" si="36"/>
        <v>Low</v>
      </c>
      <c r="J1167" t="str">
        <f t="shared" si="37"/>
        <v>2025 Q4</v>
      </c>
      <c r="K1167">
        <f>raw_data!H1167</f>
        <v>2.46</v>
      </c>
      <c r="L1167" s="13">
        <f>raw_data!I1167</f>
        <v>19.62</v>
      </c>
      <c r="M1167" s="13">
        <f>raw_data!J1167</f>
        <v>1.55</v>
      </c>
    </row>
    <row r="1168" spans="1:13" x14ac:dyDescent="0.2">
      <c r="A1168" t="str">
        <f>raw_data!A1168</f>
        <v>2025Q4</v>
      </c>
      <c r="B1168" t="str">
        <f>raw_data!B1168</f>
        <v>Victoria</v>
      </c>
      <c r="C1168" t="str">
        <f>raw_data!C1168</f>
        <v>Health Care and Social Assistance</v>
      </c>
      <c r="D1168">
        <f>raw_data!D1168</f>
        <v>24.73</v>
      </c>
      <c r="E1168">
        <f>raw_data!E1168</f>
        <v>78.849999999999994</v>
      </c>
      <c r="F1168">
        <f>raw_data!F1168</f>
        <v>21.05</v>
      </c>
      <c r="G1168">
        <f>raw_data!G1168</f>
        <v>39.86</v>
      </c>
      <c r="H1168">
        <f>(raw_data!D1168*weights!$B$2)+(raw_data!E1168*weights!$B$3)+(raw_data!F1168*weights!$B$4)</f>
        <v>39.861999999999995</v>
      </c>
      <c r="I1168" t="str">
        <f t="shared" si="36"/>
        <v>Moderate</v>
      </c>
      <c r="J1168" t="str">
        <f t="shared" si="37"/>
        <v>2025 Q4</v>
      </c>
      <c r="K1168">
        <f>raw_data!H1168</f>
        <v>9.89</v>
      </c>
      <c r="L1168" s="13">
        <f>raw_data!I1168</f>
        <v>23.65</v>
      </c>
      <c r="M1168" s="13">
        <f>raw_data!J1168</f>
        <v>6.32</v>
      </c>
    </row>
    <row r="1169" spans="1:13" x14ac:dyDescent="0.2">
      <c r="A1169" t="str">
        <f>raw_data!A1169</f>
        <v>2025Q4</v>
      </c>
      <c r="B1169" t="str">
        <f>raw_data!B1169</f>
        <v>Victoria</v>
      </c>
      <c r="C1169" t="str">
        <f>raw_data!C1169</f>
        <v>Manufacturing</v>
      </c>
      <c r="D1169">
        <f>raw_data!D1169</f>
        <v>18.87</v>
      </c>
      <c r="E1169">
        <f>raw_data!E1169</f>
        <v>50</v>
      </c>
      <c r="F1169">
        <f>raw_data!F1169</f>
        <v>20.6</v>
      </c>
      <c r="G1169">
        <f>raw_data!G1169</f>
        <v>28.73</v>
      </c>
      <c r="H1169">
        <f>(raw_data!D1169*weights!$B$2)+(raw_data!E1169*weights!$B$3)+(raw_data!F1169*weights!$B$4)</f>
        <v>28.728000000000002</v>
      </c>
      <c r="I1169" t="str">
        <f t="shared" si="36"/>
        <v>Moderate</v>
      </c>
      <c r="J1169" t="str">
        <f t="shared" si="37"/>
        <v>2025 Q4</v>
      </c>
      <c r="K1169">
        <f>raw_data!H1169</f>
        <v>7.55</v>
      </c>
      <c r="L1169" s="13">
        <f>raw_data!I1169</f>
        <v>15</v>
      </c>
      <c r="M1169" s="13">
        <f>raw_data!J1169</f>
        <v>6.18</v>
      </c>
    </row>
    <row r="1170" spans="1:13" x14ac:dyDescent="0.2">
      <c r="A1170" t="str">
        <f>raw_data!A1170</f>
        <v>2025Q4</v>
      </c>
      <c r="B1170" t="str">
        <f>raw_data!B1170</f>
        <v>Victoria</v>
      </c>
      <c r="C1170" t="str">
        <f>raw_data!C1170</f>
        <v>Professional, Scientific and Technical Services</v>
      </c>
      <c r="D1170">
        <f>raw_data!D1170</f>
        <v>21.66</v>
      </c>
      <c r="E1170">
        <f>raw_data!E1170</f>
        <v>57.69</v>
      </c>
      <c r="F1170">
        <f>raw_data!F1170</f>
        <v>9.61</v>
      </c>
      <c r="G1170">
        <f>raw_data!G1170</f>
        <v>28.85</v>
      </c>
      <c r="H1170">
        <f>(raw_data!D1170*weights!$B$2)+(raw_data!E1170*weights!$B$3)+(raw_data!F1170*weights!$B$4)</f>
        <v>28.853999999999996</v>
      </c>
      <c r="I1170" t="str">
        <f t="shared" si="36"/>
        <v>Moderate</v>
      </c>
      <c r="J1170" t="str">
        <f t="shared" si="37"/>
        <v>2025 Q4</v>
      </c>
      <c r="K1170">
        <f>raw_data!H1170</f>
        <v>8.66</v>
      </c>
      <c r="L1170" s="13">
        <f>raw_data!I1170</f>
        <v>17.309999999999999</v>
      </c>
      <c r="M1170" s="13">
        <f>raw_data!J1170</f>
        <v>2.88</v>
      </c>
    </row>
    <row r="1171" spans="1:13" x14ac:dyDescent="0.2">
      <c r="A1171" t="str">
        <f>raw_data!A1171</f>
        <v>2026Q1</v>
      </c>
      <c r="B1171" t="str">
        <f>raw_data!B1171</f>
        <v>New South Wales</v>
      </c>
      <c r="C1171" t="str">
        <f>raw_data!C1171</f>
        <v>Accommodation and Food Services</v>
      </c>
      <c r="D1171">
        <f>raw_data!D1171</f>
        <v>50.22</v>
      </c>
      <c r="E1171">
        <f>raw_data!E1171</f>
        <v>51.92</v>
      </c>
      <c r="F1171">
        <f>raw_data!F1171</f>
        <v>10.48</v>
      </c>
      <c r="G1171">
        <f>raw_data!G1171</f>
        <v>38.81</v>
      </c>
      <c r="H1171">
        <f>(raw_data!D1171*weights!$B$2)+(raw_data!E1171*weights!$B$3)+(raw_data!F1171*weights!$B$4)</f>
        <v>38.808</v>
      </c>
      <c r="I1171" t="str">
        <f t="shared" si="36"/>
        <v>Moderate</v>
      </c>
      <c r="J1171" t="str">
        <f t="shared" si="37"/>
        <v>2026 Q1</v>
      </c>
      <c r="K1171">
        <f>raw_data!H1171</f>
        <v>20.09</v>
      </c>
      <c r="L1171" s="13">
        <f>raw_data!I1171</f>
        <v>15.58</v>
      </c>
      <c r="M1171" s="13">
        <f>raw_data!J1171</f>
        <v>3.14</v>
      </c>
    </row>
    <row r="1172" spans="1:13" x14ac:dyDescent="0.2">
      <c r="A1172" t="str">
        <f>raw_data!A1172</f>
        <v>2026Q1</v>
      </c>
      <c r="B1172" t="str">
        <f>raw_data!B1172</f>
        <v>New South Wales</v>
      </c>
      <c r="C1172" t="str">
        <f>raw_data!C1172</f>
        <v>Construction</v>
      </c>
      <c r="D1172">
        <f>raw_data!D1172</f>
        <v>12.17</v>
      </c>
      <c r="E1172">
        <f>raw_data!E1172</f>
        <v>55.77</v>
      </c>
      <c r="F1172">
        <f>raw_data!F1172</f>
        <v>10.75</v>
      </c>
      <c r="G1172">
        <f>raw_data!G1172</f>
        <v>24.82</v>
      </c>
      <c r="H1172">
        <f>(raw_data!D1172*weights!$B$2)+(raw_data!E1172*weights!$B$3)+(raw_data!F1172*weights!$B$4)</f>
        <v>24.824000000000005</v>
      </c>
      <c r="I1172" t="str">
        <f t="shared" si="36"/>
        <v>Low</v>
      </c>
      <c r="J1172" t="str">
        <f t="shared" si="37"/>
        <v>2026 Q1</v>
      </c>
      <c r="K1172">
        <f>raw_data!H1172</f>
        <v>4.87</v>
      </c>
      <c r="L1172" s="13">
        <f>raw_data!I1172</f>
        <v>16.73</v>
      </c>
      <c r="M1172" s="13">
        <f>raw_data!J1172</f>
        <v>3.22</v>
      </c>
    </row>
    <row r="1173" spans="1:13" x14ac:dyDescent="0.2">
      <c r="A1173" t="str">
        <f>raw_data!A1173</f>
        <v>2026Q1</v>
      </c>
      <c r="B1173" t="str">
        <f>raw_data!B1173</f>
        <v>New South Wales</v>
      </c>
      <c r="C1173" t="str">
        <f>raw_data!C1173</f>
        <v>Education and Training</v>
      </c>
      <c r="D1173">
        <f>raw_data!D1173</f>
        <v>6.44</v>
      </c>
      <c r="E1173">
        <f>raw_data!E1173</f>
        <v>51.92</v>
      </c>
      <c r="F1173">
        <f>raw_data!F1173</f>
        <v>7.57</v>
      </c>
      <c r="G1173">
        <f>raw_data!G1173</f>
        <v>20.420000000000002</v>
      </c>
      <c r="H1173">
        <f>(raw_data!D1173*weights!$B$2)+(raw_data!E1173*weights!$B$3)+(raw_data!F1173*weights!$B$4)</f>
        <v>20.423000000000002</v>
      </c>
      <c r="I1173" t="str">
        <f t="shared" si="36"/>
        <v>Low</v>
      </c>
      <c r="J1173" t="str">
        <f t="shared" si="37"/>
        <v>2026 Q1</v>
      </c>
      <c r="K1173">
        <f>raw_data!H1173</f>
        <v>2.57</v>
      </c>
      <c r="L1173" s="13">
        <f>raw_data!I1173</f>
        <v>15.58</v>
      </c>
      <c r="M1173" s="13">
        <f>raw_data!J1173</f>
        <v>2.27</v>
      </c>
    </row>
    <row r="1174" spans="1:13" x14ac:dyDescent="0.2">
      <c r="A1174" t="str">
        <f>raw_data!A1174</f>
        <v>2026Q1</v>
      </c>
      <c r="B1174" t="str">
        <f>raw_data!B1174</f>
        <v>New South Wales</v>
      </c>
      <c r="C1174" t="str">
        <f>raw_data!C1174</f>
        <v>Health Care and Social Assistance</v>
      </c>
      <c r="D1174">
        <f>raw_data!D1174</f>
        <v>21.57</v>
      </c>
      <c r="E1174">
        <f>raw_data!E1174</f>
        <v>63.46</v>
      </c>
      <c r="F1174">
        <f>raw_data!F1174</f>
        <v>25.07</v>
      </c>
      <c r="G1174">
        <f>raw_data!G1174</f>
        <v>35.19</v>
      </c>
      <c r="H1174">
        <f>(raw_data!D1174*weights!$B$2)+(raw_data!E1174*weights!$B$3)+(raw_data!F1174*weights!$B$4)</f>
        <v>35.186999999999998</v>
      </c>
      <c r="I1174" t="str">
        <f t="shared" si="36"/>
        <v>Moderate</v>
      </c>
      <c r="J1174" t="str">
        <f t="shared" si="37"/>
        <v>2026 Q1</v>
      </c>
      <c r="K1174">
        <f>raw_data!H1174</f>
        <v>8.6300000000000008</v>
      </c>
      <c r="L1174" s="13">
        <f>raw_data!I1174</f>
        <v>19.04</v>
      </c>
      <c r="M1174" s="13">
        <f>raw_data!J1174</f>
        <v>7.52</v>
      </c>
    </row>
    <row r="1175" spans="1:13" x14ac:dyDescent="0.2">
      <c r="A1175" t="str">
        <f>raw_data!A1175</f>
        <v>2026Q1</v>
      </c>
      <c r="B1175" t="str">
        <f>raw_data!B1175</f>
        <v>New South Wales</v>
      </c>
      <c r="C1175" t="str">
        <f>raw_data!C1175</f>
        <v>Manufacturing</v>
      </c>
      <c r="D1175">
        <f>raw_data!D1175</f>
        <v>19.29</v>
      </c>
      <c r="E1175">
        <f>raw_data!E1175</f>
        <v>55.77</v>
      </c>
      <c r="F1175">
        <f>raw_data!F1175</f>
        <v>9.35</v>
      </c>
      <c r="G1175">
        <f>raw_data!G1175</f>
        <v>27.25</v>
      </c>
      <c r="H1175">
        <f>(raw_data!D1175*weights!$B$2)+(raw_data!E1175*weights!$B$3)+(raw_data!F1175*weights!$B$4)</f>
        <v>27.252000000000002</v>
      </c>
      <c r="I1175" t="str">
        <f t="shared" si="36"/>
        <v>Moderate</v>
      </c>
      <c r="J1175" t="str">
        <f t="shared" si="37"/>
        <v>2026 Q1</v>
      </c>
      <c r="K1175">
        <f>raw_data!H1175</f>
        <v>7.72</v>
      </c>
      <c r="L1175" s="13">
        <f>raw_data!I1175</f>
        <v>16.73</v>
      </c>
      <c r="M1175" s="13">
        <f>raw_data!J1175</f>
        <v>2.81</v>
      </c>
    </row>
    <row r="1176" spans="1:13" x14ac:dyDescent="0.2">
      <c r="A1176" t="str">
        <f>raw_data!A1176</f>
        <v>2026Q1</v>
      </c>
      <c r="B1176" t="str">
        <f>raw_data!B1176</f>
        <v>New South Wales</v>
      </c>
      <c r="C1176" t="str">
        <f>raw_data!C1176</f>
        <v>Professional, Scientific and Technical Services</v>
      </c>
      <c r="D1176">
        <f>raw_data!D1176</f>
        <v>17.78</v>
      </c>
      <c r="E1176">
        <f>raw_data!E1176</f>
        <v>50</v>
      </c>
      <c r="F1176">
        <f>raw_data!F1176</f>
        <v>14.93</v>
      </c>
      <c r="G1176">
        <f>raw_data!G1176</f>
        <v>26.59</v>
      </c>
      <c r="H1176">
        <f>(raw_data!D1176*weights!$B$2)+(raw_data!E1176*weights!$B$3)+(raw_data!F1176*weights!$B$4)</f>
        <v>26.591000000000001</v>
      </c>
      <c r="I1176" t="str">
        <f t="shared" si="36"/>
        <v>Moderate</v>
      </c>
      <c r="J1176" t="str">
        <f t="shared" si="37"/>
        <v>2026 Q1</v>
      </c>
      <c r="K1176">
        <f>raw_data!H1176</f>
        <v>7.11</v>
      </c>
      <c r="L1176" s="13">
        <f>raw_data!I1176</f>
        <v>15</v>
      </c>
      <c r="M1176" s="13">
        <f>raw_data!J1176</f>
        <v>4.4800000000000004</v>
      </c>
    </row>
    <row r="1177" spans="1:13" x14ac:dyDescent="0.2">
      <c r="A1177" t="str">
        <f>raw_data!A1177</f>
        <v>2026Q1</v>
      </c>
      <c r="B1177" t="str">
        <f>raw_data!B1177</f>
        <v>Queensland</v>
      </c>
      <c r="C1177" t="str">
        <f>raw_data!C1177</f>
        <v>Accommodation and Food Services</v>
      </c>
      <c r="D1177">
        <f>raw_data!D1177</f>
        <v>62.7</v>
      </c>
      <c r="E1177">
        <f>raw_data!E1177</f>
        <v>51.92</v>
      </c>
      <c r="F1177">
        <f>raw_data!F1177</f>
        <v>11.41</v>
      </c>
      <c r="G1177">
        <f>raw_data!G1177</f>
        <v>44.08</v>
      </c>
      <c r="H1177">
        <f>(raw_data!D1177*weights!$B$2)+(raw_data!E1177*weights!$B$3)+(raw_data!F1177*weights!$B$4)</f>
        <v>44.079000000000008</v>
      </c>
      <c r="I1177" t="str">
        <f t="shared" si="36"/>
        <v>Moderate</v>
      </c>
      <c r="J1177" t="str">
        <f t="shared" si="37"/>
        <v>2026 Q1</v>
      </c>
      <c r="K1177">
        <f>raw_data!H1177</f>
        <v>25.08</v>
      </c>
      <c r="L1177" s="13">
        <f>raw_data!I1177</f>
        <v>15.58</v>
      </c>
      <c r="M1177" s="13">
        <f>raw_data!J1177</f>
        <v>3.42</v>
      </c>
    </row>
    <row r="1178" spans="1:13" x14ac:dyDescent="0.2">
      <c r="A1178" t="str">
        <f>raw_data!A1178</f>
        <v>2026Q1</v>
      </c>
      <c r="B1178" t="str">
        <f>raw_data!B1178</f>
        <v>Queensland</v>
      </c>
      <c r="C1178" t="str">
        <f>raw_data!C1178</f>
        <v>Construction</v>
      </c>
      <c r="D1178">
        <f>raw_data!D1178</f>
        <v>19.82</v>
      </c>
      <c r="E1178">
        <f>raw_data!E1178</f>
        <v>55.77</v>
      </c>
      <c r="F1178">
        <f>raw_data!F1178</f>
        <v>11.51</v>
      </c>
      <c r="G1178">
        <f>raw_data!G1178</f>
        <v>28.11</v>
      </c>
      <c r="H1178">
        <f>(raw_data!D1178*weights!$B$2)+(raw_data!E1178*weights!$B$3)+(raw_data!F1178*weights!$B$4)</f>
        <v>28.112000000000002</v>
      </c>
      <c r="I1178" t="str">
        <f t="shared" si="36"/>
        <v>Moderate</v>
      </c>
      <c r="J1178" t="str">
        <f t="shared" si="37"/>
        <v>2026 Q1</v>
      </c>
      <c r="K1178">
        <f>raw_data!H1178</f>
        <v>7.93</v>
      </c>
      <c r="L1178" s="13">
        <f>raw_data!I1178</f>
        <v>16.73</v>
      </c>
      <c r="M1178" s="13">
        <f>raw_data!J1178</f>
        <v>3.45</v>
      </c>
    </row>
    <row r="1179" spans="1:13" x14ac:dyDescent="0.2">
      <c r="A1179" t="str">
        <f>raw_data!A1179</f>
        <v>2026Q1</v>
      </c>
      <c r="B1179" t="str">
        <f>raw_data!B1179</f>
        <v>Queensland</v>
      </c>
      <c r="C1179" t="str">
        <f>raw_data!C1179</f>
        <v>Education and Training</v>
      </c>
      <c r="D1179">
        <f>raw_data!D1179</f>
        <v>10.73</v>
      </c>
      <c r="E1179">
        <f>raw_data!E1179</f>
        <v>51.92</v>
      </c>
      <c r="F1179">
        <f>raw_data!F1179</f>
        <v>12.01</v>
      </c>
      <c r="G1179">
        <f>raw_data!G1179</f>
        <v>23.47</v>
      </c>
      <c r="H1179">
        <f>(raw_data!D1179*weights!$B$2)+(raw_data!E1179*weights!$B$3)+(raw_data!F1179*weights!$B$4)</f>
        <v>23.471000000000004</v>
      </c>
      <c r="I1179" t="str">
        <f t="shared" si="36"/>
        <v>Low</v>
      </c>
      <c r="J1179" t="str">
        <f t="shared" si="37"/>
        <v>2026 Q1</v>
      </c>
      <c r="K1179">
        <f>raw_data!H1179</f>
        <v>4.29</v>
      </c>
      <c r="L1179" s="13">
        <f>raw_data!I1179</f>
        <v>15.58</v>
      </c>
      <c r="M1179" s="13">
        <f>raw_data!J1179</f>
        <v>3.6</v>
      </c>
    </row>
    <row r="1180" spans="1:13" x14ac:dyDescent="0.2">
      <c r="A1180" t="str">
        <f>raw_data!A1180</f>
        <v>2026Q1</v>
      </c>
      <c r="B1180" t="str">
        <f>raw_data!B1180</f>
        <v>Queensland</v>
      </c>
      <c r="C1180" t="str">
        <f>raw_data!C1180</f>
        <v>Health Care and Social Assistance</v>
      </c>
      <c r="D1180">
        <f>raw_data!D1180</f>
        <v>28.46</v>
      </c>
      <c r="E1180">
        <f>raw_data!E1180</f>
        <v>63.46</v>
      </c>
      <c r="F1180">
        <f>raw_data!F1180</f>
        <v>24.22</v>
      </c>
      <c r="G1180">
        <f>raw_data!G1180</f>
        <v>37.69</v>
      </c>
      <c r="H1180">
        <f>(raw_data!D1180*weights!$B$2)+(raw_data!E1180*weights!$B$3)+(raw_data!F1180*weights!$B$4)</f>
        <v>37.688000000000002</v>
      </c>
      <c r="I1180" t="str">
        <f t="shared" si="36"/>
        <v>Moderate</v>
      </c>
      <c r="J1180" t="str">
        <f t="shared" si="37"/>
        <v>2026 Q1</v>
      </c>
      <c r="K1180">
        <f>raw_data!H1180</f>
        <v>11.38</v>
      </c>
      <c r="L1180" s="13">
        <f>raw_data!I1180</f>
        <v>19.04</v>
      </c>
      <c r="M1180" s="13">
        <f>raw_data!J1180</f>
        <v>7.26</v>
      </c>
    </row>
    <row r="1181" spans="1:13" x14ac:dyDescent="0.2">
      <c r="A1181" t="str">
        <f>raw_data!A1181</f>
        <v>2026Q1</v>
      </c>
      <c r="B1181" t="str">
        <f>raw_data!B1181</f>
        <v>Queensland</v>
      </c>
      <c r="C1181" t="str">
        <f>raw_data!C1181</f>
        <v>Manufacturing</v>
      </c>
      <c r="D1181">
        <f>raw_data!D1181</f>
        <v>30.15</v>
      </c>
      <c r="E1181">
        <f>raw_data!E1181</f>
        <v>55.77</v>
      </c>
      <c r="F1181">
        <f>raw_data!F1181</f>
        <v>18.649999999999999</v>
      </c>
      <c r="G1181">
        <f>raw_data!G1181</f>
        <v>34.39</v>
      </c>
      <c r="H1181">
        <f>(raw_data!D1181*weights!$B$2)+(raw_data!E1181*weights!$B$3)+(raw_data!F1181*weights!$B$4)</f>
        <v>34.386000000000003</v>
      </c>
      <c r="I1181" t="str">
        <f t="shared" si="36"/>
        <v>Moderate</v>
      </c>
      <c r="J1181" t="str">
        <f t="shared" si="37"/>
        <v>2026 Q1</v>
      </c>
      <c r="K1181">
        <f>raw_data!H1181</f>
        <v>12.06</v>
      </c>
      <c r="L1181" s="13">
        <f>raw_data!I1181</f>
        <v>16.73</v>
      </c>
      <c r="M1181" s="13">
        <f>raw_data!J1181</f>
        <v>5.6</v>
      </c>
    </row>
    <row r="1182" spans="1:13" x14ac:dyDescent="0.2">
      <c r="A1182" t="str">
        <f>raw_data!A1182</f>
        <v>2026Q1</v>
      </c>
      <c r="B1182" t="str">
        <f>raw_data!B1182</f>
        <v>Queensland</v>
      </c>
      <c r="C1182" t="str">
        <f>raw_data!C1182</f>
        <v>Professional, Scientific and Technical Services</v>
      </c>
      <c r="D1182">
        <f>raw_data!D1182</f>
        <v>39.799999999999997</v>
      </c>
      <c r="E1182">
        <f>raw_data!E1182</f>
        <v>50</v>
      </c>
      <c r="F1182">
        <f>raw_data!F1182</f>
        <v>19.7</v>
      </c>
      <c r="G1182">
        <f>raw_data!G1182</f>
        <v>36.83</v>
      </c>
      <c r="H1182">
        <f>(raw_data!D1182*weights!$B$2)+(raw_data!E1182*weights!$B$3)+(raw_data!F1182*weights!$B$4)</f>
        <v>36.83</v>
      </c>
      <c r="I1182" t="str">
        <f t="shared" si="36"/>
        <v>Moderate</v>
      </c>
      <c r="J1182" t="str">
        <f t="shared" si="37"/>
        <v>2026 Q1</v>
      </c>
      <c r="K1182">
        <f>raw_data!H1182</f>
        <v>15.92</v>
      </c>
      <c r="L1182" s="13">
        <f>raw_data!I1182</f>
        <v>15</v>
      </c>
      <c r="M1182" s="13">
        <f>raw_data!J1182</f>
        <v>5.91</v>
      </c>
    </row>
    <row r="1183" spans="1:13" x14ac:dyDescent="0.2">
      <c r="A1183" t="str">
        <f>raw_data!A1183</f>
        <v>2026Q1</v>
      </c>
      <c r="B1183" t="str">
        <f>raw_data!B1183</f>
        <v>Victoria</v>
      </c>
      <c r="C1183" t="str">
        <f>raw_data!C1183</f>
        <v>Accommodation and Food Services</v>
      </c>
      <c r="D1183">
        <f>raw_data!D1183</f>
        <v>56.1</v>
      </c>
      <c r="E1183">
        <f>raw_data!E1183</f>
        <v>51.92</v>
      </c>
      <c r="F1183">
        <f>raw_data!F1183</f>
        <v>15.46</v>
      </c>
      <c r="G1183">
        <f>raw_data!G1183</f>
        <v>42.65</v>
      </c>
      <c r="H1183">
        <f>(raw_data!D1183*weights!$B$2)+(raw_data!E1183*weights!$B$3)+(raw_data!F1183*weights!$B$4)</f>
        <v>42.654000000000003</v>
      </c>
      <c r="I1183" t="str">
        <f t="shared" si="36"/>
        <v>Moderate</v>
      </c>
      <c r="J1183" t="str">
        <f t="shared" si="37"/>
        <v>2026 Q1</v>
      </c>
      <c r="K1183">
        <f>raw_data!H1183</f>
        <v>22.44</v>
      </c>
      <c r="L1183" s="13">
        <f>raw_data!I1183</f>
        <v>15.58</v>
      </c>
      <c r="M1183" s="13">
        <f>raw_data!J1183</f>
        <v>4.6399999999999997</v>
      </c>
    </row>
    <row r="1184" spans="1:13" x14ac:dyDescent="0.2">
      <c r="A1184" t="str">
        <f>raw_data!A1184</f>
        <v>2026Q1</v>
      </c>
      <c r="B1184" t="str">
        <f>raw_data!B1184</f>
        <v>Victoria</v>
      </c>
      <c r="C1184" t="str">
        <f>raw_data!C1184</f>
        <v>Construction</v>
      </c>
      <c r="D1184">
        <f>raw_data!D1184</f>
        <v>15.7</v>
      </c>
      <c r="E1184">
        <f>raw_data!E1184</f>
        <v>55.77</v>
      </c>
      <c r="F1184">
        <f>raw_data!F1184</f>
        <v>10.34</v>
      </c>
      <c r="G1184">
        <f>raw_data!G1184</f>
        <v>26.11</v>
      </c>
      <c r="H1184">
        <f>(raw_data!D1184*weights!$B$2)+(raw_data!E1184*weights!$B$3)+(raw_data!F1184*weights!$B$4)</f>
        <v>26.113000000000003</v>
      </c>
      <c r="I1184" t="str">
        <f t="shared" si="36"/>
        <v>Moderate</v>
      </c>
      <c r="J1184" t="str">
        <f t="shared" si="37"/>
        <v>2026 Q1</v>
      </c>
      <c r="K1184">
        <f>raw_data!H1184</f>
        <v>6.28</v>
      </c>
      <c r="L1184" s="13">
        <f>raw_data!I1184</f>
        <v>16.73</v>
      </c>
      <c r="M1184" s="13">
        <f>raw_data!J1184</f>
        <v>3.1</v>
      </c>
    </row>
    <row r="1185" spans="1:13" x14ac:dyDescent="0.2">
      <c r="A1185" t="str">
        <f>raw_data!A1185</f>
        <v>2026Q1</v>
      </c>
      <c r="B1185" t="str">
        <f>raw_data!B1185</f>
        <v>Victoria</v>
      </c>
      <c r="C1185" t="str">
        <f>raw_data!C1185</f>
        <v>Education and Training</v>
      </c>
      <c r="D1185">
        <f>raw_data!D1185</f>
        <v>7.02</v>
      </c>
      <c r="E1185">
        <f>raw_data!E1185</f>
        <v>51.92</v>
      </c>
      <c r="F1185">
        <f>raw_data!F1185</f>
        <v>5.01</v>
      </c>
      <c r="G1185">
        <f>raw_data!G1185</f>
        <v>19.89</v>
      </c>
      <c r="H1185">
        <f>(raw_data!D1185*weights!$B$2)+(raw_data!E1185*weights!$B$3)+(raw_data!F1185*weights!$B$4)</f>
        <v>19.887</v>
      </c>
      <c r="I1185" t="str">
        <f t="shared" si="36"/>
        <v>Low</v>
      </c>
      <c r="J1185" t="str">
        <f t="shared" si="37"/>
        <v>2026 Q1</v>
      </c>
      <c r="K1185">
        <f>raw_data!H1185</f>
        <v>2.81</v>
      </c>
      <c r="L1185" s="13">
        <f>raw_data!I1185</f>
        <v>15.58</v>
      </c>
      <c r="M1185" s="13">
        <f>raw_data!J1185</f>
        <v>1.5</v>
      </c>
    </row>
    <row r="1186" spans="1:13" x14ac:dyDescent="0.2">
      <c r="A1186" t="str">
        <f>raw_data!A1186</f>
        <v>2026Q1</v>
      </c>
      <c r="B1186" t="str">
        <f>raw_data!B1186</f>
        <v>Victoria</v>
      </c>
      <c r="C1186" t="str">
        <f>raw_data!C1186</f>
        <v>Health Care and Social Assistance</v>
      </c>
      <c r="D1186">
        <f>raw_data!D1186</f>
        <v>23.7</v>
      </c>
      <c r="E1186">
        <f>raw_data!E1186</f>
        <v>63.46</v>
      </c>
      <c r="F1186">
        <f>raw_data!F1186</f>
        <v>32.590000000000003</v>
      </c>
      <c r="G1186">
        <f>raw_data!G1186</f>
        <v>38.299999999999997</v>
      </c>
      <c r="H1186">
        <f>(raw_data!D1186*weights!$B$2)+(raw_data!E1186*weights!$B$3)+(raw_data!F1186*weights!$B$4)</f>
        <v>38.295000000000002</v>
      </c>
      <c r="I1186" t="str">
        <f t="shared" si="36"/>
        <v>Moderate</v>
      </c>
      <c r="J1186" t="str">
        <f t="shared" si="37"/>
        <v>2026 Q1</v>
      </c>
      <c r="K1186">
        <f>raw_data!H1186</f>
        <v>9.48</v>
      </c>
      <c r="L1186" s="13">
        <f>raw_data!I1186</f>
        <v>19.04</v>
      </c>
      <c r="M1186" s="13">
        <f>raw_data!J1186</f>
        <v>9.7799999999999994</v>
      </c>
    </row>
    <row r="1187" spans="1:13" x14ac:dyDescent="0.2">
      <c r="A1187" t="str">
        <f>raw_data!A1187</f>
        <v>2026Q1</v>
      </c>
      <c r="B1187" t="str">
        <f>raw_data!B1187</f>
        <v>Victoria</v>
      </c>
      <c r="C1187" t="str">
        <f>raw_data!C1187</f>
        <v>Manufacturing</v>
      </c>
      <c r="D1187">
        <f>raw_data!D1187</f>
        <v>17.73</v>
      </c>
      <c r="E1187">
        <f>raw_data!E1187</f>
        <v>55.77</v>
      </c>
      <c r="F1187">
        <f>raw_data!F1187</f>
        <v>7.51</v>
      </c>
      <c r="G1187">
        <f>raw_data!G1187</f>
        <v>26.08</v>
      </c>
      <c r="H1187">
        <f>(raw_data!D1187*weights!$B$2)+(raw_data!E1187*weights!$B$3)+(raw_data!F1187*weights!$B$4)</f>
        <v>26.076000000000001</v>
      </c>
      <c r="I1187" t="str">
        <f t="shared" si="36"/>
        <v>Moderate</v>
      </c>
      <c r="J1187" t="str">
        <f t="shared" si="37"/>
        <v>2026 Q1</v>
      </c>
      <c r="K1187">
        <f>raw_data!H1187</f>
        <v>7.09</v>
      </c>
      <c r="L1187" s="13">
        <f>raw_data!I1187</f>
        <v>16.73</v>
      </c>
      <c r="M1187" s="13">
        <f>raw_data!J1187</f>
        <v>2.25</v>
      </c>
    </row>
    <row r="1188" spans="1:13" x14ac:dyDescent="0.2">
      <c r="A1188" t="str">
        <f>raw_data!A1188</f>
        <v>2026Q1</v>
      </c>
      <c r="B1188" t="str">
        <f>raw_data!B1188</f>
        <v>Victoria</v>
      </c>
      <c r="C1188" t="str">
        <f>raw_data!C1188</f>
        <v>Professional, Scientific and Technical Services</v>
      </c>
      <c r="D1188">
        <f>raw_data!D1188</f>
        <v>24.11</v>
      </c>
      <c r="E1188">
        <f>raw_data!E1188</f>
        <v>50</v>
      </c>
      <c r="F1188">
        <f>raw_data!F1188</f>
        <v>14.61</v>
      </c>
      <c r="G1188">
        <f>raw_data!G1188</f>
        <v>29.03</v>
      </c>
      <c r="H1188">
        <f>(raw_data!D1188*weights!$B$2)+(raw_data!E1188*weights!$B$3)+(raw_data!F1188*weights!$B$4)</f>
        <v>29.026999999999997</v>
      </c>
      <c r="I1188" t="str">
        <f t="shared" si="36"/>
        <v>Moderate</v>
      </c>
      <c r="J1188" t="str">
        <f t="shared" si="37"/>
        <v>2026 Q1</v>
      </c>
      <c r="K1188">
        <f>raw_data!H1188</f>
        <v>9.65</v>
      </c>
      <c r="L1188" s="13">
        <f>raw_data!I1188</f>
        <v>15</v>
      </c>
      <c r="M1188" s="13">
        <f>raw_data!J1188</f>
        <v>4.38</v>
      </c>
    </row>
  </sheetData>
  <conditionalFormatting sqref="I2:I1188">
    <cfRule type="containsText" dxfId="11" priority="1" operator="containsText" text="Critical">
      <formula>NOT(ISERROR(SEARCH("Critical",I2)))</formula>
    </cfRule>
    <cfRule type="containsText" dxfId="10" priority="2" stopIfTrue="1" operator="containsText" text="High">
      <formula>NOT(ISERROR(SEARCH("High",I2)))</formula>
    </cfRule>
    <cfRule type="containsText" dxfId="9" priority="3" operator="containsText" text="Moderate">
      <formula>NOT(ISERROR(SEARCH("Moderate",I2)))</formula>
    </cfRule>
    <cfRule type="containsText" dxfId="8" priority="4" operator="containsText" text="Low">
      <formula>NOT(ISERROR(SEARCH("Low",I2)))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E54F-8D3C-D64F-921D-415C323F4E9B}">
  <dimension ref="A1:W47"/>
  <sheetViews>
    <sheetView workbookViewId="0">
      <selection activeCell="G58" sqref="G58"/>
    </sheetView>
  </sheetViews>
  <sheetFormatPr baseColWidth="10" defaultRowHeight="16" x14ac:dyDescent="0.2"/>
  <cols>
    <col min="7" max="7" width="35.1640625" bestFit="1" customWidth="1"/>
  </cols>
  <sheetData>
    <row r="1" spans="1:7" x14ac:dyDescent="0.2">
      <c r="A1" s="8" t="s">
        <v>118</v>
      </c>
      <c r="B1" s="8" t="s">
        <v>119</v>
      </c>
      <c r="C1" s="8" t="s">
        <v>120</v>
      </c>
      <c r="D1" s="8" t="s">
        <v>121</v>
      </c>
      <c r="E1" s="8" t="s">
        <v>122</v>
      </c>
      <c r="F1" s="8" t="s">
        <v>123</v>
      </c>
      <c r="G1" s="8" t="s">
        <v>124</v>
      </c>
    </row>
    <row r="2" spans="1:7" x14ac:dyDescent="0.2">
      <c r="A2" s="5">
        <v>0.4</v>
      </c>
      <c r="B2" s="5">
        <v>0.3</v>
      </c>
      <c r="C2" s="5">
        <v>0.3</v>
      </c>
      <c r="D2" cm="1">
        <f t="array" ref="D2">ROUND(AVERAGE(raw_data!D$2:$D$1188*A2+raw_data!E$2:$E$1188*B2+raw_data!F$2:$F$1188*C2),2)</f>
        <v>26.16</v>
      </c>
      <c r="E2" s="5" cm="1">
        <f t="array" ref="E2">ROUND(MAX(raw_data!D$2:$D$1188*A2+raw_data!E$2:$E$1188*B2+raw_data!F$2:$F$1188*C2),2)</f>
        <v>65.84</v>
      </c>
      <c r="F2" s="5" cm="1">
        <f t="array" ref="F2">ROUND(MIN(raw_data!D$2:$D$1188*A2+raw_data!E$2:$E$1188*B2+raw_data!F$2:$F$1188*C2),2)</f>
        <v>5.03</v>
      </c>
      <c r="G2" t="str">
        <f>IF(E2&gt;60,"Peak remains Critical across all scenarios","Peak does not reach Critical band")</f>
        <v>Peak remains Critical across all scenarios</v>
      </c>
    </row>
    <row r="3" spans="1:7" x14ac:dyDescent="0.2">
      <c r="A3" s="5">
        <v>0.5</v>
      </c>
      <c r="B3">
        <v>0.25</v>
      </c>
      <c r="C3">
        <v>0.25</v>
      </c>
      <c r="D3" s="5" cm="1">
        <f t="array" ref="D3">ROUND(AVERAGE(raw_data!D$2:$D$1188*A3+raw_data!E$2:$E$1188*B3+raw_data!F$2:$F$1188*C3),2)</f>
        <v>25</v>
      </c>
      <c r="E3" cm="1">
        <f t="array" ref="E3">ROUND(MAX(raw_data!D$2:$D$1188*A3+raw_data!E$2:$E$1188*B3+raw_data!F$2:$F$1188*C3),2)</f>
        <v>70.849999999999994</v>
      </c>
      <c r="F3" cm="1">
        <f t="array" ref="F3">ROUND(MIN(raw_data!D$2:$D$1188*A3+raw_data!E$2:$E$1188*B3+raw_data!F$2:$F$1188*C3),2)</f>
        <v>4.82</v>
      </c>
      <c r="G3" t="str">
        <f>IF(E3&gt;60,"Peak remains Critical across all scenarios","Peak does not reach Critical band")</f>
        <v>Peak remains Critical across all scenarios</v>
      </c>
    </row>
    <row r="4" spans="1:7" x14ac:dyDescent="0.2">
      <c r="A4">
        <v>0.33</v>
      </c>
      <c r="B4">
        <v>0.33</v>
      </c>
      <c r="C4">
        <v>0.34</v>
      </c>
      <c r="D4" s="5" cm="1">
        <f t="array" ref="D4">ROUND(AVERAGE(raw_data!D$2:$D$1188*A4+raw_data!E$2:$E$1188*B4+raw_data!F$2:$F$1188*C4),2)</f>
        <v>26.8</v>
      </c>
      <c r="E4" cm="1">
        <f t="array" ref="E4">ROUND(MAX(raw_data!D$2:$D$1188*A4+raw_data!E$2:$E$1188*B4+raw_data!F$2:$F$1188*C4),2)</f>
        <v>66.209999999999994</v>
      </c>
      <c r="F4" cm="1">
        <f t="array" ref="F4">ROUND(MIN(raw_data!D$2:$D$1188*A4+raw_data!E$2:$E$1188*B4+raw_data!F$2:$F$1188*C4),2)</f>
        <v>5.14</v>
      </c>
      <c r="G4" t="str">
        <f>IF(E4&gt;60,"Peak remains Critical across all scenarios","Peak does not reach Critical band")</f>
        <v>Peak remains Critical across all scenarios</v>
      </c>
    </row>
    <row r="5" spans="1:7" x14ac:dyDescent="0.2">
      <c r="A5" s="5">
        <v>0.6</v>
      </c>
      <c r="B5" s="5">
        <v>0.2</v>
      </c>
      <c r="C5" s="5">
        <v>0.2</v>
      </c>
      <c r="D5" cm="1">
        <f t="array" ref="D5">ROUND(AVERAGE(raw_data!D$2:$D$1188*A5+raw_data!E$2:$E$1188*B5+raw_data!F$2:$F$1188*C5),2)</f>
        <v>23.84</v>
      </c>
      <c r="E5" s="5" cm="1">
        <f t="array" ref="E5">ROUND(MAX(raw_data!D$2:$D$1188*A5+raw_data!E$2:$E$1188*B5+raw_data!F$2:$F$1188*C5),2)</f>
        <v>76.680000000000007</v>
      </c>
      <c r="F5" s="5" cm="1">
        <f t="array" ref="F5">ROUND(MIN(raw_data!D$2:$D$1188*A5+raw_data!E$2:$E$1188*B5+raw_data!F$2:$F$1188*C5),2)</f>
        <v>4.6100000000000003</v>
      </c>
      <c r="G5" t="str">
        <f>IF(E5&gt;60,"Peak remains Critical across all scenarios","Peak does not reach Critical band")</f>
        <v>Peak remains Critical across all scenarios</v>
      </c>
    </row>
    <row r="6" spans="1:7" x14ac:dyDescent="0.2">
      <c r="A6" s="5">
        <v>0.3</v>
      </c>
      <c r="B6" s="5">
        <v>0.4</v>
      </c>
      <c r="C6" s="5">
        <v>0.3</v>
      </c>
      <c r="D6" s="5" cm="1">
        <f t="array" ref="D6">ROUND(AVERAGE(raw_data!D$2:$D$1188*A6+raw_data!E$2:$E$1188*B6+raw_data!F$2:$F$1188*C6),2)</f>
        <v>29.1</v>
      </c>
      <c r="E6" s="5" cm="1">
        <f t="array" ref="E6">ROUND(MAX(raw_data!D$2:$D$1188*A6+raw_data!E$2:$E$1188*B6+raw_data!F$2:$F$1188*C6),2)</f>
        <v>66.5</v>
      </c>
      <c r="F6" s="5" cm="1">
        <f t="array" ref="F6">ROUND(MIN(raw_data!D$2:$D$1188*A6+raw_data!E$2:$E$1188*B6+raw_data!F$2:$F$1188*C6),2)</f>
        <v>5.62</v>
      </c>
      <c r="G6" t="str">
        <f>IF(E6&gt;60,"Peak remains Critical across all scenarios","Peak does not reach Critical band")</f>
        <v>Peak remains Critical across all scenarios</v>
      </c>
    </row>
    <row r="23" spans="18:23" ht="17" x14ac:dyDescent="0.25">
      <c r="R23" s="9"/>
    </row>
    <row r="25" spans="18:23" x14ac:dyDescent="0.2">
      <c r="R25" s="1"/>
      <c r="S25" s="1"/>
      <c r="T25" s="1"/>
      <c r="U25" s="1"/>
      <c r="V25" s="1"/>
      <c r="W25" s="1"/>
    </row>
    <row r="30" spans="18:23" x14ac:dyDescent="0.2">
      <c r="R30" s="1"/>
      <c r="S30" s="1"/>
      <c r="T30" s="1"/>
    </row>
    <row r="39" spans="18:18" ht="17" x14ac:dyDescent="0.25">
      <c r="R39" s="9"/>
    </row>
    <row r="43" spans="18:18" ht="17" x14ac:dyDescent="0.25">
      <c r="R43" s="9"/>
    </row>
    <row r="47" spans="18:18" ht="17" x14ac:dyDescent="0.25">
      <c r="R47" s="9"/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6EA0-DBE7-AE4B-8C0C-01F3B3555875}">
  <dimension ref="A1:H1188"/>
  <sheetViews>
    <sheetView workbookViewId="0">
      <selection activeCell="Q40" sqref="Q40"/>
    </sheetView>
  </sheetViews>
  <sheetFormatPr baseColWidth="10" defaultRowHeight="16" x14ac:dyDescent="0.2"/>
  <cols>
    <col min="1" max="1" width="7.5" bestFit="1" customWidth="1"/>
    <col min="2" max="2" width="15.1640625" bestFit="1" customWidth="1"/>
    <col min="3" max="3" width="39" bestFit="1" customWidth="1"/>
    <col min="4" max="5" width="10" bestFit="1" customWidth="1"/>
    <col min="6" max="6" width="15.1640625" bestFit="1" customWidth="1"/>
    <col min="8" max="8" width="21.1640625" bestFit="1" customWidth="1"/>
  </cols>
  <sheetData>
    <row r="1" spans="1:8" x14ac:dyDescent="0.2">
      <c r="A1" s="11" t="s">
        <v>0</v>
      </c>
      <c r="B1" s="11" t="s">
        <v>1</v>
      </c>
      <c r="C1" s="11" t="s">
        <v>2</v>
      </c>
      <c r="D1" s="11" t="s">
        <v>105</v>
      </c>
      <c r="E1" s="11" t="s">
        <v>106</v>
      </c>
      <c r="F1" s="11" t="s">
        <v>107</v>
      </c>
      <c r="G1" s="11" t="s">
        <v>108</v>
      </c>
      <c r="H1" s="11" t="s">
        <v>109</v>
      </c>
    </row>
    <row r="2" spans="1:8" x14ac:dyDescent="0.2">
      <c r="A2" t="s">
        <v>7</v>
      </c>
      <c r="B2" t="s">
        <v>8</v>
      </c>
      <c r="C2" t="s">
        <v>9</v>
      </c>
      <c r="D2">
        <v>23.88</v>
      </c>
      <c r="E2">
        <v>21.64</v>
      </c>
      <c r="F2">
        <v>-2.2400000000000002</v>
      </c>
      <c r="G2">
        <f>ABS(lmsi_v1_v2_comparison[[#This Row],[score_change]])</f>
        <v>2.2400000000000002</v>
      </c>
      <c r="H2" t="str">
        <f>IF(lmsi_v1_v2_comparison[[#This Row],[score_change]]&gt;0, "v2 Higher","v2 Lower")</f>
        <v>v2 Lower</v>
      </c>
    </row>
    <row r="3" spans="1:8" x14ac:dyDescent="0.2">
      <c r="A3" t="s">
        <v>7</v>
      </c>
      <c r="B3" t="s">
        <v>8</v>
      </c>
      <c r="C3" t="s">
        <v>10</v>
      </c>
      <c r="D3">
        <v>24.51</v>
      </c>
      <c r="E3">
        <v>22.84</v>
      </c>
      <c r="F3">
        <v>-1.67</v>
      </c>
      <c r="G3">
        <f>ABS(lmsi_v1_v2_comparison[[#This Row],[score_change]])</f>
        <v>1.67</v>
      </c>
      <c r="H3" t="str">
        <f>IF(lmsi_v1_v2_comparison[[#This Row],[score_change]]&gt;0, "v2 Higher","v2 Lower")</f>
        <v>v2 Lower</v>
      </c>
    </row>
    <row r="4" spans="1:8" x14ac:dyDescent="0.2">
      <c r="A4" t="s">
        <v>7</v>
      </c>
      <c r="B4" t="s">
        <v>8</v>
      </c>
      <c r="C4" t="s">
        <v>11</v>
      </c>
      <c r="D4">
        <v>22.19</v>
      </c>
      <c r="E4">
        <v>22.61</v>
      </c>
      <c r="F4">
        <v>0.42</v>
      </c>
      <c r="G4">
        <f>ABS(lmsi_v1_v2_comparison[[#This Row],[score_change]])</f>
        <v>0.42</v>
      </c>
      <c r="H4" t="str">
        <f>IF(lmsi_v1_v2_comparison[[#This Row],[score_change]]&gt;0, "v2 Higher","v2 Lower")</f>
        <v>v2 Higher</v>
      </c>
    </row>
    <row r="5" spans="1:8" x14ac:dyDescent="0.2">
      <c r="A5" t="s">
        <v>7</v>
      </c>
      <c r="B5" t="s">
        <v>8</v>
      </c>
      <c r="C5" t="s">
        <v>12</v>
      </c>
      <c r="D5">
        <v>26.31</v>
      </c>
      <c r="E5">
        <v>28.18</v>
      </c>
      <c r="F5">
        <v>1.87</v>
      </c>
      <c r="G5">
        <f>ABS(lmsi_v1_v2_comparison[[#This Row],[score_change]])</f>
        <v>1.87</v>
      </c>
      <c r="H5" t="str">
        <f>IF(lmsi_v1_v2_comparison[[#This Row],[score_change]]&gt;0, "v2 Higher","v2 Lower")</f>
        <v>v2 Higher</v>
      </c>
    </row>
    <row r="6" spans="1:8" x14ac:dyDescent="0.2">
      <c r="A6" t="s">
        <v>7</v>
      </c>
      <c r="B6" t="s">
        <v>8</v>
      </c>
      <c r="C6" t="s">
        <v>13</v>
      </c>
      <c r="D6">
        <v>13.71</v>
      </c>
      <c r="E6">
        <v>13.4</v>
      </c>
      <c r="F6">
        <v>-0.31</v>
      </c>
      <c r="G6">
        <f>ABS(lmsi_v1_v2_comparison[[#This Row],[score_change]])</f>
        <v>0.31</v>
      </c>
      <c r="H6" t="str">
        <f>IF(lmsi_v1_v2_comparison[[#This Row],[score_change]]&gt;0, "v2 Higher","v2 Lower")</f>
        <v>v2 Lower</v>
      </c>
    </row>
    <row r="7" spans="1:8" x14ac:dyDescent="0.2">
      <c r="A7" t="s">
        <v>7</v>
      </c>
      <c r="B7" t="s">
        <v>8</v>
      </c>
      <c r="C7" t="s">
        <v>14</v>
      </c>
      <c r="D7">
        <v>22.65</v>
      </c>
      <c r="E7">
        <v>21.46</v>
      </c>
      <c r="F7">
        <v>-1.19</v>
      </c>
      <c r="G7">
        <f>ABS(lmsi_v1_v2_comparison[[#This Row],[score_change]])</f>
        <v>1.19</v>
      </c>
      <c r="H7" t="str">
        <f>IF(lmsi_v1_v2_comparison[[#This Row],[score_change]]&gt;0, "v2 Higher","v2 Lower")</f>
        <v>v2 Lower</v>
      </c>
    </row>
    <row r="8" spans="1:8" x14ac:dyDescent="0.2">
      <c r="A8" t="s">
        <v>7</v>
      </c>
      <c r="B8" t="s">
        <v>15</v>
      </c>
      <c r="C8" t="s">
        <v>9</v>
      </c>
      <c r="D8">
        <v>30.53</v>
      </c>
      <c r="E8">
        <v>27.26</v>
      </c>
      <c r="F8">
        <v>-3.27</v>
      </c>
      <c r="G8">
        <f>ABS(lmsi_v1_v2_comparison[[#This Row],[score_change]])</f>
        <v>3.27</v>
      </c>
      <c r="H8" t="str">
        <f>IF(lmsi_v1_v2_comparison[[#This Row],[score_change]]&gt;0, "v2 Higher","v2 Lower")</f>
        <v>v2 Lower</v>
      </c>
    </row>
    <row r="9" spans="1:8" x14ac:dyDescent="0.2">
      <c r="A9" t="s">
        <v>7</v>
      </c>
      <c r="B9" t="s">
        <v>15</v>
      </c>
      <c r="C9" t="s">
        <v>10</v>
      </c>
      <c r="D9">
        <v>26.14</v>
      </c>
      <c r="E9">
        <v>24.25</v>
      </c>
      <c r="F9">
        <v>-1.89</v>
      </c>
      <c r="G9">
        <f>ABS(lmsi_v1_v2_comparison[[#This Row],[score_change]])</f>
        <v>1.89</v>
      </c>
      <c r="H9" t="str">
        <f>IF(lmsi_v1_v2_comparison[[#This Row],[score_change]]&gt;0, "v2 Higher","v2 Lower")</f>
        <v>v2 Lower</v>
      </c>
    </row>
    <row r="10" spans="1:8" x14ac:dyDescent="0.2">
      <c r="A10" t="s">
        <v>7</v>
      </c>
      <c r="B10" t="s">
        <v>15</v>
      </c>
      <c r="C10" t="s">
        <v>11</v>
      </c>
      <c r="D10">
        <v>23.76</v>
      </c>
      <c r="E10">
        <v>24.08</v>
      </c>
      <c r="F10">
        <v>0.32</v>
      </c>
      <c r="G10">
        <f>ABS(lmsi_v1_v2_comparison[[#This Row],[score_change]])</f>
        <v>0.32</v>
      </c>
      <c r="H10" t="str">
        <f>IF(lmsi_v1_v2_comparison[[#This Row],[score_change]]&gt;0, "v2 Higher","v2 Lower")</f>
        <v>v2 Higher</v>
      </c>
    </row>
    <row r="11" spans="1:8" x14ac:dyDescent="0.2">
      <c r="A11" t="s">
        <v>7</v>
      </c>
      <c r="B11" t="s">
        <v>15</v>
      </c>
      <c r="C11" t="s">
        <v>12</v>
      </c>
      <c r="D11">
        <v>30.56</v>
      </c>
      <c r="E11">
        <v>29.04</v>
      </c>
      <c r="F11">
        <v>-1.52</v>
      </c>
      <c r="G11">
        <f>ABS(lmsi_v1_v2_comparison[[#This Row],[score_change]])</f>
        <v>1.52</v>
      </c>
      <c r="H11" t="str">
        <f>IF(lmsi_v1_v2_comparison[[#This Row],[score_change]]&gt;0, "v2 Higher","v2 Lower")</f>
        <v>v2 Lower</v>
      </c>
    </row>
    <row r="12" spans="1:8" x14ac:dyDescent="0.2">
      <c r="A12" t="s">
        <v>7</v>
      </c>
      <c r="B12" t="s">
        <v>15</v>
      </c>
      <c r="C12" t="s">
        <v>13</v>
      </c>
      <c r="D12">
        <v>17.170000000000002</v>
      </c>
      <c r="E12">
        <v>17.12</v>
      </c>
      <c r="F12">
        <v>-0.05</v>
      </c>
      <c r="G12">
        <f>ABS(lmsi_v1_v2_comparison[[#This Row],[score_change]])</f>
        <v>0.05</v>
      </c>
      <c r="H12" t="str">
        <f>IF(lmsi_v1_v2_comparison[[#This Row],[score_change]]&gt;0, "v2 Higher","v2 Lower")</f>
        <v>v2 Lower</v>
      </c>
    </row>
    <row r="13" spans="1:8" x14ac:dyDescent="0.2">
      <c r="A13" t="s">
        <v>7</v>
      </c>
      <c r="B13" t="s">
        <v>15</v>
      </c>
      <c r="C13" t="s">
        <v>14</v>
      </c>
      <c r="D13">
        <v>30.46</v>
      </c>
      <c r="E13">
        <v>31</v>
      </c>
      <c r="F13">
        <v>0.54</v>
      </c>
      <c r="G13">
        <f>ABS(lmsi_v1_v2_comparison[[#This Row],[score_change]])</f>
        <v>0.54</v>
      </c>
      <c r="H13" t="str">
        <f>IF(lmsi_v1_v2_comparison[[#This Row],[score_change]]&gt;0, "v2 Higher","v2 Lower")</f>
        <v>v2 Higher</v>
      </c>
    </row>
    <row r="14" spans="1:8" x14ac:dyDescent="0.2">
      <c r="A14" t="s">
        <v>7</v>
      </c>
      <c r="B14" t="s">
        <v>16</v>
      </c>
      <c r="C14" t="s">
        <v>9</v>
      </c>
      <c r="D14">
        <v>27.86</v>
      </c>
      <c r="E14">
        <v>25.59</v>
      </c>
      <c r="F14">
        <v>-2.27</v>
      </c>
      <c r="G14">
        <f>ABS(lmsi_v1_v2_comparison[[#This Row],[score_change]])</f>
        <v>2.27</v>
      </c>
      <c r="H14" t="str">
        <f>IF(lmsi_v1_v2_comparison[[#This Row],[score_change]]&gt;0, "v2 Higher","v2 Lower")</f>
        <v>v2 Lower</v>
      </c>
    </row>
    <row r="15" spans="1:8" x14ac:dyDescent="0.2">
      <c r="A15" t="s">
        <v>7</v>
      </c>
      <c r="B15" t="s">
        <v>16</v>
      </c>
      <c r="C15" t="s">
        <v>10</v>
      </c>
      <c r="D15">
        <v>26.78</v>
      </c>
      <c r="E15">
        <v>25.6</v>
      </c>
      <c r="F15">
        <v>-1.18</v>
      </c>
      <c r="G15">
        <f>ABS(lmsi_v1_v2_comparison[[#This Row],[score_change]])</f>
        <v>1.18</v>
      </c>
      <c r="H15" t="str">
        <f>IF(lmsi_v1_v2_comparison[[#This Row],[score_change]]&gt;0, "v2 Higher","v2 Lower")</f>
        <v>v2 Lower</v>
      </c>
    </row>
    <row r="16" spans="1:8" x14ac:dyDescent="0.2">
      <c r="A16" t="s">
        <v>7</v>
      </c>
      <c r="B16" t="s">
        <v>16</v>
      </c>
      <c r="C16" t="s">
        <v>11</v>
      </c>
      <c r="D16">
        <v>22.7</v>
      </c>
      <c r="E16">
        <v>23.21</v>
      </c>
      <c r="F16">
        <v>0.51</v>
      </c>
      <c r="G16">
        <f>ABS(lmsi_v1_v2_comparison[[#This Row],[score_change]])</f>
        <v>0.51</v>
      </c>
      <c r="H16" t="str">
        <f>IF(lmsi_v1_v2_comparison[[#This Row],[score_change]]&gt;0, "v2 Higher","v2 Lower")</f>
        <v>v2 Higher</v>
      </c>
    </row>
    <row r="17" spans="1:8" x14ac:dyDescent="0.2">
      <c r="A17" t="s">
        <v>7</v>
      </c>
      <c r="B17" t="s">
        <v>16</v>
      </c>
      <c r="C17" t="s">
        <v>12</v>
      </c>
      <c r="D17">
        <v>27.87</v>
      </c>
      <c r="E17">
        <v>31.55</v>
      </c>
      <c r="F17">
        <v>3.68</v>
      </c>
      <c r="G17">
        <f>ABS(lmsi_v1_v2_comparison[[#This Row],[score_change]])</f>
        <v>3.68</v>
      </c>
      <c r="H17" t="str">
        <f>IF(lmsi_v1_v2_comparison[[#This Row],[score_change]]&gt;0, "v2 Higher","v2 Lower")</f>
        <v>v2 Higher</v>
      </c>
    </row>
    <row r="18" spans="1:8" x14ac:dyDescent="0.2">
      <c r="A18" t="s">
        <v>7</v>
      </c>
      <c r="B18" t="s">
        <v>16</v>
      </c>
      <c r="C18" t="s">
        <v>13</v>
      </c>
      <c r="D18">
        <v>13.85</v>
      </c>
      <c r="E18">
        <v>13.37</v>
      </c>
      <c r="F18">
        <v>-0.48</v>
      </c>
      <c r="G18">
        <f>ABS(lmsi_v1_v2_comparison[[#This Row],[score_change]])</f>
        <v>0.48</v>
      </c>
      <c r="H18" t="str">
        <f>IF(lmsi_v1_v2_comparison[[#This Row],[score_change]]&gt;0, "v2 Higher","v2 Lower")</f>
        <v>v2 Lower</v>
      </c>
    </row>
    <row r="19" spans="1:8" x14ac:dyDescent="0.2">
      <c r="A19" t="s">
        <v>7</v>
      </c>
      <c r="B19" t="s">
        <v>16</v>
      </c>
      <c r="C19" t="s">
        <v>14</v>
      </c>
      <c r="D19">
        <v>24.9</v>
      </c>
      <c r="E19">
        <v>25.89</v>
      </c>
      <c r="F19">
        <v>0.99</v>
      </c>
      <c r="G19">
        <f>ABS(lmsi_v1_v2_comparison[[#This Row],[score_change]])</f>
        <v>0.99</v>
      </c>
      <c r="H19" t="str">
        <f>IF(lmsi_v1_v2_comparison[[#This Row],[score_change]]&gt;0, "v2 Higher","v2 Lower")</f>
        <v>v2 Higher</v>
      </c>
    </row>
    <row r="20" spans="1:8" x14ac:dyDescent="0.2">
      <c r="A20" t="s">
        <v>17</v>
      </c>
      <c r="B20" t="s">
        <v>8</v>
      </c>
      <c r="C20" t="s">
        <v>9</v>
      </c>
      <c r="D20">
        <v>19.04</v>
      </c>
      <c r="E20">
        <v>17.39</v>
      </c>
      <c r="F20">
        <v>-1.65</v>
      </c>
      <c r="G20">
        <f>ABS(lmsi_v1_v2_comparison[[#This Row],[score_change]])</f>
        <v>1.65</v>
      </c>
      <c r="H20" t="str">
        <f>IF(lmsi_v1_v2_comparison[[#This Row],[score_change]]&gt;0, "v2 Higher","v2 Lower")</f>
        <v>v2 Lower</v>
      </c>
    </row>
    <row r="21" spans="1:8" x14ac:dyDescent="0.2">
      <c r="A21" t="s">
        <v>17</v>
      </c>
      <c r="B21" t="s">
        <v>8</v>
      </c>
      <c r="C21" t="s">
        <v>10</v>
      </c>
      <c r="D21">
        <v>22.78</v>
      </c>
      <c r="E21">
        <v>21.65</v>
      </c>
      <c r="F21">
        <v>-1.1299999999999999</v>
      </c>
      <c r="G21">
        <f>ABS(lmsi_v1_v2_comparison[[#This Row],[score_change]])</f>
        <v>1.1299999999999999</v>
      </c>
      <c r="H21" t="str">
        <f>IF(lmsi_v1_v2_comparison[[#This Row],[score_change]]&gt;0, "v2 Higher","v2 Lower")</f>
        <v>v2 Lower</v>
      </c>
    </row>
    <row r="22" spans="1:8" x14ac:dyDescent="0.2">
      <c r="A22" t="s">
        <v>17</v>
      </c>
      <c r="B22" t="s">
        <v>8</v>
      </c>
      <c r="C22" t="s">
        <v>11</v>
      </c>
      <c r="D22">
        <v>25.44</v>
      </c>
      <c r="E22">
        <v>24.9</v>
      </c>
      <c r="F22">
        <v>-0.54</v>
      </c>
      <c r="G22">
        <f>ABS(lmsi_v1_v2_comparison[[#This Row],[score_change]])</f>
        <v>0.54</v>
      </c>
      <c r="H22" t="str">
        <f>IF(lmsi_v1_v2_comparison[[#This Row],[score_change]]&gt;0, "v2 Higher","v2 Lower")</f>
        <v>v2 Lower</v>
      </c>
    </row>
    <row r="23" spans="1:8" x14ac:dyDescent="0.2">
      <c r="A23" t="s">
        <v>17</v>
      </c>
      <c r="B23" t="s">
        <v>8</v>
      </c>
      <c r="C23" t="s">
        <v>12</v>
      </c>
      <c r="D23">
        <v>25.14</v>
      </c>
      <c r="E23">
        <v>25.61</v>
      </c>
      <c r="F23">
        <v>0.47</v>
      </c>
      <c r="G23">
        <f>ABS(lmsi_v1_v2_comparison[[#This Row],[score_change]])</f>
        <v>0.47</v>
      </c>
      <c r="H23" t="str">
        <f>IF(lmsi_v1_v2_comparison[[#This Row],[score_change]]&gt;0, "v2 Higher","v2 Lower")</f>
        <v>v2 Higher</v>
      </c>
    </row>
    <row r="24" spans="1:8" x14ac:dyDescent="0.2">
      <c r="A24" t="s">
        <v>17</v>
      </c>
      <c r="B24" t="s">
        <v>8</v>
      </c>
      <c r="C24" t="s">
        <v>13</v>
      </c>
      <c r="D24">
        <v>15.64</v>
      </c>
      <c r="E24">
        <v>15.23</v>
      </c>
      <c r="F24">
        <v>-0.41</v>
      </c>
      <c r="G24">
        <f>ABS(lmsi_v1_v2_comparison[[#This Row],[score_change]])</f>
        <v>0.41</v>
      </c>
      <c r="H24" t="str">
        <f>IF(lmsi_v1_v2_comparison[[#This Row],[score_change]]&gt;0, "v2 Higher","v2 Lower")</f>
        <v>v2 Lower</v>
      </c>
    </row>
    <row r="25" spans="1:8" x14ac:dyDescent="0.2">
      <c r="A25" t="s">
        <v>17</v>
      </c>
      <c r="B25" t="s">
        <v>8</v>
      </c>
      <c r="C25" t="s">
        <v>14</v>
      </c>
      <c r="D25">
        <v>25.13</v>
      </c>
      <c r="E25">
        <v>24.08</v>
      </c>
      <c r="F25">
        <v>-1.05</v>
      </c>
      <c r="G25">
        <f>ABS(lmsi_v1_v2_comparison[[#This Row],[score_change]])</f>
        <v>1.05</v>
      </c>
      <c r="H25" t="str">
        <f>IF(lmsi_v1_v2_comparison[[#This Row],[score_change]]&gt;0, "v2 Higher","v2 Lower")</f>
        <v>v2 Lower</v>
      </c>
    </row>
    <row r="26" spans="1:8" x14ac:dyDescent="0.2">
      <c r="A26" t="s">
        <v>17</v>
      </c>
      <c r="B26" t="s">
        <v>15</v>
      </c>
      <c r="C26" t="s">
        <v>9</v>
      </c>
      <c r="D26">
        <v>25.06</v>
      </c>
      <c r="E26">
        <v>22.36</v>
      </c>
      <c r="F26">
        <v>-2.7</v>
      </c>
      <c r="G26">
        <f>ABS(lmsi_v1_v2_comparison[[#This Row],[score_change]])</f>
        <v>2.7</v>
      </c>
      <c r="H26" t="str">
        <f>IF(lmsi_v1_v2_comparison[[#This Row],[score_change]]&gt;0, "v2 Higher","v2 Lower")</f>
        <v>v2 Lower</v>
      </c>
    </row>
    <row r="27" spans="1:8" x14ac:dyDescent="0.2">
      <c r="A27" t="s">
        <v>17</v>
      </c>
      <c r="B27" t="s">
        <v>15</v>
      </c>
      <c r="C27" t="s">
        <v>10</v>
      </c>
      <c r="D27">
        <v>24.85</v>
      </c>
      <c r="E27">
        <v>22.75</v>
      </c>
      <c r="F27">
        <v>-2.1</v>
      </c>
      <c r="G27">
        <f>ABS(lmsi_v1_v2_comparison[[#This Row],[score_change]])</f>
        <v>2.1</v>
      </c>
      <c r="H27" t="str">
        <f>IF(lmsi_v1_v2_comparison[[#This Row],[score_change]]&gt;0, "v2 Higher","v2 Lower")</f>
        <v>v2 Lower</v>
      </c>
    </row>
    <row r="28" spans="1:8" x14ac:dyDescent="0.2">
      <c r="A28" t="s">
        <v>17</v>
      </c>
      <c r="B28" t="s">
        <v>15</v>
      </c>
      <c r="C28" t="s">
        <v>11</v>
      </c>
      <c r="D28">
        <v>27.22</v>
      </c>
      <c r="E28">
        <v>25.8</v>
      </c>
      <c r="F28">
        <v>-1.42</v>
      </c>
      <c r="G28">
        <f>ABS(lmsi_v1_v2_comparison[[#This Row],[score_change]])</f>
        <v>1.42</v>
      </c>
      <c r="H28" t="str">
        <f>IF(lmsi_v1_v2_comparison[[#This Row],[score_change]]&gt;0, "v2 Higher","v2 Lower")</f>
        <v>v2 Lower</v>
      </c>
    </row>
    <row r="29" spans="1:8" x14ac:dyDescent="0.2">
      <c r="A29" t="s">
        <v>17</v>
      </c>
      <c r="B29" t="s">
        <v>15</v>
      </c>
      <c r="C29" t="s">
        <v>12</v>
      </c>
      <c r="D29">
        <v>28.9</v>
      </c>
      <c r="E29">
        <v>29.89</v>
      </c>
      <c r="F29">
        <v>0.99</v>
      </c>
      <c r="G29">
        <f>ABS(lmsi_v1_v2_comparison[[#This Row],[score_change]])</f>
        <v>0.99</v>
      </c>
      <c r="H29" t="str">
        <f>IF(lmsi_v1_v2_comparison[[#This Row],[score_change]]&gt;0, "v2 Higher","v2 Lower")</f>
        <v>v2 Higher</v>
      </c>
    </row>
    <row r="30" spans="1:8" x14ac:dyDescent="0.2">
      <c r="A30" t="s">
        <v>17</v>
      </c>
      <c r="B30" t="s">
        <v>15</v>
      </c>
      <c r="C30" t="s">
        <v>13</v>
      </c>
      <c r="D30">
        <v>20.45</v>
      </c>
      <c r="E30">
        <v>19.3</v>
      </c>
      <c r="F30">
        <v>-1.1499999999999999</v>
      </c>
      <c r="G30">
        <f>ABS(lmsi_v1_v2_comparison[[#This Row],[score_change]])</f>
        <v>1.1499999999999999</v>
      </c>
      <c r="H30" t="str">
        <f>IF(lmsi_v1_v2_comparison[[#This Row],[score_change]]&gt;0, "v2 Higher","v2 Lower")</f>
        <v>v2 Lower</v>
      </c>
    </row>
    <row r="31" spans="1:8" x14ac:dyDescent="0.2">
      <c r="A31" t="s">
        <v>17</v>
      </c>
      <c r="B31" t="s">
        <v>15</v>
      </c>
      <c r="C31" t="s">
        <v>14</v>
      </c>
      <c r="D31">
        <v>36.19</v>
      </c>
      <c r="E31">
        <v>34.659999999999997</v>
      </c>
      <c r="F31">
        <v>-1.53</v>
      </c>
      <c r="G31">
        <f>ABS(lmsi_v1_v2_comparison[[#This Row],[score_change]])</f>
        <v>1.53</v>
      </c>
      <c r="H31" t="str">
        <f>IF(lmsi_v1_v2_comparison[[#This Row],[score_change]]&gt;0, "v2 Higher","v2 Lower")</f>
        <v>v2 Lower</v>
      </c>
    </row>
    <row r="32" spans="1:8" x14ac:dyDescent="0.2">
      <c r="A32" t="s">
        <v>17</v>
      </c>
      <c r="B32" t="s">
        <v>16</v>
      </c>
      <c r="C32" t="s">
        <v>9</v>
      </c>
      <c r="D32">
        <v>21.79</v>
      </c>
      <c r="E32">
        <v>20.399999999999999</v>
      </c>
      <c r="F32">
        <v>-1.39</v>
      </c>
      <c r="G32">
        <f>ABS(lmsi_v1_v2_comparison[[#This Row],[score_change]])</f>
        <v>1.39</v>
      </c>
      <c r="H32" t="str">
        <f>IF(lmsi_v1_v2_comparison[[#This Row],[score_change]]&gt;0, "v2 Higher","v2 Lower")</f>
        <v>v2 Lower</v>
      </c>
    </row>
    <row r="33" spans="1:8" x14ac:dyDescent="0.2">
      <c r="A33" t="s">
        <v>17</v>
      </c>
      <c r="B33" t="s">
        <v>16</v>
      </c>
      <c r="C33" t="s">
        <v>10</v>
      </c>
      <c r="D33">
        <v>24.49</v>
      </c>
      <c r="E33">
        <v>24.02</v>
      </c>
      <c r="F33">
        <v>-0.47</v>
      </c>
      <c r="G33">
        <f>ABS(lmsi_v1_v2_comparison[[#This Row],[score_change]])</f>
        <v>0.47</v>
      </c>
      <c r="H33" t="str">
        <f>IF(lmsi_v1_v2_comparison[[#This Row],[score_change]]&gt;0, "v2 Higher","v2 Lower")</f>
        <v>v2 Lower</v>
      </c>
    </row>
    <row r="34" spans="1:8" x14ac:dyDescent="0.2">
      <c r="A34" t="s">
        <v>17</v>
      </c>
      <c r="B34" t="s">
        <v>16</v>
      </c>
      <c r="C34" t="s">
        <v>11</v>
      </c>
      <c r="D34">
        <v>25.9</v>
      </c>
      <c r="E34">
        <v>25.42</v>
      </c>
      <c r="F34">
        <v>-0.48</v>
      </c>
      <c r="G34">
        <f>ABS(lmsi_v1_v2_comparison[[#This Row],[score_change]])</f>
        <v>0.48</v>
      </c>
      <c r="H34" t="str">
        <f>IF(lmsi_v1_v2_comparison[[#This Row],[score_change]]&gt;0, "v2 Higher","v2 Lower")</f>
        <v>v2 Lower</v>
      </c>
    </row>
    <row r="35" spans="1:8" x14ac:dyDescent="0.2">
      <c r="A35" t="s">
        <v>17</v>
      </c>
      <c r="B35" t="s">
        <v>16</v>
      </c>
      <c r="C35" t="s">
        <v>12</v>
      </c>
      <c r="D35">
        <v>26.7</v>
      </c>
      <c r="E35">
        <v>26.48</v>
      </c>
      <c r="F35">
        <v>-0.22</v>
      </c>
      <c r="G35">
        <f>ABS(lmsi_v1_v2_comparison[[#This Row],[score_change]])</f>
        <v>0.22</v>
      </c>
      <c r="H35" t="str">
        <f>IF(lmsi_v1_v2_comparison[[#This Row],[score_change]]&gt;0, "v2 Higher","v2 Lower")</f>
        <v>v2 Lower</v>
      </c>
    </row>
    <row r="36" spans="1:8" x14ac:dyDescent="0.2">
      <c r="A36" t="s">
        <v>17</v>
      </c>
      <c r="B36" t="s">
        <v>16</v>
      </c>
      <c r="C36" t="s">
        <v>13</v>
      </c>
      <c r="D36">
        <v>15.52</v>
      </c>
      <c r="E36">
        <v>14.92</v>
      </c>
      <c r="F36">
        <v>-0.6</v>
      </c>
      <c r="G36">
        <f>ABS(lmsi_v1_v2_comparison[[#This Row],[score_change]])</f>
        <v>0.6</v>
      </c>
      <c r="H36" t="str">
        <f>IF(lmsi_v1_v2_comparison[[#This Row],[score_change]]&gt;0, "v2 Higher","v2 Lower")</f>
        <v>v2 Lower</v>
      </c>
    </row>
    <row r="37" spans="1:8" x14ac:dyDescent="0.2">
      <c r="A37" t="s">
        <v>17</v>
      </c>
      <c r="B37" t="s">
        <v>16</v>
      </c>
      <c r="C37" t="s">
        <v>14</v>
      </c>
      <c r="D37">
        <v>29.27</v>
      </c>
      <c r="E37">
        <v>27.72</v>
      </c>
      <c r="F37">
        <v>-1.55</v>
      </c>
      <c r="G37">
        <f>ABS(lmsi_v1_v2_comparison[[#This Row],[score_change]])</f>
        <v>1.55</v>
      </c>
      <c r="H37" t="str">
        <f>IF(lmsi_v1_v2_comparison[[#This Row],[score_change]]&gt;0, "v2 Higher","v2 Lower")</f>
        <v>v2 Lower</v>
      </c>
    </row>
    <row r="38" spans="1:8" x14ac:dyDescent="0.2">
      <c r="A38" t="s">
        <v>18</v>
      </c>
      <c r="B38" t="s">
        <v>8</v>
      </c>
      <c r="C38" t="s">
        <v>9</v>
      </c>
      <c r="D38">
        <v>15.39</v>
      </c>
      <c r="E38">
        <v>14.34</v>
      </c>
      <c r="F38">
        <v>-1.05</v>
      </c>
      <c r="G38">
        <f>ABS(lmsi_v1_v2_comparison[[#This Row],[score_change]])</f>
        <v>1.05</v>
      </c>
      <c r="H38" t="str">
        <f>IF(lmsi_v1_v2_comparison[[#This Row],[score_change]]&gt;0, "v2 Higher","v2 Lower")</f>
        <v>v2 Lower</v>
      </c>
    </row>
    <row r="39" spans="1:8" x14ac:dyDescent="0.2">
      <c r="A39" t="s">
        <v>18</v>
      </c>
      <c r="B39" t="s">
        <v>8</v>
      </c>
      <c r="C39" t="s">
        <v>10</v>
      </c>
      <c r="D39">
        <v>21.71</v>
      </c>
      <c r="E39">
        <v>21.04</v>
      </c>
      <c r="F39">
        <v>-0.67</v>
      </c>
      <c r="G39">
        <f>ABS(lmsi_v1_v2_comparison[[#This Row],[score_change]])</f>
        <v>0.67</v>
      </c>
      <c r="H39" t="str">
        <f>IF(lmsi_v1_v2_comparison[[#This Row],[score_change]]&gt;0, "v2 Higher","v2 Lower")</f>
        <v>v2 Lower</v>
      </c>
    </row>
    <row r="40" spans="1:8" x14ac:dyDescent="0.2">
      <c r="A40" t="s">
        <v>18</v>
      </c>
      <c r="B40" t="s">
        <v>8</v>
      </c>
      <c r="C40" t="s">
        <v>11</v>
      </c>
      <c r="D40">
        <v>22.86</v>
      </c>
      <c r="E40">
        <v>23.78</v>
      </c>
      <c r="F40">
        <v>0.92</v>
      </c>
      <c r="G40">
        <f>ABS(lmsi_v1_v2_comparison[[#This Row],[score_change]])</f>
        <v>0.92</v>
      </c>
      <c r="H40" t="str">
        <f>IF(lmsi_v1_v2_comparison[[#This Row],[score_change]]&gt;0, "v2 Higher","v2 Lower")</f>
        <v>v2 Higher</v>
      </c>
    </row>
    <row r="41" spans="1:8" x14ac:dyDescent="0.2">
      <c r="A41" t="s">
        <v>18</v>
      </c>
      <c r="B41" t="s">
        <v>8</v>
      </c>
      <c r="C41" t="s">
        <v>12</v>
      </c>
      <c r="D41">
        <v>27.57</v>
      </c>
      <c r="E41">
        <v>28.53</v>
      </c>
      <c r="F41">
        <v>0.96</v>
      </c>
      <c r="G41">
        <f>ABS(lmsi_v1_v2_comparison[[#This Row],[score_change]])</f>
        <v>0.96</v>
      </c>
      <c r="H41" t="str">
        <f>IF(lmsi_v1_v2_comparison[[#This Row],[score_change]]&gt;0, "v2 Higher","v2 Lower")</f>
        <v>v2 Higher</v>
      </c>
    </row>
    <row r="42" spans="1:8" x14ac:dyDescent="0.2">
      <c r="A42" t="s">
        <v>18</v>
      </c>
      <c r="B42" t="s">
        <v>8</v>
      </c>
      <c r="C42" t="s">
        <v>13</v>
      </c>
      <c r="D42">
        <v>18.02</v>
      </c>
      <c r="E42">
        <v>17.399999999999999</v>
      </c>
      <c r="F42">
        <v>-0.62</v>
      </c>
      <c r="G42">
        <f>ABS(lmsi_v1_v2_comparison[[#This Row],[score_change]])</f>
        <v>0.62</v>
      </c>
      <c r="H42" t="str">
        <f>IF(lmsi_v1_v2_comparison[[#This Row],[score_change]]&gt;0, "v2 Higher","v2 Lower")</f>
        <v>v2 Lower</v>
      </c>
    </row>
    <row r="43" spans="1:8" x14ac:dyDescent="0.2">
      <c r="A43" t="s">
        <v>18</v>
      </c>
      <c r="B43" t="s">
        <v>8</v>
      </c>
      <c r="C43" t="s">
        <v>14</v>
      </c>
      <c r="D43">
        <v>22.41</v>
      </c>
      <c r="E43">
        <v>22.01</v>
      </c>
      <c r="F43">
        <v>-0.4</v>
      </c>
      <c r="G43">
        <f>ABS(lmsi_v1_v2_comparison[[#This Row],[score_change]])</f>
        <v>0.4</v>
      </c>
      <c r="H43" t="str">
        <f>IF(lmsi_v1_v2_comparison[[#This Row],[score_change]]&gt;0, "v2 Higher","v2 Lower")</f>
        <v>v2 Lower</v>
      </c>
    </row>
    <row r="44" spans="1:8" x14ac:dyDescent="0.2">
      <c r="A44" t="s">
        <v>18</v>
      </c>
      <c r="B44" t="s">
        <v>15</v>
      </c>
      <c r="C44" t="s">
        <v>9</v>
      </c>
      <c r="D44">
        <v>17.63</v>
      </c>
      <c r="E44">
        <v>16.170000000000002</v>
      </c>
      <c r="F44">
        <v>-1.46</v>
      </c>
      <c r="G44">
        <f>ABS(lmsi_v1_v2_comparison[[#This Row],[score_change]])</f>
        <v>1.46</v>
      </c>
      <c r="H44" t="str">
        <f>IF(lmsi_v1_v2_comparison[[#This Row],[score_change]]&gt;0, "v2 Higher","v2 Lower")</f>
        <v>v2 Lower</v>
      </c>
    </row>
    <row r="45" spans="1:8" x14ac:dyDescent="0.2">
      <c r="A45" t="s">
        <v>18</v>
      </c>
      <c r="B45" t="s">
        <v>15</v>
      </c>
      <c r="C45" t="s">
        <v>10</v>
      </c>
      <c r="D45">
        <v>24.25</v>
      </c>
      <c r="E45">
        <v>22.66</v>
      </c>
      <c r="F45">
        <v>-1.59</v>
      </c>
      <c r="G45">
        <f>ABS(lmsi_v1_v2_comparison[[#This Row],[score_change]])</f>
        <v>1.59</v>
      </c>
      <c r="H45" t="str">
        <f>IF(lmsi_v1_v2_comparison[[#This Row],[score_change]]&gt;0, "v2 Higher","v2 Lower")</f>
        <v>v2 Lower</v>
      </c>
    </row>
    <row r="46" spans="1:8" x14ac:dyDescent="0.2">
      <c r="A46" t="s">
        <v>18</v>
      </c>
      <c r="B46" t="s">
        <v>15</v>
      </c>
      <c r="C46" t="s">
        <v>11</v>
      </c>
      <c r="D46">
        <v>24.68</v>
      </c>
      <c r="E46">
        <v>24.92</v>
      </c>
      <c r="F46">
        <v>0.24</v>
      </c>
      <c r="G46">
        <f>ABS(lmsi_v1_v2_comparison[[#This Row],[score_change]])</f>
        <v>0.24</v>
      </c>
      <c r="H46" t="str">
        <f>IF(lmsi_v1_v2_comparison[[#This Row],[score_change]]&gt;0, "v2 Higher","v2 Lower")</f>
        <v>v2 Higher</v>
      </c>
    </row>
    <row r="47" spans="1:8" x14ac:dyDescent="0.2">
      <c r="A47" t="s">
        <v>18</v>
      </c>
      <c r="B47" t="s">
        <v>15</v>
      </c>
      <c r="C47" t="s">
        <v>12</v>
      </c>
      <c r="D47">
        <v>31.66</v>
      </c>
      <c r="E47">
        <v>31.42</v>
      </c>
      <c r="F47">
        <v>-0.24</v>
      </c>
      <c r="G47">
        <f>ABS(lmsi_v1_v2_comparison[[#This Row],[score_change]])</f>
        <v>0.24</v>
      </c>
      <c r="H47" t="str">
        <f>IF(lmsi_v1_v2_comparison[[#This Row],[score_change]]&gt;0, "v2 Higher","v2 Lower")</f>
        <v>v2 Lower</v>
      </c>
    </row>
    <row r="48" spans="1:8" x14ac:dyDescent="0.2">
      <c r="A48" t="s">
        <v>18</v>
      </c>
      <c r="B48" t="s">
        <v>15</v>
      </c>
      <c r="C48" t="s">
        <v>13</v>
      </c>
      <c r="D48">
        <v>21.49</v>
      </c>
      <c r="E48">
        <v>20.02</v>
      </c>
      <c r="F48">
        <v>-1.47</v>
      </c>
      <c r="G48">
        <f>ABS(lmsi_v1_v2_comparison[[#This Row],[score_change]])</f>
        <v>1.47</v>
      </c>
      <c r="H48" t="str">
        <f>IF(lmsi_v1_v2_comparison[[#This Row],[score_change]]&gt;0, "v2 Higher","v2 Lower")</f>
        <v>v2 Lower</v>
      </c>
    </row>
    <row r="49" spans="1:8" x14ac:dyDescent="0.2">
      <c r="A49" t="s">
        <v>18</v>
      </c>
      <c r="B49" t="s">
        <v>15</v>
      </c>
      <c r="C49" t="s">
        <v>14</v>
      </c>
      <c r="D49">
        <v>30.95</v>
      </c>
      <c r="E49">
        <v>30.9</v>
      </c>
      <c r="F49">
        <v>-0.05</v>
      </c>
      <c r="G49">
        <f>ABS(lmsi_v1_v2_comparison[[#This Row],[score_change]])</f>
        <v>0.05</v>
      </c>
      <c r="H49" t="str">
        <f>IF(lmsi_v1_v2_comparison[[#This Row],[score_change]]&gt;0, "v2 Higher","v2 Lower")</f>
        <v>v2 Lower</v>
      </c>
    </row>
    <row r="50" spans="1:8" x14ac:dyDescent="0.2">
      <c r="A50" t="s">
        <v>18</v>
      </c>
      <c r="B50" t="s">
        <v>16</v>
      </c>
      <c r="C50" t="s">
        <v>9</v>
      </c>
      <c r="D50">
        <v>15.87</v>
      </c>
      <c r="E50">
        <v>14.83</v>
      </c>
      <c r="F50">
        <v>-1.04</v>
      </c>
      <c r="G50">
        <f>ABS(lmsi_v1_v2_comparison[[#This Row],[score_change]])</f>
        <v>1.04</v>
      </c>
      <c r="H50" t="str">
        <f>IF(lmsi_v1_v2_comparison[[#This Row],[score_change]]&gt;0, "v2 Higher","v2 Lower")</f>
        <v>v2 Lower</v>
      </c>
    </row>
    <row r="51" spans="1:8" x14ac:dyDescent="0.2">
      <c r="A51" t="s">
        <v>18</v>
      </c>
      <c r="B51" t="s">
        <v>16</v>
      </c>
      <c r="C51" t="s">
        <v>10</v>
      </c>
      <c r="D51">
        <v>23.05</v>
      </c>
      <c r="E51">
        <v>21.87</v>
      </c>
      <c r="F51">
        <v>-1.18</v>
      </c>
      <c r="G51">
        <f>ABS(lmsi_v1_v2_comparison[[#This Row],[score_change]])</f>
        <v>1.18</v>
      </c>
      <c r="H51" t="str">
        <f>IF(lmsi_v1_v2_comparison[[#This Row],[score_change]]&gt;0, "v2 Higher","v2 Lower")</f>
        <v>v2 Lower</v>
      </c>
    </row>
    <row r="52" spans="1:8" x14ac:dyDescent="0.2">
      <c r="A52" t="s">
        <v>18</v>
      </c>
      <c r="B52" t="s">
        <v>16</v>
      </c>
      <c r="C52" t="s">
        <v>11</v>
      </c>
      <c r="D52">
        <v>23.43</v>
      </c>
      <c r="E52">
        <v>23.05</v>
      </c>
      <c r="F52">
        <v>-0.38</v>
      </c>
      <c r="G52">
        <f>ABS(lmsi_v1_v2_comparison[[#This Row],[score_change]])</f>
        <v>0.38</v>
      </c>
      <c r="H52" t="str">
        <f>IF(lmsi_v1_v2_comparison[[#This Row],[score_change]]&gt;0, "v2 Higher","v2 Lower")</f>
        <v>v2 Lower</v>
      </c>
    </row>
    <row r="53" spans="1:8" x14ac:dyDescent="0.2">
      <c r="A53" t="s">
        <v>18</v>
      </c>
      <c r="B53" t="s">
        <v>16</v>
      </c>
      <c r="C53" t="s">
        <v>12</v>
      </c>
      <c r="D53">
        <v>29.93</v>
      </c>
      <c r="E53">
        <v>29.62</v>
      </c>
      <c r="F53">
        <v>-0.31</v>
      </c>
      <c r="G53">
        <f>ABS(lmsi_v1_v2_comparison[[#This Row],[score_change]])</f>
        <v>0.31</v>
      </c>
      <c r="H53" t="str">
        <f>IF(lmsi_v1_v2_comparison[[#This Row],[score_change]]&gt;0, "v2 Higher","v2 Lower")</f>
        <v>v2 Lower</v>
      </c>
    </row>
    <row r="54" spans="1:8" x14ac:dyDescent="0.2">
      <c r="A54" t="s">
        <v>18</v>
      </c>
      <c r="B54" t="s">
        <v>16</v>
      </c>
      <c r="C54" t="s">
        <v>13</v>
      </c>
      <c r="D54">
        <v>18.010000000000002</v>
      </c>
      <c r="E54">
        <v>17.510000000000002</v>
      </c>
      <c r="F54">
        <v>-0.5</v>
      </c>
      <c r="G54">
        <f>ABS(lmsi_v1_v2_comparison[[#This Row],[score_change]])</f>
        <v>0.5</v>
      </c>
      <c r="H54" t="str">
        <f>IF(lmsi_v1_v2_comparison[[#This Row],[score_change]]&gt;0, "v2 Higher","v2 Lower")</f>
        <v>v2 Lower</v>
      </c>
    </row>
    <row r="55" spans="1:8" x14ac:dyDescent="0.2">
      <c r="A55" t="s">
        <v>18</v>
      </c>
      <c r="B55" t="s">
        <v>16</v>
      </c>
      <c r="C55" t="s">
        <v>14</v>
      </c>
      <c r="D55">
        <v>25.46</v>
      </c>
      <c r="E55">
        <v>27.25</v>
      </c>
      <c r="F55">
        <v>1.79</v>
      </c>
      <c r="G55">
        <f>ABS(lmsi_v1_v2_comparison[[#This Row],[score_change]])</f>
        <v>1.79</v>
      </c>
      <c r="H55" t="str">
        <f>IF(lmsi_v1_v2_comparison[[#This Row],[score_change]]&gt;0, "v2 Higher","v2 Lower")</f>
        <v>v2 Higher</v>
      </c>
    </row>
    <row r="56" spans="1:8" x14ac:dyDescent="0.2">
      <c r="A56" t="s">
        <v>19</v>
      </c>
      <c r="B56" t="s">
        <v>8</v>
      </c>
      <c r="C56" t="s">
        <v>9</v>
      </c>
      <c r="D56">
        <v>31.45</v>
      </c>
      <c r="E56">
        <v>27.84</v>
      </c>
      <c r="F56">
        <v>-3.61</v>
      </c>
      <c r="G56">
        <f>ABS(lmsi_v1_v2_comparison[[#This Row],[score_change]])</f>
        <v>3.61</v>
      </c>
      <c r="H56" t="str">
        <f>IF(lmsi_v1_v2_comparison[[#This Row],[score_change]]&gt;0, "v2 Higher","v2 Lower")</f>
        <v>v2 Lower</v>
      </c>
    </row>
    <row r="57" spans="1:8" x14ac:dyDescent="0.2">
      <c r="A57" t="s">
        <v>19</v>
      </c>
      <c r="B57" t="s">
        <v>8</v>
      </c>
      <c r="C57" t="s">
        <v>10</v>
      </c>
      <c r="D57">
        <v>27.5</v>
      </c>
      <c r="E57">
        <v>26.01</v>
      </c>
      <c r="F57">
        <v>-1.49</v>
      </c>
      <c r="G57">
        <f>ABS(lmsi_v1_v2_comparison[[#This Row],[score_change]])</f>
        <v>1.49</v>
      </c>
      <c r="H57" t="str">
        <f>IF(lmsi_v1_v2_comparison[[#This Row],[score_change]]&gt;0, "v2 Higher","v2 Lower")</f>
        <v>v2 Lower</v>
      </c>
    </row>
    <row r="58" spans="1:8" x14ac:dyDescent="0.2">
      <c r="A58" t="s">
        <v>19</v>
      </c>
      <c r="B58" t="s">
        <v>8</v>
      </c>
      <c r="C58" t="s">
        <v>11</v>
      </c>
      <c r="D58">
        <v>24.89</v>
      </c>
      <c r="E58">
        <v>25.33</v>
      </c>
      <c r="F58">
        <v>0.44</v>
      </c>
      <c r="G58">
        <f>ABS(lmsi_v1_v2_comparison[[#This Row],[score_change]])</f>
        <v>0.44</v>
      </c>
      <c r="H58" t="str">
        <f>IF(lmsi_v1_v2_comparison[[#This Row],[score_change]]&gt;0, "v2 Higher","v2 Lower")</f>
        <v>v2 Higher</v>
      </c>
    </row>
    <row r="59" spans="1:8" x14ac:dyDescent="0.2">
      <c r="A59" t="s">
        <v>19</v>
      </c>
      <c r="B59" t="s">
        <v>8</v>
      </c>
      <c r="C59" t="s">
        <v>12</v>
      </c>
      <c r="D59">
        <v>28.37</v>
      </c>
      <c r="E59">
        <v>31.42</v>
      </c>
      <c r="F59">
        <v>3.05</v>
      </c>
      <c r="G59">
        <f>ABS(lmsi_v1_v2_comparison[[#This Row],[score_change]])</f>
        <v>3.05</v>
      </c>
      <c r="H59" t="str">
        <f>IF(lmsi_v1_v2_comparison[[#This Row],[score_change]]&gt;0, "v2 Higher","v2 Lower")</f>
        <v>v2 Higher</v>
      </c>
    </row>
    <row r="60" spans="1:8" x14ac:dyDescent="0.2">
      <c r="A60" t="s">
        <v>19</v>
      </c>
      <c r="B60" t="s">
        <v>8</v>
      </c>
      <c r="C60" t="s">
        <v>13</v>
      </c>
      <c r="D60">
        <v>24.47</v>
      </c>
      <c r="E60">
        <v>23.13</v>
      </c>
      <c r="F60">
        <v>-1.34</v>
      </c>
      <c r="G60">
        <f>ABS(lmsi_v1_v2_comparison[[#This Row],[score_change]])</f>
        <v>1.34</v>
      </c>
      <c r="H60" t="str">
        <f>IF(lmsi_v1_v2_comparison[[#This Row],[score_change]]&gt;0, "v2 Higher","v2 Lower")</f>
        <v>v2 Lower</v>
      </c>
    </row>
    <row r="61" spans="1:8" x14ac:dyDescent="0.2">
      <c r="A61" t="s">
        <v>19</v>
      </c>
      <c r="B61" t="s">
        <v>8</v>
      </c>
      <c r="C61" t="s">
        <v>14</v>
      </c>
      <c r="D61">
        <v>31.17</v>
      </c>
      <c r="E61">
        <v>30.89</v>
      </c>
      <c r="F61">
        <v>-0.28000000000000003</v>
      </c>
      <c r="G61">
        <f>ABS(lmsi_v1_v2_comparison[[#This Row],[score_change]])</f>
        <v>0.28000000000000003</v>
      </c>
      <c r="H61" t="str">
        <f>IF(lmsi_v1_v2_comparison[[#This Row],[score_change]]&gt;0, "v2 Higher","v2 Lower")</f>
        <v>v2 Lower</v>
      </c>
    </row>
    <row r="62" spans="1:8" x14ac:dyDescent="0.2">
      <c r="A62" t="s">
        <v>19</v>
      </c>
      <c r="B62" t="s">
        <v>15</v>
      </c>
      <c r="C62" t="s">
        <v>9</v>
      </c>
      <c r="D62">
        <v>37.69</v>
      </c>
      <c r="E62">
        <v>31.39</v>
      </c>
      <c r="F62">
        <v>-6.3</v>
      </c>
      <c r="G62">
        <f>ABS(lmsi_v1_v2_comparison[[#This Row],[score_change]])</f>
        <v>6.3</v>
      </c>
      <c r="H62" t="str">
        <f>IF(lmsi_v1_v2_comparison[[#This Row],[score_change]]&gt;0, "v2 Higher","v2 Lower")</f>
        <v>v2 Lower</v>
      </c>
    </row>
    <row r="63" spans="1:8" x14ac:dyDescent="0.2">
      <c r="A63" t="s">
        <v>19</v>
      </c>
      <c r="B63" t="s">
        <v>15</v>
      </c>
      <c r="C63" t="s">
        <v>10</v>
      </c>
      <c r="D63">
        <v>29.69</v>
      </c>
      <c r="E63">
        <v>27.14</v>
      </c>
      <c r="F63">
        <v>-2.5499999999999998</v>
      </c>
      <c r="G63">
        <f>ABS(lmsi_v1_v2_comparison[[#This Row],[score_change]])</f>
        <v>2.5499999999999998</v>
      </c>
      <c r="H63" t="str">
        <f>IF(lmsi_v1_v2_comparison[[#This Row],[score_change]]&gt;0, "v2 Higher","v2 Lower")</f>
        <v>v2 Lower</v>
      </c>
    </row>
    <row r="64" spans="1:8" x14ac:dyDescent="0.2">
      <c r="A64" t="s">
        <v>19</v>
      </c>
      <c r="B64" t="s">
        <v>15</v>
      </c>
      <c r="C64" t="s">
        <v>11</v>
      </c>
      <c r="D64">
        <v>26.45</v>
      </c>
      <c r="E64">
        <v>26.47</v>
      </c>
      <c r="F64">
        <v>0.02</v>
      </c>
      <c r="G64">
        <f>ABS(lmsi_v1_v2_comparison[[#This Row],[score_change]])</f>
        <v>0.02</v>
      </c>
      <c r="H64" t="str">
        <f>IF(lmsi_v1_v2_comparison[[#This Row],[score_change]]&gt;0, "v2 Higher","v2 Lower")</f>
        <v>v2 Higher</v>
      </c>
    </row>
    <row r="65" spans="1:8" x14ac:dyDescent="0.2">
      <c r="A65" t="s">
        <v>19</v>
      </c>
      <c r="B65" t="s">
        <v>15</v>
      </c>
      <c r="C65" t="s">
        <v>12</v>
      </c>
      <c r="D65">
        <v>34.979999999999997</v>
      </c>
      <c r="E65">
        <v>33.17</v>
      </c>
      <c r="F65">
        <v>-1.81</v>
      </c>
      <c r="G65">
        <f>ABS(lmsi_v1_v2_comparison[[#This Row],[score_change]])</f>
        <v>1.81</v>
      </c>
      <c r="H65" t="str">
        <f>IF(lmsi_v1_v2_comparison[[#This Row],[score_change]]&gt;0, "v2 Higher","v2 Lower")</f>
        <v>v2 Lower</v>
      </c>
    </row>
    <row r="66" spans="1:8" x14ac:dyDescent="0.2">
      <c r="A66" t="s">
        <v>19</v>
      </c>
      <c r="B66" t="s">
        <v>15</v>
      </c>
      <c r="C66" t="s">
        <v>13</v>
      </c>
      <c r="D66">
        <v>28.65</v>
      </c>
      <c r="E66">
        <v>26.27</v>
      </c>
      <c r="F66">
        <v>-2.38</v>
      </c>
      <c r="G66">
        <f>ABS(lmsi_v1_v2_comparison[[#This Row],[score_change]])</f>
        <v>2.38</v>
      </c>
      <c r="H66" t="str">
        <f>IF(lmsi_v1_v2_comparison[[#This Row],[score_change]]&gt;0, "v2 Higher","v2 Lower")</f>
        <v>v2 Lower</v>
      </c>
    </row>
    <row r="67" spans="1:8" x14ac:dyDescent="0.2">
      <c r="A67" t="s">
        <v>19</v>
      </c>
      <c r="B67" t="s">
        <v>15</v>
      </c>
      <c r="C67" t="s">
        <v>14</v>
      </c>
      <c r="D67">
        <v>43.62</v>
      </c>
      <c r="E67">
        <v>44.53</v>
      </c>
      <c r="F67">
        <v>0.91</v>
      </c>
      <c r="G67">
        <f>ABS(lmsi_v1_v2_comparison[[#This Row],[score_change]])</f>
        <v>0.91</v>
      </c>
      <c r="H67" t="str">
        <f>IF(lmsi_v1_v2_comparison[[#This Row],[score_change]]&gt;0, "v2 Higher","v2 Lower")</f>
        <v>v2 Higher</v>
      </c>
    </row>
    <row r="68" spans="1:8" x14ac:dyDescent="0.2">
      <c r="A68" t="s">
        <v>19</v>
      </c>
      <c r="B68" t="s">
        <v>16</v>
      </c>
      <c r="C68" t="s">
        <v>9</v>
      </c>
      <c r="D68">
        <v>33.71</v>
      </c>
      <c r="E68">
        <v>29.29</v>
      </c>
      <c r="F68">
        <v>-4.42</v>
      </c>
      <c r="G68">
        <f>ABS(lmsi_v1_v2_comparison[[#This Row],[score_change]])</f>
        <v>4.42</v>
      </c>
      <c r="H68" t="str">
        <f>IF(lmsi_v1_v2_comparison[[#This Row],[score_change]]&gt;0, "v2 Higher","v2 Lower")</f>
        <v>v2 Lower</v>
      </c>
    </row>
    <row r="69" spans="1:8" x14ac:dyDescent="0.2">
      <c r="A69" t="s">
        <v>19</v>
      </c>
      <c r="B69" t="s">
        <v>16</v>
      </c>
      <c r="C69" t="s">
        <v>10</v>
      </c>
      <c r="D69">
        <v>28.5</v>
      </c>
      <c r="E69">
        <v>27.67</v>
      </c>
      <c r="F69">
        <v>-0.83</v>
      </c>
      <c r="G69">
        <f>ABS(lmsi_v1_v2_comparison[[#This Row],[score_change]])</f>
        <v>0.83</v>
      </c>
      <c r="H69" t="str">
        <f>IF(lmsi_v1_v2_comparison[[#This Row],[score_change]]&gt;0, "v2 Higher","v2 Lower")</f>
        <v>v2 Lower</v>
      </c>
    </row>
    <row r="70" spans="1:8" x14ac:dyDescent="0.2">
      <c r="A70" t="s">
        <v>19</v>
      </c>
      <c r="B70" t="s">
        <v>16</v>
      </c>
      <c r="C70" t="s">
        <v>11</v>
      </c>
      <c r="D70">
        <v>25.31</v>
      </c>
      <c r="E70">
        <v>25.79</v>
      </c>
      <c r="F70">
        <v>0.48</v>
      </c>
      <c r="G70">
        <f>ABS(lmsi_v1_v2_comparison[[#This Row],[score_change]])</f>
        <v>0.48</v>
      </c>
      <c r="H70" t="str">
        <f>IF(lmsi_v1_v2_comparison[[#This Row],[score_change]]&gt;0, "v2 Higher","v2 Lower")</f>
        <v>v2 Higher</v>
      </c>
    </row>
    <row r="71" spans="1:8" x14ac:dyDescent="0.2">
      <c r="A71" t="s">
        <v>19</v>
      </c>
      <c r="B71" t="s">
        <v>16</v>
      </c>
      <c r="C71" t="s">
        <v>12</v>
      </c>
      <c r="D71">
        <v>31.17</v>
      </c>
      <c r="E71">
        <v>31.96</v>
      </c>
      <c r="F71">
        <v>0.79</v>
      </c>
      <c r="G71">
        <f>ABS(lmsi_v1_v2_comparison[[#This Row],[score_change]])</f>
        <v>0.79</v>
      </c>
      <c r="H71" t="str">
        <f>IF(lmsi_v1_v2_comparison[[#This Row],[score_change]]&gt;0, "v2 Higher","v2 Lower")</f>
        <v>v2 Higher</v>
      </c>
    </row>
    <row r="72" spans="1:8" x14ac:dyDescent="0.2">
      <c r="A72" t="s">
        <v>19</v>
      </c>
      <c r="B72" t="s">
        <v>16</v>
      </c>
      <c r="C72" t="s">
        <v>13</v>
      </c>
      <c r="D72">
        <v>24.14</v>
      </c>
      <c r="E72">
        <v>23.42</v>
      </c>
      <c r="F72">
        <v>-0.72</v>
      </c>
      <c r="G72">
        <f>ABS(lmsi_v1_v2_comparison[[#This Row],[score_change]])</f>
        <v>0.72</v>
      </c>
      <c r="H72" t="str">
        <f>IF(lmsi_v1_v2_comparison[[#This Row],[score_change]]&gt;0, "v2 Higher","v2 Lower")</f>
        <v>v2 Lower</v>
      </c>
    </row>
    <row r="73" spans="1:8" x14ac:dyDescent="0.2">
      <c r="A73" t="s">
        <v>19</v>
      </c>
      <c r="B73" t="s">
        <v>16</v>
      </c>
      <c r="C73" t="s">
        <v>14</v>
      </c>
      <c r="D73">
        <v>35.5</v>
      </c>
      <c r="E73">
        <v>35.86</v>
      </c>
      <c r="F73">
        <v>0.36</v>
      </c>
      <c r="G73">
        <f>ABS(lmsi_v1_v2_comparison[[#This Row],[score_change]])</f>
        <v>0.36</v>
      </c>
      <c r="H73" t="str">
        <f>IF(lmsi_v1_v2_comparison[[#This Row],[score_change]]&gt;0, "v2 Higher","v2 Lower")</f>
        <v>v2 Higher</v>
      </c>
    </row>
    <row r="74" spans="1:8" x14ac:dyDescent="0.2">
      <c r="A74" t="s">
        <v>20</v>
      </c>
      <c r="B74" t="s">
        <v>8</v>
      </c>
      <c r="C74" t="s">
        <v>9</v>
      </c>
      <c r="D74">
        <v>35.71</v>
      </c>
      <c r="E74">
        <v>31.64</v>
      </c>
      <c r="F74">
        <v>-4.07</v>
      </c>
      <c r="G74">
        <f>ABS(lmsi_v1_v2_comparison[[#This Row],[score_change]])</f>
        <v>4.07</v>
      </c>
      <c r="H74" t="str">
        <f>IF(lmsi_v1_v2_comparison[[#This Row],[score_change]]&gt;0, "v2 Higher","v2 Lower")</f>
        <v>v2 Lower</v>
      </c>
    </row>
    <row r="75" spans="1:8" x14ac:dyDescent="0.2">
      <c r="A75" t="s">
        <v>20</v>
      </c>
      <c r="B75" t="s">
        <v>8</v>
      </c>
      <c r="C75" t="s">
        <v>10</v>
      </c>
      <c r="D75">
        <v>28.37</v>
      </c>
      <c r="E75">
        <v>27.52</v>
      </c>
      <c r="F75">
        <v>-0.85</v>
      </c>
      <c r="G75">
        <f>ABS(lmsi_v1_v2_comparison[[#This Row],[score_change]])</f>
        <v>0.85</v>
      </c>
      <c r="H75" t="str">
        <f>IF(lmsi_v1_v2_comparison[[#This Row],[score_change]]&gt;0, "v2 Higher","v2 Lower")</f>
        <v>v2 Lower</v>
      </c>
    </row>
    <row r="76" spans="1:8" x14ac:dyDescent="0.2">
      <c r="A76" t="s">
        <v>20</v>
      </c>
      <c r="B76" t="s">
        <v>8</v>
      </c>
      <c r="C76" t="s">
        <v>11</v>
      </c>
      <c r="D76">
        <v>25.36</v>
      </c>
      <c r="E76">
        <v>26.05</v>
      </c>
      <c r="F76">
        <v>0.69</v>
      </c>
      <c r="G76">
        <f>ABS(lmsi_v1_v2_comparison[[#This Row],[score_change]])</f>
        <v>0.69</v>
      </c>
      <c r="H76" t="str">
        <f>IF(lmsi_v1_v2_comparison[[#This Row],[score_change]]&gt;0, "v2 Higher","v2 Lower")</f>
        <v>v2 Higher</v>
      </c>
    </row>
    <row r="77" spans="1:8" x14ac:dyDescent="0.2">
      <c r="A77" t="s">
        <v>20</v>
      </c>
      <c r="B77" t="s">
        <v>8</v>
      </c>
      <c r="C77" t="s">
        <v>12</v>
      </c>
      <c r="D77">
        <v>25.46</v>
      </c>
      <c r="E77">
        <v>24.99</v>
      </c>
      <c r="F77">
        <v>-0.47</v>
      </c>
      <c r="G77">
        <f>ABS(lmsi_v1_v2_comparison[[#This Row],[score_change]])</f>
        <v>0.47</v>
      </c>
      <c r="H77" t="str">
        <f>IF(lmsi_v1_v2_comparison[[#This Row],[score_change]]&gt;0, "v2 Higher","v2 Lower")</f>
        <v>v2 Lower</v>
      </c>
    </row>
    <row r="78" spans="1:8" x14ac:dyDescent="0.2">
      <c r="A78" t="s">
        <v>20</v>
      </c>
      <c r="B78" t="s">
        <v>8</v>
      </c>
      <c r="C78" t="s">
        <v>13</v>
      </c>
      <c r="D78">
        <v>28.18</v>
      </c>
      <c r="E78">
        <v>26.63</v>
      </c>
      <c r="F78">
        <v>-1.55</v>
      </c>
      <c r="G78">
        <f>ABS(lmsi_v1_v2_comparison[[#This Row],[score_change]])</f>
        <v>1.55</v>
      </c>
      <c r="H78" t="str">
        <f>IF(lmsi_v1_v2_comparison[[#This Row],[score_change]]&gt;0, "v2 Higher","v2 Lower")</f>
        <v>v2 Lower</v>
      </c>
    </row>
    <row r="79" spans="1:8" x14ac:dyDescent="0.2">
      <c r="A79" t="s">
        <v>20</v>
      </c>
      <c r="B79" t="s">
        <v>8</v>
      </c>
      <c r="C79" t="s">
        <v>14</v>
      </c>
      <c r="D79">
        <v>37.04</v>
      </c>
      <c r="E79">
        <v>37.74</v>
      </c>
      <c r="F79">
        <v>0.7</v>
      </c>
      <c r="G79">
        <f>ABS(lmsi_v1_v2_comparison[[#This Row],[score_change]])</f>
        <v>0.7</v>
      </c>
      <c r="H79" t="str">
        <f>IF(lmsi_v1_v2_comparison[[#This Row],[score_change]]&gt;0, "v2 Higher","v2 Lower")</f>
        <v>v2 Higher</v>
      </c>
    </row>
    <row r="80" spans="1:8" x14ac:dyDescent="0.2">
      <c r="A80" t="s">
        <v>20</v>
      </c>
      <c r="B80" t="s">
        <v>15</v>
      </c>
      <c r="C80" t="s">
        <v>9</v>
      </c>
      <c r="D80">
        <v>42.23</v>
      </c>
      <c r="E80">
        <v>35.299999999999997</v>
      </c>
      <c r="F80">
        <v>-6.93</v>
      </c>
      <c r="G80">
        <f>ABS(lmsi_v1_v2_comparison[[#This Row],[score_change]])</f>
        <v>6.93</v>
      </c>
      <c r="H80" t="str">
        <f>IF(lmsi_v1_v2_comparison[[#This Row],[score_change]]&gt;0, "v2 Higher","v2 Lower")</f>
        <v>v2 Lower</v>
      </c>
    </row>
    <row r="81" spans="1:8" x14ac:dyDescent="0.2">
      <c r="A81" t="s">
        <v>20</v>
      </c>
      <c r="B81" t="s">
        <v>15</v>
      </c>
      <c r="C81" t="s">
        <v>10</v>
      </c>
      <c r="D81">
        <v>30.48</v>
      </c>
      <c r="E81">
        <v>28.03</v>
      </c>
      <c r="F81">
        <v>-2.4500000000000002</v>
      </c>
      <c r="G81">
        <f>ABS(lmsi_v1_v2_comparison[[#This Row],[score_change]])</f>
        <v>2.4500000000000002</v>
      </c>
      <c r="H81" t="str">
        <f>IF(lmsi_v1_v2_comparison[[#This Row],[score_change]]&gt;0, "v2 Higher","v2 Lower")</f>
        <v>v2 Lower</v>
      </c>
    </row>
    <row r="82" spans="1:8" x14ac:dyDescent="0.2">
      <c r="A82" t="s">
        <v>20</v>
      </c>
      <c r="B82" t="s">
        <v>15</v>
      </c>
      <c r="C82" t="s">
        <v>11</v>
      </c>
      <c r="D82">
        <v>26.91</v>
      </c>
      <c r="E82">
        <v>26.93</v>
      </c>
      <c r="F82">
        <v>0.02</v>
      </c>
      <c r="G82">
        <f>ABS(lmsi_v1_v2_comparison[[#This Row],[score_change]])</f>
        <v>0.02</v>
      </c>
      <c r="H82" t="str">
        <f>IF(lmsi_v1_v2_comparison[[#This Row],[score_change]]&gt;0, "v2 Higher","v2 Lower")</f>
        <v>v2 Higher</v>
      </c>
    </row>
    <row r="83" spans="1:8" x14ac:dyDescent="0.2">
      <c r="A83" t="s">
        <v>20</v>
      </c>
      <c r="B83" t="s">
        <v>15</v>
      </c>
      <c r="C83" t="s">
        <v>12</v>
      </c>
      <c r="D83">
        <v>30.54</v>
      </c>
      <c r="E83">
        <v>31.61</v>
      </c>
      <c r="F83">
        <v>1.07</v>
      </c>
      <c r="G83">
        <f>ABS(lmsi_v1_v2_comparison[[#This Row],[score_change]])</f>
        <v>1.07</v>
      </c>
      <c r="H83" t="str">
        <f>IF(lmsi_v1_v2_comparison[[#This Row],[score_change]]&gt;0, "v2 Higher","v2 Lower")</f>
        <v>v2 Higher</v>
      </c>
    </row>
    <row r="84" spans="1:8" x14ac:dyDescent="0.2">
      <c r="A84" t="s">
        <v>20</v>
      </c>
      <c r="B84" t="s">
        <v>15</v>
      </c>
      <c r="C84" t="s">
        <v>13</v>
      </c>
      <c r="D84">
        <v>32.979999999999997</v>
      </c>
      <c r="E84">
        <v>29.65</v>
      </c>
      <c r="F84">
        <v>-3.33</v>
      </c>
      <c r="G84">
        <f>ABS(lmsi_v1_v2_comparison[[#This Row],[score_change]])</f>
        <v>3.33</v>
      </c>
      <c r="H84" t="str">
        <f>IF(lmsi_v1_v2_comparison[[#This Row],[score_change]]&gt;0, "v2 Higher","v2 Lower")</f>
        <v>v2 Lower</v>
      </c>
    </row>
    <row r="85" spans="1:8" x14ac:dyDescent="0.2">
      <c r="A85" t="s">
        <v>20</v>
      </c>
      <c r="B85" t="s">
        <v>15</v>
      </c>
      <c r="C85" t="s">
        <v>14</v>
      </c>
      <c r="D85">
        <v>51.83</v>
      </c>
      <c r="E85">
        <v>47.83</v>
      </c>
      <c r="F85">
        <v>-4</v>
      </c>
      <c r="G85">
        <f>ABS(lmsi_v1_v2_comparison[[#This Row],[score_change]])</f>
        <v>4</v>
      </c>
      <c r="H85" t="str">
        <f>IF(lmsi_v1_v2_comparison[[#This Row],[score_change]]&gt;0, "v2 Higher","v2 Lower")</f>
        <v>v2 Lower</v>
      </c>
    </row>
    <row r="86" spans="1:8" x14ac:dyDescent="0.2">
      <c r="A86" t="s">
        <v>20</v>
      </c>
      <c r="B86" t="s">
        <v>16</v>
      </c>
      <c r="C86" t="s">
        <v>9</v>
      </c>
      <c r="D86">
        <v>39.159999999999997</v>
      </c>
      <c r="E86">
        <v>33.07</v>
      </c>
      <c r="F86">
        <v>-6.09</v>
      </c>
      <c r="G86">
        <f>ABS(lmsi_v1_v2_comparison[[#This Row],[score_change]])</f>
        <v>6.09</v>
      </c>
      <c r="H86" t="str">
        <f>IF(lmsi_v1_v2_comparison[[#This Row],[score_change]]&gt;0, "v2 Higher","v2 Lower")</f>
        <v>v2 Lower</v>
      </c>
    </row>
    <row r="87" spans="1:8" x14ac:dyDescent="0.2">
      <c r="A87" t="s">
        <v>20</v>
      </c>
      <c r="B87" t="s">
        <v>16</v>
      </c>
      <c r="C87" t="s">
        <v>10</v>
      </c>
      <c r="D87">
        <v>29.97</v>
      </c>
      <c r="E87">
        <v>30.03</v>
      </c>
      <c r="F87">
        <v>0.06</v>
      </c>
      <c r="G87">
        <f>ABS(lmsi_v1_v2_comparison[[#This Row],[score_change]])</f>
        <v>0.06</v>
      </c>
      <c r="H87" t="str">
        <f>IF(lmsi_v1_v2_comparison[[#This Row],[score_change]]&gt;0, "v2 Higher","v2 Lower")</f>
        <v>v2 Higher</v>
      </c>
    </row>
    <row r="88" spans="1:8" x14ac:dyDescent="0.2">
      <c r="A88" t="s">
        <v>20</v>
      </c>
      <c r="B88" t="s">
        <v>16</v>
      </c>
      <c r="C88" t="s">
        <v>11</v>
      </c>
      <c r="D88">
        <v>25.96</v>
      </c>
      <c r="E88">
        <v>26.31</v>
      </c>
      <c r="F88">
        <v>0.35</v>
      </c>
      <c r="G88">
        <f>ABS(lmsi_v1_v2_comparison[[#This Row],[score_change]])</f>
        <v>0.35</v>
      </c>
      <c r="H88" t="str">
        <f>IF(lmsi_v1_v2_comparison[[#This Row],[score_change]]&gt;0, "v2 Higher","v2 Lower")</f>
        <v>v2 Higher</v>
      </c>
    </row>
    <row r="89" spans="1:8" x14ac:dyDescent="0.2">
      <c r="A89" t="s">
        <v>20</v>
      </c>
      <c r="B89" t="s">
        <v>16</v>
      </c>
      <c r="C89" t="s">
        <v>12</v>
      </c>
      <c r="D89">
        <v>27.77</v>
      </c>
      <c r="E89">
        <v>28.99</v>
      </c>
      <c r="F89">
        <v>1.22</v>
      </c>
      <c r="G89">
        <f>ABS(lmsi_v1_v2_comparison[[#This Row],[score_change]])</f>
        <v>1.22</v>
      </c>
      <c r="H89" t="str">
        <f>IF(lmsi_v1_v2_comparison[[#This Row],[score_change]]&gt;0, "v2 Higher","v2 Lower")</f>
        <v>v2 Higher</v>
      </c>
    </row>
    <row r="90" spans="1:8" x14ac:dyDescent="0.2">
      <c r="A90" t="s">
        <v>20</v>
      </c>
      <c r="B90" t="s">
        <v>16</v>
      </c>
      <c r="C90" t="s">
        <v>13</v>
      </c>
      <c r="D90">
        <v>27.88</v>
      </c>
      <c r="E90">
        <v>26.27</v>
      </c>
      <c r="F90">
        <v>-1.61</v>
      </c>
      <c r="G90">
        <f>ABS(lmsi_v1_v2_comparison[[#This Row],[score_change]])</f>
        <v>1.61</v>
      </c>
      <c r="H90" t="str">
        <f>IF(lmsi_v1_v2_comparison[[#This Row],[score_change]]&gt;0, "v2 Higher","v2 Lower")</f>
        <v>v2 Lower</v>
      </c>
    </row>
    <row r="91" spans="1:8" x14ac:dyDescent="0.2">
      <c r="A91" t="s">
        <v>20</v>
      </c>
      <c r="B91" t="s">
        <v>16</v>
      </c>
      <c r="C91" t="s">
        <v>14</v>
      </c>
      <c r="D91">
        <v>42.03</v>
      </c>
      <c r="E91">
        <v>40.270000000000003</v>
      </c>
      <c r="F91">
        <v>-1.76</v>
      </c>
      <c r="G91">
        <f>ABS(lmsi_v1_v2_comparison[[#This Row],[score_change]])</f>
        <v>1.76</v>
      </c>
      <c r="H91" t="str">
        <f>IF(lmsi_v1_v2_comparison[[#This Row],[score_change]]&gt;0, "v2 Higher","v2 Lower")</f>
        <v>v2 Lower</v>
      </c>
    </row>
    <row r="92" spans="1:8" x14ac:dyDescent="0.2">
      <c r="A92" t="s">
        <v>21</v>
      </c>
      <c r="B92" t="s">
        <v>8</v>
      </c>
      <c r="C92" t="s">
        <v>9</v>
      </c>
      <c r="D92">
        <v>29.92</v>
      </c>
      <c r="E92">
        <v>26.47</v>
      </c>
      <c r="F92">
        <v>-3.45</v>
      </c>
      <c r="G92">
        <f>ABS(lmsi_v1_v2_comparison[[#This Row],[score_change]])</f>
        <v>3.45</v>
      </c>
      <c r="H92" t="str">
        <f>IF(lmsi_v1_v2_comparison[[#This Row],[score_change]]&gt;0, "v2 Higher","v2 Lower")</f>
        <v>v2 Lower</v>
      </c>
    </row>
    <row r="93" spans="1:8" x14ac:dyDescent="0.2">
      <c r="A93" t="s">
        <v>21</v>
      </c>
      <c r="B93" t="s">
        <v>8</v>
      </c>
      <c r="C93" t="s">
        <v>10</v>
      </c>
      <c r="D93">
        <v>37.69</v>
      </c>
      <c r="E93">
        <v>32.85</v>
      </c>
      <c r="F93">
        <v>-4.84</v>
      </c>
      <c r="G93">
        <f>ABS(lmsi_v1_v2_comparison[[#This Row],[score_change]])</f>
        <v>4.84</v>
      </c>
      <c r="H93" t="str">
        <f>IF(lmsi_v1_v2_comparison[[#This Row],[score_change]]&gt;0, "v2 Higher","v2 Lower")</f>
        <v>v2 Lower</v>
      </c>
    </row>
    <row r="94" spans="1:8" x14ac:dyDescent="0.2">
      <c r="A94" t="s">
        <v>21</v>
      </c>
      <c r="B94" t="s">
        <v>8</v>
      </c>
      <c r="C94" t="s">
        <v>11</v>
      </c>
      <c r="D94">
        <v>23.01</v>
      </c>
      <c r="E94">
        <v>23.09</v>
      </c>
      <c r="F94">
        <v>0.08</v>
      </c>
      <c r="G94">
        <f>ABS(lmsi_v1_v2_comparison[[#This Row],[score_change]])</f>
        <v>0.08</v>
      </c>
      <c r="H94" t="str">
        <f>IF(lmsi_v1_v2_comparison[[#This Row],[score_change]]&gt;0, "v2 Higher","v2 Lower")</f>
        <v>v2 Higher</v>
      </c>
    </row>
    <row r="95" spans="1:8" x14ac:dyDescent="0.2">
      <c r="A95" t="s">
        <v>21</v>
      </c>
      <c r="B95" t="s">
        <v>8</v>
      </c>
      <c r="C95" t="s">
        <v>12</v>
      </c>
      <c r="D95">
        <v>23.33</v>
      </c>
      <c r="E95">
        <v>25.05</v>
      </c>
      <c r="F95">
        <v>1.72</v>
      </c>
      <c r="G95">
        <f>ABS(lmsi_v1_v2_comparison[[#This Row],[score_change]])</f>
        <v>1.72</v>
      </c>
      <c r="H95" t="str">
        <f>IF(lmsi_v1_v2_comparison[[#This Row],[score_change]]&gt;0, "v2 Higher","v2 Lower")</f>
        <v>v2 Higher</v>
      </c>
    </row>
    <row r="96" spans="1:8" x14ac:dyDescent="0.2">
      <c r="A96" t="s">
        <v>21</v>
      </c>
      <c r="B96" t="s">
        <v>8</v>
      </c>
      <c r="C96" t="s">
        <v>13</v>
      </c>
      <c r="D96">
        <v>28.7</v>
      </c>
      <c r="E96">
        <v>27.71</v>
      </c>
      <c r="F96">
        <v>-0.99</v>
      </c>
      <c r="G96">
        <f>ABS(lmsi_v1_v2_comparison[[#This Row],[score_change]])</f>
        <v>0.99</v>
      </c>
      <c r="H96" t="str">
        <f>IF(lmsi_v1_v2_comparison[[#This Row],[score_change]]&gt;0, "v2 Higher","v2 Lower")</f>
        <v>v2 Lower</v>
      </c>
    </row>
    <row r="97" spans="1:8" x14ac:dyDescent="0.2">
      <c r="A97" t="s">
        <v>21</v>
      </c>
      <c r="B97" t="s">
        <v>8</v>
      </c>
      <c r="C97" t="s">
        <v>14</v>
      </c>
      <c r="D97">
        <v>40.729999999999997</v>
      </c>
      <c r="E97">
        <v>36.81</v>
      </c>
      <c r="F97">
        <v>-3.92</v>
      </c>
      <c r="G97">
        <f>ABS(lmsi_v1_v2_comparison[[#This Row],[score_change]])</f>
        <v>3.92</v>
      </c>
      <c r="H97" t="str">
        <f>IF(lmsi_v1_v2_comparison[[#This Row],[score_change]]&gt;0, "v2 Higher","v2 Lower")</f>
        <v>v2 Lower</v>
      </c>
    </row>
    <row r="98" spans="1:8" x14ac:dyDescent="0.2">
      <c r="A98" t="s">
        <v>21</v>
      </c>
      <c r="B98" t="s">
        <v>15</v>
      </c>
      <c r="C98" t="s">
        <v>9</v>
      </c>
      <c r="D98">
        <v>38.130000000000003</v>
      </c>
      <c r="E98">
        <v>31.28</v>
      </c>
      <c r="F98">
        <v>-6.85</v>
      </c>
      <c r="G98">
        <f>ABS(lmsi_v1_v2_comparison[[#This Row],[score_change]])</f>
        <v>6.85</v>
      </c>
      <c r="H98" t="str">
        <f>IF(lmsi_v1_v2_comparison[[#This Row],[score_change]]&gt;0, "v2 Higher","v2 Lower")</f>
        <v>v2 Lower</v>
      </c>
    </row>
    <row r="99" spans="1:8" x14ac:dyDescent="0.2">
      <c r="A99" t="s">
        <v>21</v>
      </c>
      <c r="B99" t="s">
        <v>15</v>
      </c>
      <c r="C99" t="s">
        <v>10</v>
      </c>
      <c r="D99">
        <v>40.29</v>
      </c>
      <c r="E99">
        <v>34.36</v>
      </c>
      <c r="F99">
        <v>-5.93</v>
      </c>
      <c r="G99">
        <f>ABS(lmsi_v1_v2_comparison[[#This Row],[score_change]])</f>
        <v>5.93</v>
      </c>
      <c r="H99" t="str">
        <f>IF(lmsi_v1_v2_comparison[[#This Row],[score_change]]&gt;0, "v2 Higher","v2 Lower")</f>
        <v>v2 Lower</v>
      </c>
    </row>
    <row r="100" spans="1:8" x14ac:dyDescent="0.2">
      <c r="A100" t="s">
        <v>21</v>
      </c>
      <c r="B100" t="s">
        <v>15</v>
      </c>
      <c r="C100" t="s">
        <v>11</v>
      </c>
      <c r="D100">
        <v>25.27</v>
      </c>
      <c r="E100">
        <v>23.99</v>
      </c>
      <c r="F100">
        <v>-1.28</v>
      </c>
      <c r="G100">
        <f>ABS(lmsi_v1_v2_comparison[[#This Row],[score_change]])</f>
        <v>1.28</v>
      </c>
      <c r="H100" t="str">
        <f>IF(lmsi_v1_v2_comparison[[#This Row],[score_change]]&gt;0, "v2 Higher","v2 Lower")</f>
        <v>v2 Lower</v>
      </c>
    </row>
    <row r="101" spans="1:8" x14ac:dyDescent="0.2">
      <c r="A101" t="s">
        <v>21</v>
      </c>
      <c r="B101" t="s">
        <v>15</v>
      </c>
      <c r="C101" t="s">
        <v>12</v>
      </c>
      <c r="D101">
        <v>27.87</v>
      </c>
      <c r="E101">
        <v>27.32</v>
      </c>
      <c r="F101">
        <v>-0.55000000000000004</v>
      </c>
      <c r="G101">
        <f>ABS(lmsi_v1_v2_comparison[[#This Row],[score_change]])</f>
        <v>0.55000000000000004</v>
      </c>
      <c r="H101" t="str">
        <f>IF(lmsi_v1_v2_comparison[[#This Row],[score_change]]&gt;0, "v2 Higher","v2 Lower")</f>
        <v>v2 Lower</v>
      </c>
    </row>
    <row r="102" spans="1:8" x14ac:dyDescent="0.2">
      <c r="A102" t="s">
        <v>21</v>
      </c>
      <c r="B102" t="s">
        <v>15</v>
      </c>
      <c r="C102" t="s">
        <v>13</v>
      </c>
      <c r="D102">
        <v>35.380000000000003</v>
      </c>
      <c r="E102">
        <v>30.42</v>
      </c>
      <c r="F102">
        <v>-4.96</v>
      </c>
      <c r="G102">
        <f>ABS(lmsi_v1_v2_comparison[[#This Row],[score_change]])</f>
        <v>4.96</v>
      </c>
      <c r="H102" t="str">
        <f>IF(lmsi_v1_v2_comparison[[#This Row],[score_change]]&gt;0, "v2 Higher","v2 Lower")</f>
        <v>v2 Lower</v>
      </c>
    </row>
    <row r="103" spans="1:8" x14ac:dyDescent="0.2">
      <c r="A103" t="s">
        <v>21</v>
      </c>
      <c r="B103" t="s">
        <v>15</v>
      </c>
      <c r="C103" t="s">
        <v>14</v>
      </c>
      <c r="D103">
        <v>56.06</v>
      </c>
      <c r="E103">
        <v>48.47</v>
      </c>
      <c r="F103">
        <v>-7.59</v>
      </c>
      <c r="G103">
        <f>ABS(lmsi_v1_v2_comparison[[#This Row],[score_change]])</f>
        <v>7.59</v>
      </c>
      <c r="H103" t="str">
        <f>IF(lmsi_v1_v2_comparison[[#This Row],[score_change]]&gt;0, "v2 Higher","v2 Lower")</f>
        <v>v2 Lower</v>
      </c>
    </row>
    <row r="104" spans="1:8" x14ac:dyDescent="0.2">
      <c r="A104" t="s">
        <v>21</v>
      </c>
      <c r="B104" t="s">
        <v>16</v>
      </c>
      <c r="C104" t="s">
        <v>9</v>
      </c>
      <c r="D104">
        <v>34.81</v>
      </c>
      <c r="E104">
        <v>29.53</v>
      </c>
      <c r="F104">
        <v>-5.28</v>
      </c>
      <c r="G104">
        <f>ABS(lmsi_v1_v2_comparison[[#This Row],[score_change]])</f>
        <v>5.28</v>
      </c>
      <c r="H104" t="str">
        <f>IF(lmsi_v1_v2_comparison[[#This Row],[score_change]]&gt;0, "v2 Higher","v2 Lower")</f>
        <v>v2 Lower</v>
      </c>
    </row>
    <row r="105" spans="1:8" x14ac:dyDescent="0.2">
      <c r="A105" t="s">
        <v>21</v>
      </c>
      <c r="B105" t="s">
        <v>16</v>
      </c>
      <c r="C105" t="s">
        <v>10</v>
      </c>
      <c r="D105">
        <v>38.520000000000003</v>
      </c>
      <c r="E105">
        <v>34.54</v>
      </c>
      <c r="F105">
        <v>-3.98</v>
      </c>
      <c r="G105">
        <f>ABS(lmsi_v1_v2_comparison[[#This Row],[score_change]])</f>
        <v>3.98</v>
      </c>
      <c r="H105" t="str">
        <f>IF(lmsi_v1_v2_comparison[[#This Row],[score_change]]&gt;0, "v2 Higher","v2 Lower")</f>
        <v>v2 Lower</v>
      </c>
    </row>
    <row r="106" spans="1:8" x14ac:dyDescent="0.2">
      <c r="A106" t="s">
        <v>21</v>
      </c>
      <c r="B106" t="s">
        <v>16</v>
      </c>
      <c r="C106" t="s">
        <v>11</v>
      </c>
      <c r="D106">
        <v>24</v>
      </c>
      <c r="E106">
        <v>23.42</v>
      </c>
      <c r="F106">
        <v>-0.57999999999999996</v>
      </c>
      <c r="G106">
        <f>ABS(lmsi_v1_v2_comparison[[#This Row],[score_change]])</f>
        <v>0.57999999999999996</v>
      </c>
      <c r="H106" t="str">
        <f>IF(lmsi_v1_v2_comparison[[#This Row],[score_change]]&gt;0, "v2 Higher","v2 Lower")</f>
        <v>v2 Lower</v>
      </c>
    </row>
    <row r="107" spans="1:8" x14ac:dyDescent="0.2">
      <c r="A107" t="s">
        <v>21</v>
      </c>
      <c r="B107" t="s">
        <v>16</v>
      </c>
      <c r="C107" t="s">
        <v>12</v>
      </c>
      <c r="D107">
        <v>25.41</v>
      </c>
      <c r="E107">
        <v>27.27</v>
      </c>
      <c r="F107">
        <v>1.86</v>
      </c>
      <c r="G107">
        <f>ABS(lmsi_v1_v2_comparison[[#This Row],[score_change]])</f>
        <v>1.86</v>
      </c>
      <c r="H107" t="str">
        <f>IF(lmsi_v1_v2_comparison[[#This Row],[score_change]]&gt;0, "v2 Higher","v2 Lower")</f>
        <v>v2 Higher</v>
      </c>
    </row>
    <row r="108" spans="1:8" x14ac:dyDescent="0.2">
      <c r="A108" t="s">
        <v>21</v>
      </c>
      <c r="B108" t="s">
        <v>16</v>
      </c>
      <c r="C108" t="s">
        <v>13</v>
      </c>
      <c r="D108">
        <v>28.89</v>
      </c>
      <c r="E108">
        <v>27.09</v>
      </c>
      <c r="F108">
        <v>-1.8</v>
      </c>
      <c r="G108">
        <f>ABS(lmsi_v1_v2_comparison[[#This Row],[score_change]])</f>
        <v>1.8</v>
      </c>
      <c r="H108" t="str">
        <f>IF(lmsi_v1_v2_comparison[[#This Row],[score_change]]&gt;0, "v2 Higher","v2 Lower")</f>
        <v>v2 Lower</v>
      </c>
    </row>
    <row r="109" spans="1:8" x14ac:dyDescent="0.2">
      <c r="A109" t="s">
        <v>21</v>
      </c>
      <c r="B109" t="s">
        <v>16</v>
      </c>
      <c r="C109" t="s">
        <v>14</v>
      </c>
      <c r="D109">
        <v>45.78</v>
      </c>
      <c r="E109">
        <v>44.5</v>
      </c>
      <c r="F109">
        <v>-1.28</v>
      </c>
      <c r="G109">
        <f>ABS(lmsi_v1_v2_comparison[[#This Row],[score_change]])</f>
        <v>1.28</v>
      </c>
      <c r="H109" t="str">
        <f>IF(lmsi_v1_v2_comparison[[#This Row],[score_change]]&gt;0, "v2 Higher","v2 Lower")</f>
        <v>v2 Lower</v>
      </c>
    </row>
    <row r="110" spans="1:8" x14ac:dyDescent="0.2">
      <c r="A110" t="s">
        <v>22</v>
      </c>
      <c r="B110" t="s">
        <v>8</v>
      </c>
      <c r="C110" t="s">
        <v>9</v>
      </c>
      <c r="D110">
        <v>25.23</v>
      </c>
      <c r="E110">
        <v>22.5</v>
      </c>
      <c r="F110">
        <v>-2.73</v>
      </c>
      <c r="G110">
        <f>ABS(lmsi_v1_v2_comparison[[#This Row],[score_change]])</f>
        <v>2.73</v>
      </c>
      <c r="H110" t="str">
        <f>IF(lmsi_v1_v2_comparison[[#This Row],[score_change]]&gt;0, "v2 Higher","v2 Lower")</f>
        <v>v2 Lower</v>
      </c>
    </row>
    <row r="111" spans="1:8" x14ac:dyDescent="0.2">
      <c r="A111" t="s">
        <v>22</v>
      </c>
      <c r="B111" t="s">
        <v>8</v>
      </c>
      <c r="C111" t="s">
        <v>10</v>
      </c>
      <c r="D111">
        <v>33.1</v>
      </c>
      <c r="E111">
        <v>30.5</v>
      </c>
      <c r="F111">
        <v>-2.6</v>
      </c>
      <c r="G111">
        <f>ABS(lmsi_v1_v2_comparison[[#This Row],[score_change]])</f>
        <v>2.6</v>
      </c>
      <c r="H111" t="str">
        <f>IF(lmsi_v1_v2_comparison[[#This Row],[score_change]]&gt;0, "v2 Higher","v2 Lower")</f>
        <v>v2 Lower</v>
      </c>
    </row>
    <row r="112" spans="1:8" x14ac:dyDescent="0.2">
      <c r="A112" t="s">
        <v>22</v>
      </c>
      <c r="B112" t="s">
        <v>8</v>
      </c>
      <c r="C112" t="s">
        <v>11</v>
      </c>
      <c r="D112">
        <v>21.13</v>
      </c>
      <c r="E112">
        <v>21.24</v>
      </c>
      <c r="F112">
        <v>0.11</v>
      </c>
      <c r="G112">
        <f>ABS(lmsi_v1_v2_comparison[[#This Row],[score_change]])</f>
        <v>0.11</v>
      </c>
      <c r="H112" t="str">
        <f>IF(lmsi_v1_v2_comparison[[#This Row],[score_change]]&gt;0, "v2 Higher","v2 Lower")</f>
        <v>v2 Higher</v>
      </c>
    </row>
    <row r="113" spans="1:8" x14ac:dyDescent="0.2">
      <c r="A113" t="s">
        <v>22</v>
      </c>
      <c r="B113" t="s">
        <v>8</v>
      </c>
      <c r="C113" t="s">
        <v>12</v>
      </c>
      <c r="D113">
        <v>25.91</v>
      </c>
      <c r="E113">
        <v>27.67</v>
      </c>
      <c r="F113">
        <v>1.76</v>
      </c>
      <c r="G113">
        <f>ABS(lmsi_v1_v2_comparison[[#This Row],[score_change]])</f>
        <v>1.76</v>
      </c>
      <c r="H113" t="str">
        <f>IF(lmsi_v1_v2_comparison[[#This Row],[score_change]]&gt;0, "v2 Higher","v2 Lower")</f>
        <v>v2 Higher</v>
      </c>
    </row>
    <row r="114" spans="1:8" x14ac:dyDescent="0.2">
      <c r="A114" t="s">
        <v>22</v>
      </c>
      <c r="B114" t="s">
        <v>8</v>
      </c>
      <c r="C114" t="s">
        <v>13</v>
      </c>
      <c r="D114">
        <v>28.53</v>
      </c>
      <c r="E114">
        <v>26.72</v>
      </c>
      <c r="F114">
        <v>-1.81</v>
      </c>
      <c r="G114">
        <f>ABS(lmsi_v1_v2_comparison[[#This Row],[score_change]])</f>
        <v>1.81</v>
      </c>
      <c r="H114" t="str">
        <f>IF(lmsi_v1_v2_comparison[[#This Row],[score_change]]&gt;0, "v2 Higher","v2 Lower")</f>
        <v>v2 Lower</v>
      </c>
    </row>
    <row r="115" spans="1:8" x14ac:dyDescent="0.2">
      <c r="A115" t="s">
        <v>22</v>
      </c>
      <c r="B115" t="s">
        <v>8</v>
      </c>
      <c r="C115" t="s">
        <v>14</v>
      </c>
      <c r="D115">
        <v>37.75</v>
      </c>
      <c r="E115">
        <v>35.57</v>
      </c>
      <c r="F115">
        <v>-2.1800000000000002</v>
      </c>
      <c r="G115">
        <f>ABS(lmsi_v1_v2_comparison[[#This Row],[score_change]])</f>
        <v>2.1800000000000002</v>
      </c>
      <c r="H115" t="str">
        <f>IF(lmsi_v1_v2_comparison[[#This Row],[score_change]]&gt;0, "v2 Higher","v2 Lower")</f>
        <v>v2 Lower</v>
      </c>
    </row>
    <row r="116" spans="1:8" x14ac:dyDescent="0.2">
      <c r="A116" t="s">
        <v>22</v>
      </c>
      <c r="B116" t="s">
        <v>15</v>
      </c>
      <c r="C116" t="s">
        <v>9</v>
      </c>
      <c r="D116">
        <v>30</v>
      </c>
      <c r="E116">
        <v>25.96</v>
      </c>
      <c r="F116">
        <v>-4.04</v>
      </c>
      <c r="G116">
        <f>ABS(lmsi_v1_v2_comparison[[#This Row],[score_change]])</f>
        <v>4.04</v>
      </c>
      <c r="H116" t="str">
        <f>IF(lmsi_v1_v2_comparison[[#This Row],[score_change]]&gt;0, "v2 Higher","v2 Lower")</f>
        <v>v2 Lower</v>
      </c>
    </row>
    <row r="117" spans="1:8" x14ac:dyDescent="0.2">
      <c r="A117" t="s">
        <v>22</v>
      </c>
      <c r="B117" t="s">
        <v>15</v>
      </c>
      <c r="C117" t="s">
        <v>10</v>
      </c>
      <c r="D117">
        <v>36.39</v>
      </c>
      <c r="E117">
        <v>31.76</v>
      </c>
      <c r="F117">
        <v>-4.63</v>
      </c>
      <c r="G117">
        <f>ABS(lmsi_v1_v2_comparison[[#This Row],[score_change]])</f>
        <v>4.63</v>
      </c>
      <c r="H117" t="str">
        <f>IF(lmsi_v1_v2_comparison[[#This Row],[score_change]]&gt;0, "v2 Higher","v2 Lower")</f>
        <v>v2 Lower</v>
      </c>
    </row>
    <row r="118" spans="1:8" x14ac:dyDescent="0.2">
      <c r="A118" t="s">
        <v>22</v>
      </c>
      <c r="B118" t="s">
        <v>15</v>
      </c>
      <c r="C118" t="s">
        <v>11</v>
      </c>
      <c r="D118">
        <v>22.44</v>
      </c>
      <c r="E118">
        <v>22.62</v>
      </c>
      <c r="F118">
        <v>0.18</v>
      </c>
      <c r="G118">
        <f>ABS(lmsi_v1_v2_comparison[[#This Row],[score_change]])</f>
        <v>0.18</v>
      </c>
      <c r="H118" t="str">
        <f>IF(lmsi_v1_v2_comparison[[#This Row],[score_change]]&gt;0, "v2 Higher","v2 Lower")</f>
        <v>v2 Higher</v>
      </c>
    </row>
    <row r="119" spans="1:8" x14ac:dyDescent="0.2">
      <c r="A119" t="s">
        <v>22</v>
      </c>
      <c r="B119" t="s">
        <v>15</v>
      </c>
      <c r="C119" t="s">
        <v>12</v>
      </c>
      <c r="D119">
        <v>29.45</v>
      </c>
      <c r="E119">
        <v>29.08</v>
      </c>
      <c r="F119">
        <v>-0.37</v>
      </c>
      <c r="G119">
        <f>ABS(lmsi_v1_v2_comparison[[#This Row],[score_change]])</f>
        <v>0.37</v>
      </c>
      <c r="H119" t="str">
        <f>IF(lmsi_v1_v2_comparison[[#This Row],[score_change]]&gt;0, "v2 Higher","v2 Lower")</f>
        <v>v2 Lower</v>
      </c>
    </row>
    <row r="120" spans="1:8" x14ac:dyDescent="0.2">
      <c r="A120" t="s">
        <v>22</v>
      </c>
      <c r="B120" t="s">
        <v>15</v>
      </c>
      <c r="C120" t="s">
        <v>13</v>
      </c>
      <c r="D120">
        <v>33.32</v>
      </c>
      <c r="E120">
        <v>29.59</v>
      </c>
      <c r="F120">
        <v>-3.73</v>
      </c>
      <c r="G120">
        <f>ABS(lmsi_v1_v2_comparison[[#This Row],[score_change]])</f>
        <v>3.73</v>
      </c>
      <c r="H120" t="str">
        <f>IF(lmsi_v1_v2_comparison[[#This Row],[score_change]]&gt;0, "v2 Higher","v2 Lower")</f>
        <v>v2 Lower</v>
      </c>
    </row>
    <row r="121" spans="1:8" x14ac:dyDescent="0.2">
      <c r="A121" t="s">
        <v>22</v>
      </c>
      <c r="B121" t="s">
        <v>15</v>
      </c>
      <c r="C121" t="s">
        <v>14</v>
      </c>
      <c r="D121">
        <v>52.42</v>
      </c>
      <c r="E121">
        <v>48.26</v>
      </c>
      <c r="F121">
        <v>-4.16</v>
      </c>
      <c r="G121">
        <f>ABS(lmsi_v1_v2_comparison[[#This Row],[score_change]])</f>
        <v>4.16</v>
      </c>
      <c r="H121" t="str">
        <f>IF(lmsi_v1_v2_comparison[[#This Row],[score_change]]&gt;0, "v2 Higher","v2 Lower")</f>
        <v>v2 Lower</v>
      </c>
    </row>
    <row r="122" spans="1:8" x14ac:dyDescent="0.2">
      <c r="A122" t="s">
        <v>22</v>
      </c>
      <c r="B122" t="s">
        <v>16</v>
      </c>
      <c r="C122" t="s">
        <v>9</v>
      </c>
      <c r="D122">
        <v>28.37</v>
      </c>
      <c r="E122">
        <v>25.81</v>
      </c>
      <c r="F122">
        <v>-2.56</v>
      </c>
      <c r="G122">
        <f>ABS(lmsi_v1_v2_comparison[[#This Row],[score_change]])</f>
        <v>2.56</v>
      </c>
      <c r="H122" t="str">
        <f>IF(lmsi_v1_v2_comparison[[#This Row],[score_change]]&gt;0, "v2 Higher","v2 Lower")</f>
        <v>v2 Lower</v>
      </c>
    </row>
    <row r="123" spans="1:8" x14ac:dyDescent="0.2">
      <c r="A123" t="s">
        <v>22</v>
      </c>
      <c r="B123" t="s">
        <v>16</v>
      </c>
      <c r="C123" t="s">
        <v>10</v>
      </c>
      <c r="D123">
        <v>34.909999999999997</v>
      </c>
      <c r="E123">
        <v>32.159999999999997</v>
      </c>
      <c r="F123">
        <v>-2.75</v>
      </c>
      <c r="G123">
        <f>ABS(lmsi_v1_v2_comparison[[#This Row],[score_change]])</f>
        <v>2.75</v>
      </c>
      <c r="H123" t="str">
        <f>IF(lmsi_v1_v2_comparison[[#This Row],[score_change]]&gt;0, "v2 Higher","v2 Lower")</f>
        <v>v2 Lower</v>
      </c>
    </row>
    <row r="124" spans="1:8" x14ac:dyDescent="0.2">
      <c r="A124" t="s">
        <v>22</v>
      </c>
      <c r="B124" t="s">
        <v>16</v>
      </c>
      <c r="C124" t="s">
        <v>11</v>
      </c>
      <c r="D124">
        <v>21.59</v>
      </c>
      <c r="E124">
        <v>23.57</v>
      </c>
      <c r="F124">
        <v>1.98</v>
      </c>
      <c r="G124">
        <f>ABS(lmsi_v1_v2_comparison[[#This Row],[score_change]])</f>
        <v>1.98</v>
      </c>
      <c r="H124" t="str">
        <f>IF(lmsi_v1_v2_comparison[[#This Row],[score_change]]&gt;0, "v2 Higher","v2 Lower")</f>
        <v>v2 Higher</v>
      </c>
    </row>
    <row r="125" spans="1:8" x14ac:dyDescent="0.2">
      <c r="A125" t="s">
        <v>22</v>
      </c>
      <c r="B125" t="s">
        <v>16</v>
      </c>
      <c r="C125" t="s">
        <v>12</v>
      </c>
      <c r="D125">
        <v>27.27</v>
      </c>
      <c r="E125">
        <v>26.99</v>
      </c>
      <c r="F125">
        <v>-0.28000000000000003</v>
      </c>
      <c r="G125">
        <f>ABS(lmsi_v1_v2_comparison[[#This Row],[score_change]])</f>
        <v>0.28000000000000003</v>
      </c>
      <c r="H125" t="str">
        <f>IF(lmsi_v1_v2_comparison[[#This Row],[score_change]]&gt;0, "v2 Higher","v2 Lower")</f>
        <v>v2 Lower</v>
      </c>
    </row>
    <row r="126" spans="1:8" x14ac:dyDescent="0.2">
      <c r="A126" t="s">
        <v>22</v>
      </c>
      <c r="B126" t="s">
        <v>16</v>
      </c>
      <c r="C126" t="s">
        <v>13</v>
      </c>
      <c r="D126">
        <v>27.97</v>
      </c>
      <c r="E126">
        <v>26.83</v>
      </c>
      <c r="F126">
        <v>-1.1399999999999999</v>
      </c>
      <c r="G126">
        <f>ABS(lmsi_v1_v2_comparison[[#This Row],[score_change]])</f>
        <v>1.1399999999999999</v>
      </c>
      <c r="H126" t="str">
        <f>IF(lmsi_v1_v2_comparison[[#This Row],[score_change]]&gt;0, "v2 Higher","v2 Lower")</f>
        <v>v2 Lower</v>
      </c>
    </row>
    <row r="127" spans="1:8" x14ac:dyDescent="0.2">
      <c r="A127" t="s">
        <v>22</v>
      </c>
      <c r="B127" t="s">
        <v>16</v>
      </c>
      <c r="C127" t="s">
        <v>14</v>
      </c>
      <c r="D127">
        <v>42.95</v>
      </c>
      <c r="E127">
        <v>46.43</v>
      </c>
      <c r="F127">
        <v>3.48</v>
      </c>
      <c r="G127">
        <f>ABS(lmsi_v1_v2_comparison[[#This Row],[score_change]])</f>
        <v>3.48</v>
      </c>
      <c r="H127" t="str">
        <f>IF(lmsi_v1_v2_comparison[[#This Row],[score_change]]&gt;0, "v2 Higher","v2 Lower")</f>
        <v>v2 Higher</v>
      </c>
    </row>
    <row r="128" spans="1:8" x14ac:dyDescent="0.2">
      <c r="A128" t="s">
        <v>23</v>
      </c>
      <c r="B128" t="s">
        <v>8</v>
      </c>
      <c r="C128" t="s">
        <v>9</v>
      </c>
      <c r="D128">
        <v>25.24</v>
      </c>
      <c r="E128">
        <v>22.62</v>
      </c>
      <c r="F128">
        <v>-2.62</v>
      </c>
      <c r="G128">
        <f>ABS(lmsi_v1_v2_comparison[[#This Row],[score_change]])</f>
        <v>2.62</v>
      </c>
      <c r="H128" t="str">
        <f>IF(lmsi_v1_v2_comparison[[#This Row],[score_change]]&gt;0, "v2 Higher","v2 Lower")</f>
        <v>v2 Lower</v>
      </c>
    </row>
    <row r="129" spans="1:8" x14ac:dyDescent="0.2">
      <c r="A129" t="s">
        <v>23</v>
      </c>
      <c r="B129" t="s">
        <v>8</v>
      </c>
      <c r="C129" t="s">
        <v>10</v>
      </c>
      <c r="D129">
        <v>36.86</v>
      </c>
      <c r="E129">
        <v>33.53</v>
      </c>
      <c r="F129">
        <v>-3.33</v>
      </c>
      <c r="G129">
        <f>ABS(lmsi_v1_v2_comparison[[#This Row],[score_change]])</f>
        <v>3.33</v>
      </c>
      <c r="H129" t="str">
        <f>IF(lmsi_v1_v2_comparison[[#This Row],[score_change]]&gt;0, "v2 Higher","v2 Lower")</f>
        <v>v2 Lower</v>
      </c>
    </row>
    <row r="130" spans="1:8" x14ac:dyDescent="0.2">
      <c r="A130" t="s">
        <v>23</v>
      </c>
      <c r="B130" t="s">
        <v>8</v>
      </c>
      <c r="C130" t="s">
        <v>11</v>
      </c>
      <c r="D130">
        <v>22.67</v>
      </c>
      <c r="E130">
        <v>22.93</v>
      </c>
      <c r="F130">
        <v>0.26</v>
      </c>
      <c r="G130">
        <f>ABS(lmsi_v1_v2_comparison[[#This Row],[score_change]])</f>
        <v>0.26</v>
      </c>
      <c r="H130" t="str">
        <f>IF(lmsi_v1_v2_comparison[[#This Row],[score_change]]&gt;0, "v2 Higher","v2 Lower")</f>
        <v>v2 Higher</v>
      </c>
    </row>
    <row r="131" spans="1:8" x14ac:dyDescent="0.2">
      <c r="A131" t="s">
        <v>23</v>
      </c>
      <c r="B131" t="s">
        <v>8</v>
      </c>
      <c r="C131" t="s">
        <v>12</v>
      </c>
      <c r="D131">
        <v>21.48</v>
      </c>
      <c r="E131">
        <v>22.44</v>
      </c>
      <c r="F131">
        <v>0.96</v>
      </c>
      <c r="G131">
        <f>ABS(lmsi_v1_v2_comparison[[#This Row],[score_change]])</f>
        <v>0.96</v>
      </c>
      <c r="H131" t="str">
        <f>IF(lmsi_v1_v2_comparison[[#This Row],[score_change]]&gt;0, "v2 Higher","v2 Lower")</f>
        <v>v2 Higher</v>
      </c>
    </row>
    <row r="132" spans="1:8" x14ac:dyDescent="0.2">
      <c r="A132" t="s">
        <v>23</v>
      </c>
      <c r="B132" t="s">
        <v>8</v>
      </c>
      <c r="C132" t="s">
        <v>13</v>
      </c>
      <c r="D132">
        <v>25.28</v>
      </c>
      <c r="E132">
        <v>24.02</v>
      </c>
      <c r="F132">
        <v>-1.26</v>
      </c>
      <c r="G132">
        <f>ABS(lmsi_v1_v2_comparison[[#This Row],[score_change]])</f>
        <v>1.26</v>
      </c>
      <c r="H132" t="str">
        <f>IF(lmsi_v1_v2_comparison[[#This Row],[score_change]]&gt;0, "v2 Higher","v2 Lower")</f>
        <v>v2 Lower</v>
      </c>
    </row>
    <row r="133" spans="1:8" x14ac:dyDescent="0.2">
      <c r="A133" t="s">
        <v>23</v>
      </c>
      <c r="B133" t="s">
        <v>8</v>
      </c>
      <c r="C133" t="s">
        <v>14</v>
      </c>
      <c r="D133">
        <v>35.450000000000003</v>
      </c>
      <c r="E133">
        <v>33.11</v>
      </c>
      <c r="F133">
        <v>-2.34</v>
      </c>
      <c r="G133">
        <f>ABS(lmsi_v1_v2_comparison[[#This Row],[score_change]])</f>
        <v>2.34</v>
      </c>
      <c r="H133" t="str">
        <f>IF(lmsi_v1_v2_comparison[[#This Row],[score_change]]&gt;0, "v2 Higher","v2 Lower")</f>
        <v>v2 Lower</v>
      </c>
    </row>
    <row r="134" spans="1:8" x14ac:dyDescent="0.2">
      <c r="A134" t="s">
        <v>23</v>
      </c>
      <c r="B134" t="s">
        <v>15</v>
      </c>
      <c r="C134" t="s">
        <v>9</v>
      </c>
      <c r="D134">
        <v>29.95</v>
      </c>
      <c r="E134">
        <v>26.55</v>
      </c>
      <c r="F134">
        <v>-3.4</v>
      </c>
      <c r="G134">
        <f>ABS(lmsi_v1_v2_comparison[[#This Row],[score_change]])</f>
        <v>3.4</v>
      </c>
      <c r="H134" t="str">
        <f>IF(lmsi_v1_v2_comparison[[#This Row],[score_change]]&gt;0, "v2 Higher","v2 Lower")</f>
        <v>v2 Lower</v>
      </c>
    </row>
    <row r="135" spans="1:8" x14ac:dyDescent="0.2">
      <c r="A135" t="s">
        <v>23</v>
      </c>
      <c r="B135" t="s">
        <v>15</v>
      </c>
      <c r="C135" t="s">
        <v>10</v>
      </c>
      <c r="D135">
        <v>41.01</v>
      </c>
      <c r="E135">
        <v>34.950000000000003</v>
      </c>
      <c r="F135">
        <v>-6.06</v>
      </c>
      <c r="G135">
        <f>ABS(lmsi_v1_v2_comparison[[#This Row],[score_change]])</f>
        <v>6.06</v>
      </c>
      <c r="H135" t="str">
        <f>IF(lmsi_v1_v2_comparison[[#This Row],[score_change]]&gt;0, "v2 Higher","v2 Lower")</f>
        <v>v2 Lower</v>
      </c>
    </row>
    <row r="136" spans="1:8" x14ac:dyDescent="0.2">
      <c r="A136" t="s">
        <v>23</v>
      </c>
      <c r="B136" t="s">
        <v>15</v>
      </c>
      <c r="C136" t="s">
        <v>11</v>
      </c>
      <c r="D136">
        <v>24.16</v>
      </c>
      <c r="E136">
        <v>26.81</v>
      </c>
      <c r="F136">
        <v>2.65</v>
      </c>
      <c r="G136">
        <f>ABS(lmsi_v1_v2_comparison[[#This Row],[score_change]])</f>
        <v>2.65</v>
      </c>
      <c r="H136" t="str">
        <f>IF(lmsi_v1_v2_comparison[[#This Row],[score_change]]&gt;0, "v2 Higher","v2 Lower")</f>
        <v>v2 Higher</v>
      </c>
    </row>
    <row r="137" spans="1:8" x14ac:dyDescent="0.2">
      <c r="A137" t="s">
        <v>23</v>
      </c>
      <c r="B137" t="s">
        <v>15</v>
      </c>
      <c r="C137" t="s">
        <v>12</v>
      </c>
      <c r="D137">
        <v>25.59</v>
      </c>
      <c r="E137">
        <v>24.68</v>
      </c>
      <c r="F137">
        <v>-0.91</v>
      </c>
      <c r="G137">
        <f>ABS(lmsi_v1_v2_comparison[[#This Row],[score_change]])</f>
        <v>0.91</v>
      </c>
      <c r="H137" t="str">
        <f>IF(lmsi_v1_v2_comparison[[#This Row],[score_change]]&gt;0, "v2 Higher","v2 Lower")</f>
        <v>v2 Lower</v>
      </c>
    </row>
    <row r="138" spans="1:8" x14ac:dyDescent="0.2">
      <c r="A138" t="s">
        <v>23</v>
      </c>
      <c r="B138" t="s">
        <v>15</v>
      </c>
      <c r="C138" t="s">
        <v>13</v>
      </c>
      <c r="D138">
        <v>28.68</v>
      </c>
      <c r="E138">
        <v>26.76</v>
      </c>
      <c r="F138">
        <v>-1.92</v>
      </c>
      <c r="G138">
        <f>ABS(lmsi_v1_v2_comparison[[#This Row],[score_change]])</f>
        <v>1.92</v>
      </c>
      <c r="H138" t="str">
        <f>IF(lmsi_v1_v2_comparison[[#This Row],[score_change]]&gt;0, "v2 Higher","v2 Lower")</f>
        <v>v2 Lower</v>
      </c>
    </row>
    <row r="139" spans="1:8" x14ac:dyDescent="0.2">
      <c r="A139" t="s">
        <v>23</v>
      </c>
      <c r="B139" t="s">
        <v>15</v>
      </c>
      <c r="C139" t="s">
        <v>14</v>
      </c>
      <c r="D139">
        <v>50.2</v>
      </c>
      <c r="E139">
        <v>44.68</v>
      </c>
      <c r="F139">
        <v>-5.52</v>
      </c>
      <c r="G139">
        <f>ABS(lmsi_v1_v2_comparison[[#This Row],[score_change]])</f>
        <v>5.52</v>
      </c>
      <c r="H139" t="str">
        <f>IF(lmsi_v1_v2_comparison[[#This Row],[score_change]]&gt;0, "v2 Higher","v2 Lower")</f>
        <v>v2 Lower</v>
      </c>
    </row>
    <row r="140" spans="1:8" x14ac:dyDescent="0.2">
      <c r="A140" t="s">
        <v>23</v>
      </c>
      <c r="B140" t="s">
        <v>16</v>
      </c>
      <c r="C140" t="s">
        <v>9</v>
      </c>
      <c r="D140">
        <v>27.28</v>
      </c>
      <c r="E140">
        <v>25.01</v>
      </c>
      <c r="F140">
        <v>-2.27</v>
      </c>
      <c r="G140">
        <f>ABS(lmsi_v1_v2_comparison[[#This Row],[score_change]])</f>
        <v>2.27</v>
      </c>
      <c r="H140" t="str">
        <f>IF(lmsi_v1_v2_comparison[[#This Row],[score_change]]&gt;0, "v2 Higher","v2 Lower")</f>
        <v>v2 Lower</v>
      </c>
    </row>
    <row r="141" spans="1:8" x14ac:dyDescent="0.2">
      <c r="A141" t="s">
        <v>23</v>
      </c>
      <c r="B141" t="s">
        <v>16</v>
      </c>
      <c r="C141" t="s">
        <v>10</v>
      </c>
      <c r="D141">
        <v>38.369999999999997</v>
      </c>
      <c r="E141">
        <v>35.42</v>
      </c>
      <c r="F141">
        <v>-2.95</v>
      </c>
      <c r="G141">
        <f>ABS(lmsi_v1_v2_comparison[[#This Row],[score_change]])</f>
        <v>2.95</v>
      </c>
      <c r="H141" t="str">
        <f>IF(lmsi_v1_v2_comparison[[#This Row],[score_change]]&gt;0, "v2 Higher","v2 Lower")</f>
        <v>v2 Lower</v>
      </c>
    </row>
    <row r="142" spans="1:8" x14ac:dyDescent="0.2">
      <c r="A142" t="s">
        <v>23</v>
      </c>
      <c r="B142" t="s">
        <v>16</v>
      </c>
      <c r="C142" t="s">
        <v>11</v>
      </c>
      <c r="D142">
        <v>23.25</v>
      </c>
      <c r="E142">
        <v>23.96</v>
      </c>
      <c r="F142">
        <v>0.71</v>
      </c>
      <c r="G142">
        <f>ABS(lmsi_v1_v2_comparison[[#This Row],[score_change]])</f>
        <v>0.71</v>
      </c>
      <c r="H142" t="str">
        <f>IF(lmsi_v1_v2_comparison[[#This Row],[score_change]]&gt;0, "v2 Higher","v2 Lower")</f>
        <v>v2 Higher</v>
      </c>
    </row>
    <row r="143" spans="1:8" x14ac:dyDescent="0.2">
      <c r="A143" t="s">
        <v>23</v>
      </c>
      <c r="B143" t="s">
        <v>16</v>
      </c>
      <c r="C143" t="s">
        <v>12</v>
      </c>
      <c r="D143">
        <v>23.18</v>
      </c>
      <c r="E143">
        <v>25.3</v>
      </c>
      <c r="F143">
        <v>2.12</v>
      </c>
      <c r="G143">
        <f>ABS(lmsi_v1_v2_comparison[[#This Row],[score_change]])</f>
        <v>2.12</v>
      </c>
      <c r="H143" t="str">
        <f>IF(lmsi_v1_v2_comparison[[#This Row],[score_change]]&gt;0, "v2 Higher","v2 Lower")</f>
        <v>v2 Higher</v>
      </c>
    </row>
    <row r="144" spans="1:8" x14ac:dyDescent="0.2">
      <c r="A144" t="s">
        <v>23</v>
      </c>
      <c r="B144" t="s">
        <v>16</v>
      </c>
      <c r="C144" t="s">
        <v>13</v>
      </c>
      <c r="D144">
        <v>24.8</v>
      </c>
      <c r="E144">
        <v>23.52</v>
      </c>
      <c r="F144">
        <v>-1.28</v>
      </c>
      <c r="G144">
        <f>ABS(lmsi_v1_v2_comparison[[#This Row],[score_change]])</f>
        <v>1.28</v>
      </c>
      <c r="H144" t="str">
        <f>IF(lmsi_v1_v2_comparison[[#This Row],[score_change]]&gt;0, "v2 Higher","v2 Lower")</f>
        <v>v2 Lower</v>
      </c>
    </row>
    <row r="145" spans="1:8" x14ac:dyDescent="0.2">
      <c r="A145" t="s">
        <v>23</v>
      </c>
      <c r="B145" t="s">
        <v>16</v>
      </c>
      <c r="C145" t="s">
        <v>14</v>
      </c>
      <c r="D145">
        <v>39.58</v>
      </c>
      <c r="E145">
        <v>45.31</v>
      </c>
      <c r="F145">
        <v>5.73</v>
      </c>
      <c r="G145">
        <f>ABS(lmsi_v1_v2_comparison[[#This Row],[score_change]])</f>
        <v>5.73</v>
      </c>
      <c r="H145" t="str">
        <f>IF(lmsi_v1_v2_comparison[[#This Row],[score_change]]&gt;0, "v2 Higher","v2 Lower")</f>
        <v>v2 Higher</v>
      </c>
    </row>
    <row r="146" spans="1:8" x14ac:dyDescent="0.2">
      <c r="A146" t="s">
        <v>24</v>
      </c>
      <c r="B146" t="s">
        <v>8</v>
      </c>
      <c r="C146" t="s">
        <v>9</v>
      </c>
      <c r="D146">
        <v>38.69</v>
      </c>
      <c r="E146">
        <v>32.31</v>
      </c>
      <c r="F146">
        <v>-6.38</v>
      </c>
      <c r="G146">
        <f>ABS(lmsi_v1_v2_comparison[[#This Row],[score_change]])</f>
        <v>6.38</v>
      </c>
      <c r="H146" t="str">
        <f>IF(lmsi_v1_v2_comparison[[#This Row],[score_change]]&gt;0, "v2 Higher","v2 Lower")</f>
        <v>v2 Lower</v>
      </c>
    </row>
    <row r="147" spans="1:8" x14ac:dyDescent="0.2">
      <c r="A147" t="s">
        <v>24</v>
      </c>
      <c r="B147" t="s">
        <v>8</v>
      </c>
      <c r="C147" t="s">
        <v>10</v>
      </c>
      <c r="D147">
        <v>29.59</v>
      </c>
      <c r="E147">
        <v>27.43</v>
      </c>
      <c r="F147">
        <v>-2.16</v>
      </c>
      <c r="G147">
        <f>ABS(lmsi_v1_v2_comparison[[#This Row],[score_change]])</f>
        <v>2.16</v>
      </c>
      <c r="H147" t="str">
        <f>IF(lmsi_v1_v2_comparison[[#This Row],[score_change]]&gt;0, "v2 Higher","v2 Lower")</f>
        <v>v2 Lower</v>
      </c>
    </row>
    <row r="148" spans="1:8" x14ac:dyDescent="0.2">
      <c r="A148" t="s">
        <v>24</v>
      </c>
      <c r="B148" t="s">
        <v>8</v>
      </c>
      <c r="C148" t="s">
        <v>11</v>
      </c>
      <c r="D148">
        <v>21.31</v>
      </c>
      <c r="E148">
        <v>22.17</v>
      </c>
      <c r="F148">
        <v>0.86</v>
      </c>
      <c r="G148">
        <f>ABS(lmsi_v1_v2_comparison[[#This Row],[score_change]])</f>
        <v>0.86</v>
      </c>
      <c r="H148" t="str">
        <f>IF(lmsi_v1_v2_comparison[[#This Row],[score_change]]&gt;0, "v2 Higher","v2 Lower")</f>
        <v>v2 Higher</v>
      </c>
    </row>
    <row r="149" spans="1:8" x14ac:dyDescent="0.2">
      <c r="A149" t="s">
        <v>24</v>
      </c>
      <c r="B149" t="s">
        <v>8</v>
      </c>
      <c r="C149" t="s">
        <v>12</v>
      </c>
      <c r="D149">
        <v>19.78</v>
      </c>
      <c r="E149">
        <v>21.6</v>
      </c>
      <c r="F149">
        <v>1.82</v>
      </c>
      <c r="G149">
        <f>ABS(lmsi_v1_v2_comparison[[#This Row],[score_change]])</f>
        <v>1.82</v>
      </c>
      <c r="H149" t="str">
        <f>IF(lmsi_v1_v2_comparison[[#This Row],[score_change]]&gt;0, "v2 Higher","v2 Lower")</f>
        <v>v2 Higher</v>
      </c>
    </row>
    <row r="150" spans="1:8" x14ac:dyDescent="0.2">
      <c r="A150" t="s">
        <v>24</v>
      </c>
      <c r="B150" t="s">
        <v>8</v>
      </c>
      <c r="C150" t="s">
        <v>13</v>
      </c>
      <c r="D150">
        <v>26.08</v>
      </c>
      <c r="E150">
        <v>24.74</v>
      </c>
      <c r="F150">
        <v>-1.34</v>
      </c>
      <c r="G150">
        <f>ABS(lmsi_v1_v2_comparison[[#This Row],[score_change]])</f>
        <v>1.34</v>
      </c>
      <c r="H150" t="str">
        <f>IF(lmsi_v1_v2_comparison[[#This Row],[score_change]]&gt;0, "v2 Higher","v2 Lower")</f>
        <v>v2 Lower</v>
      </c>
    </row>
    <row r="151" spans="1:8" x14ac:dyDescent="0.2">
      <c r="A151" t="s">
        <v>24</v>
      </c>
      <c r="B151" t="s">
        <v>8</v>
      </c>
      <c r="C151" t="s">
        <v>14</v>
      </c>
      <c r="D151">
        <v>40.69</v>
      </c>
      <c r="E151">
        <v>37.090000000000003</v>
      </c>
      <c r="F151">
        <v>-3.6</v>
      </c>
      <c r="G151">
        <f>ABS(lmsi_v1_v2_comparison[[#This Row],[score_change]])</f>
        <v>3.6</v>
      </c>
      <c r="H151" t="str">
        <f>IF(lmsi_v1_v2_comparison[[#This Row],[score_change]]&gt;0, "v2 Higher","v2 Lower")</f>
        <v>v2 Lower</v>
      </c>
    </row>
    <row r="152" spans="1:8" x14ac:dyDescent="0.2">
      <c r="A152" t="s">
        <v>24</v>
      </c>
      <c r="B152" t="s">
        <v>15</v>
      </c>
      <c r="C152" t="s">
        <v>9</v>
      </c>
      <c r="D152">
        <v>48.9</v>
      </c>
      <c r="E152">
        <v>38.78</v>
      </c>
      <c r="F152">
        <v>-10.119999999999999</v>
      </c>
      <c r="G152">
        <f>ABS(lmsi_v1_v2_comparison[[#This Row],[score_change]])</f>
        <v>10.119999999999999</v>
      </c>
      <c r="H152" t="str">
        <f>IF(lmsi_v1_v2_comparison[[#This Row],[score_change]]&gt;0, "v2 Higher","v2 Lower")</f>
        <v>v2 Lower</v>
      </c>
    </row>
    <row r="153" spans="1:8" x14ac:dyDescent="0.2">
      <c r="A153" t="s">
        <v>24</v>
      </c>
      <c r="B153" t="s">
        <v>15</v>
      </c>
      <c r="C153" t="s">
        <v>10</v>
      </c>
      <c r="D153">
        <v>32.270000000000003</v>
      </c>
      <c r="E153">
        <v>29.73</v>
      </c>
      <c r="F153">
        <v>-2.54</v>
      </c>
      <c r="G153">
        <f>ABS(lmsi_v1_v2_comparison[[#This Row],[score_change]])</f>
        <v>2.54</v>
      </c>
      <c r="H153" t="str">
        <f>IF(lmsi_v1_v2_comparison[[#This Row],[score_change]]&gt;0, "v2 Higher","v2 Lower")</f>
        <v>v2 Lower</v>
      </c>
    </row>
    <row r="154" spans="1:8" x14ac:dyDescent="0.2">
      <c r="A154" t="s">
        <v>24</v>
      </c>
      <c r="B154" t="s">
        <v>15</v>
      </c>
      <c r="C154" t="s">
        <v>11</v>
      </c>
      <c r="D154">
        <v>22.85</v>
      </c>
      <c r="E154">
        <v>23.35</v>
      </c>
      <c r="F154">
        <v>0.5</v>
      </c>
      <c r="G154">
        <f>ABS(lmsi_v1_v2_comparison[[#This Row],[score_change]])</f>
        <v>0.5</v>
      </c>
      <c r="H154" t="str">
        <f>IF(lmsi_v1_v2_comparison[[#This Row],[score_change]]&gt;0, "v2 Higher","v2 Lower")</f>
        <v>v2 Higher</v>
      </c>
    </row>
    <row r="155" spans="1:8" x14ac:dyDescent="0.2">
      <c r="A155" t="s">
        <v>24</v>
      </c>
      <c r="B155" t="s">
        <v>15</v>
      </c>
      <c r="C155" t="s">
        <v>12</v>
      </c>
      <c r="D155">
        <v>22.77</v>
      </c>
      <c r="E155">
        <v>22.73</v>
      </c>
      <c r="F155">
        <v>-0.04</v>
      </c>
      <c r="G155">
        <f>ABS(lmsi_v1_v2_comparison[[#This Row],[score_change]])</f>
        <v>0.04</v>
      </c>
      <c r="H155" t="str">
        <f>IF(lmsi_v1_v2_comparison[[#This Row],[score_change]]&gt;0, "v2 Higher","v2 Lower")</f>
        <v>v2 Lower</v>
      </c>
    </row>
    <row r="156" spans="1:8" x14ac:dyDescent="0.2">
      <c r="A156" t="s">
        <v>24</v>
      </c>
      <c r="B156" t="s">
        <v>15</v>
      </c>
      <c r="C156" t="s">
        <v>13</v>
      </c>
      <c r="D156">
        <v>30.63</v>
      </c>
      <c r="E156">
        <v>28.03</v>
      </c>
      <c r="F156">
        <v>-2.6</v>
      </c>
      <c r="G156">
        <f>ABS(lmsi_v1_v2_comparison[[#This Row],[score_change]])</f>
        <v>2.6</v>
      </c>
      <c r="H156" t="str">
        <f>IF(lmsi_v1_v2_comparison[[#This Row],[score_change]]&gt;0, "v2 Higher","v2 Lower")</f>
        <v>v2 Lower</v>
      </c>
    </row>
    <row r="157" spans="1:8" x14ac:dyDescent="0.2">
      <c r="A157" t="s">
        <v>24</v>
      </c>
      <c r="B157" t="s">
        <v>15</v>
      </c>
      <c r="C157" t="s">
        <v>14</v>
      </c>
      <c r="D157">
        <v>58.51</v>
      </c>
      <c r="E157">
        <v>50.42</v>
      </c>
      <c r="F157">
        <v>-8.09</v>
      </c>
      <c r="G157">
        <f>ABS(lmsi_v1_v2_comparison[[#This Row],[score_change]])</f>
        <v>8.09</v>
      </c>
      <c r="H157" t="str">
        <f>IF(lmsi_v1_v2_comparison[[#This Row],[score_change]]&gt;0, "v2 Higher","v2 Lower")</f>
        <v>v2 Lower</v>
      </c>
    </row>
    <row r="158" spans="1:8" x14ac:dyDescent="0.2">
      <c r="A158" t="s">
        <v>24</v>
      </c>
      <c r="B158" t="s">
        <v>16</v>
      </c>
      <c r="C158" t="s">
        <v>9</v>
      </c>
      <c r="D158">
        <v>44.91</v>
      </c>
      <c r="E158">
        <v>37.43</v>
      </c>
      <c r="F158">
        <v>-7.48</v>
      </c>
      <c r="G158">
        <f>ABS(lmsi_v1_v2_comparison[[#This Row],[score_change]])</f>
        <v>7.48</v>
      </c>
      <c r="H158" t="str">
        <f>IF(lmsi_v1_v2_comparison[[#This Row],[score_change]]&gt;0, "v2 Higher","v2 Lower")</f>
        <v>v2 Lower</v>
      </c>
    </row>
    <row r="159" spans="1:8" x14ac:dyDescent="0.2">
      <c r="A159" t="s">
        <v>24</v>
      </c>
      <c r="B159" t="s">
        <v>16</v>
      </c>
      <c r="C159" t="s">
        <v>10</v>
      </c>
      <c r="D159">
        <v>30.75</v>
      </c>
      <c r="E159">
        <v>29.37</v>
      </c>
      <c r="F159">
        <v>-1.38</v>
      </c>
      <c r="G159">
        <f>ABS(lmsi_v1_v2_comparison[[#This Row],[score_change]])</f>
        <v>1.38</v>
      </c>
      <c r="H159" t="str">
        <f>IF(lmsi_v1_v2_comparison[[#This Row],[score_change]]&gt;0, "v2 Higher","v2 Lower")</f>
        <v>v2 Lower</v>
      </c>
    </row>
    <row r="160" spans="1:8" x14ac:dyDescent="0.2">
      <c r="A160" t="s">
        <v>24</v>
      </c>
      <c r="B160" t="s">
        <v>16</v>
      </c>
      <c r="C160" t="s">
        <v>11</v>
      </c>
      <c r="D160">
        <v>21.89</v>
      </c>
      <c r="E160">
        <v>22.68</v>
      </c>
      <c r="F160">
        <v>0.79</v>
      </c>
      <c r="G160">
        <f>ABS(lmsi_v1_v2_comparison[[#This Row],[score_change]])</f>
        <v>0.79</v>
      </c>
      <c r="H160" t="str">
        <f>IF(lmsi_v1_v2_comparison[[#This Row],[score_change]]&gt;0, "v2 Higher","v2 Lower")</f>
        <v>v2 Higher</v>
      </c>
    </row>
    <row r="161" spans="1:8" x14ac:dyDescent="0.2">
      <c r="A161" t="s">
        <v>24</v>
      </c>
      <c r="B161" t="s">
        <v>16</v>
      </c>
      <c r="C161" t="s">
        <v>12</v>
      </c>
      <c r="D161">
        <v>21.43</v>
      </c>
      <c r="E161">
        <v>22.46</v>
      </c>
      <c r="F161">
        <v>1.03</v>
      </c>
      <c r="G161">
        <f>ABS(lmsi_v1_v2_comparison[[#This Row],[score_change]])</f>
        <v>1.03</v>
      </c>
      <c r="H161" t="str">
        <f>IF(lmsi_v1_v2_comparison[[#This Row],[score_change]]&gt;0, "v2 Higher","v2 Lower")</f>
        <v>v2 Higher</v>
      </c>
    </row>
    <row r="162" spans="1:8" x14ac:dyDescent="0.2">
      <c r="A162" t="s">
        <v>24</v>
      </c>
      <c r="B162" t="s">
        <v>16</v>
      </c>
      <c r="C162" t="s">
        <v>13</v>
      </c>
      <c r="D162">
        <v>25.79</v>
      </c>
      <c r="E162">
        <v>24.73</v>
      </c>
      <c r="F162">
        <v>-1.06</v>
      </c>
      <c r="G162">
        <f>ABS(lmsi_v1_v2_comparison[[#This Row],[score_change]])</f>
        <v>1.06</v>
      </c>
      <c r="H162" t="str">
        <f>IF(lmsi_v1_v2_comparison[[#This Row],[score_change]]&gt;0, "v2 Higher","v2 Lower")</f>
        <v>v2 Lower</v>
      </c>
    </row>
    <row r="163" spans="1:8" x14ac:dyDescent="0.2">
      <c r="A163" t="s">
        <v>24</v>
      </c>
      <c r="B163" t="s">
        <v>16</v>
      </c>
      <c r="C163" t="s">
        <v>14</v>
      </c>
      <c r="D163">
        <v>46.7</v>
      </c>
      <c r="E163">
        <v>43.59</v>
      </c>
      <c r="F163">
        <v>-3.11</v>
      </c>
      <c r="G163">
        <f>ABS(lmsi_v1_v2_comparison[[#This Row],[score_change]])</f>
        <v>3.11</v>
      </c>
      <c r="H163" t="str">
        <f>IF(lmsi_v1_v2_comparison[[#This Row],[score_change]]&gt;0, "v2 Higher","v2 Lower")</f>
        <v>v2 Lower</v>
      </c>
    </row>
    <row r="164" spans="1:8" x14ac:dyDescent="0.2">
      <c r="A164" t="s">
        <v>25</v>
      </c>
      <c r="B164" t="s">
        <v>8</v>
      </c>
      <c r="C164" t="s">
        <v>9</v>
      </c>
      <c r="D164">
        <v>33.18</v>
      </c>
      <c r="E164">
        <v>28.02</v>
      </c>
      <c r="F164">
        <v>-5.16</v>
      </c>
      <c r="G164">
        <f>ABS(lmsi_v1_v2_comparison[[#This Row],[score_change]])</f>
        <v>5.16</v>
      </c>
      <c r="H164" t="str">
        <f>IF(lmsi_v1_v2_comparison[[#This Row],[score_change]]&gt;0, "v2 Higher","v2 Lower")</f>
        <v>v2 Lower</v>
      </c>
    </row>
    <row r="165" spans="1:8" x14ac:dyDescent="0.2">
      <c r="A165" t="s">
        <v>25</v>
      </c>
      <c r="B165" t="s">
        <v>8</v>
      </c>
      <c r="C165" t="s">
        <v>10</v>
      </c>
      <c r="D165">
        <v>32.53</v>
      </c>
      <c r="E165">
        <v>29.63</v>
      </c>
      <c r="F165">
        <v>-2.9</v>
      </c>
      <c r="G165">
        <f>ABS(lmsi_v1_v2_comparison[[#This Row],[score_change]])</f>
        <v>2.9</v>
      </c>
      <c r="H165" t="str">
        <f>IF(lmsi_v1_v2_comparison[[#This Row],[score_change]]&gt;0, "v2 Higher","v2 Lower")</f>
        <v>v2 Lower</v>
      </c>
    </row>
    <row r="166" spans="1:8" x14ac:dyDescent="0.2">
      <c r="A166" t="s">
        <v>25</v>
      </c>
      <c r="B166" t="s">
        <v>8</v>
      </c>
      <c r="C166" t="s">
        <v>11</v>
      </c>
      <c r="D166">
        <v>20.37</v>
      </c>
      <c r="E166">
        <v>20.38</v>
      </c>
      <c r="F166">
        <v>0.01</v>
      </c>
      <c r="G166">
        <f>ABS(lmsi_v1_v2_comparison[[#This Row],[score_change]])</f>
        <v>0.01</v>
      </c>
      <c r="H166" t="str">
        <f>IF(lmsi_v1_v2_comparison[[#This Row],[score_change]]&gt;0, "v2 Higher","v2 Lower")</f>
        <v>v2 Higher</v>
      </c>
    </row>
    <row r="167" spans="1:8" x14ac:dyDescent="0.2">
      <c r="A167" t="s">
        <v>25</v>
      </c>
      <c r="B167" t="s">
        <v>8</v>
      </c>
      <c r="C167" t="s">
        <v>12</v>
      </c>
      <c r="D167">
        <v>20.25</v>
      </c>
      <c r="E167">
        <v>20.56</v>
      </c>
      <c r="F167">
        <v>0.31</v>
      </c>
      <c r="G167">
        <f>ABS(lmsi_v1_v2_comparison[[#This Row],[score_change]])</f>
        <v>0.31</v>
      </c>
      <c r="H167" t="str">
        <f>IF(lmsi_v1_v2_comparison[[#This Row],[score_change]]&gt;0, "v2 Higher","v2 Lower")</f>
        <v>v2 Higher</v>
      </c>
    </row>
    <row r="168" spans="1:8" x14ac:dyDescent="0.2">
      <c r="A168" t="s">
        <v>25</v>
      </c>
      <c r="B168" t="s">
        <v>8</v>
      </c>
      <c r="C168" t="s">
        <v>13</v>
      </c>
      <c r="D168">
        <v>27.44</v>
      </c>
      <c r="E168">
        <v>25.63</v>
      </c>
      <c r="F168">
        <v>-1.81</v>
      </c>
      <c r="G168">
        <f>ABS(lmsi_v1_v2_comparison[[#This Row],[score_change]])</f>
        <v>1.81</v>
      </c>
      <c r="H168" t="str">
        <f>IF(lmsi_v1_v2_comparison[[#This Row],[score_change]]&gt;0, "v2 Higher","v2 Lower")</f>
        <v>v2 Lower</v>
      </c>
    </row>
    <row r="169" spans="1:8" x14ac:dyDescent="0.2">
      <c r="A169" t="s">
        <v>25</v>
      </c>
      <c r="B169" t="s">
        <v>8</v>
      </c>
      <c r="C169" t="s">
        <v>14</v>
      </c>
      <c r="D169">
        <v>36.72</v>
      </c>
      <c r="E169">
        <v>33.369999999999997</v>
      </c>
      <c r="F169">
        <v>-3.35</v>
      </c>
      <c r="G169">
        <f>ABS(lmsi_v1_v2_comparison[[#This Row],[score_change]])</f>
        <v>3.35</v>
      </c>
      <c r="H169" t="str">
        <f>IF(lmsi_v1_v2_comparison[[#This Row],[score_change]]&gt;0, "v2 Higher","v2 Lower")</f>
        <v>v2 Lower</v>
      </c>
    </row>
    <row r="170" spans="1:8" x14ac:dyDescent="0.2">
      <c r="A170" t="s">
        <v>25</v>
      </c>
      <c r="B170" t="s">
        <v>15</v>
      </c>
      <c r="C170" t="s">
        <v>9</v>
      </c>
      <c r="D170">
        <v>42.13</v>
      </c>
      <c r="E170">
        <v>34.43</v>
      </c>
      <c r="F170">
        <v>-7.7</v>
      </c>
      <c r="G170">
        <f>ABS(lmsi_v1_v2_comparison[[#This Row],[score_change]])</f>
        <v>7.7</v>
      </c>
      <c r="H170" t="str">
        <f>IF(lmsi_v1_v2_comparison[[#This Row],[score_change]]&gt;0, "v2 Higher","v2 Lower")</f>
        <v>v2 Lower</v>
      </c>
    </row>
    <row r="171" spans="1:8" x14ac:dyDescent="0.2">
      <c r="A171" t="s">
        <v>25</v>
      </c>
      <c r="B171" t="s">
        <v>15</v>
      </c>
      <c r="C171" t="s">
        <v>10</v>
      </c>
      <c r="D171">
        <v>36.26</v>
      </c>
      <c r="E171">
        <v>31.68</v>
      </c>
      <c r="F171">
        <v>-4.58</v>
      </c>
      <c r="G171">
        <f>ABS(lmsi_v1_v2_comparison[[#This Row],[score_change]])</f>
        <v>4.58</v>
      </c>
      <c r="H171" t="str">
        <f>IF(lmsi_v1_v2_comparison[[#This Row],[score_change]]&gt;0, "v2 Higher","v2 Lower")</f>
        <v>v2 Lower</v>
      </c>
    </row>
    <row r="172" spans="1:8" x14ac:dyDescent="0.2">
      <c r="A172" t="s">
        <v>25</v>
      </c>
      <c r="B172" t="s">
        <v>15</v>
      </c>
      <c r="C172" t="s">
        <v>11</v>
      </c>
      <c r="D172">
        <v>21.2</v>
      </c>
      <c r="E172">
        <v>21.12</v>
      </c>
      <c r="F172">
        <v>-0.08</v>
      </c>
      <c r="G172">
        <f>ABS(lmsi_v1_v2_comparison[[#This Row],[score_change]])</f>
        <v>0.08</v>
      </c>
      <c r="H172" t="str">
        <f>IF(lmsi_v1_v2_comparison[[#This Row],[score_change]]&gt;0, "v2 Higher","v2 Lower")</f>
        <v>v2 Lower</v>
      </c>
    </row>
    <row r="173" spans="1:8" x14ac:dyDescent="0.2">
      <c r="A173" t="s">
        <v>25</v>
      </c>
      <c r="B173" t="s">
        <v>15</v>
      </c>
      <c r="C173" t="s">
        <v>12</v>
      </c>
      <c r="D173">
        <v>23.26</v>
      </c>
      <c r="E173">
        <v>22.13</v>
      </c>
      <c r="F173">
        <v>-1.1299999999999999</v>
      </c>
      <c r="G173">
        <f>ABS(lmsi_v1_v2_comparison[[#This Row],[score_change]])</f>
        <v>1.1299999999999999</v>
      </c>
      <c r="H173" t="str">
        <f>IF(lmsi_v1_v2_comparison[[#This Row],[score_change]]&gt;0, "v2 Higher","v2 Lower")</f>
        <v>v2 Lower</v>
      </c>
    </row>
    <row r="174" spans="1:8" x14ac:dyDescent="0.2">
      <c r="A174" t="s">
        <v>25</v>
      </c>
      <c r="B174" t="s">
        <v>15</v>
      </c>
      <c r="C174" t="s">
        <v>13</v>
      </c>
      <c r="D174">
        <v>32.840000000000003</v>
      </c>
      <c r="E174">
        <v>29.28</v>
      </c>
      <c r="F174">
        <v>-3.56</v>
      </c>
      <c r="G174">
        <f>ABS(lmsi_v1_v2_comparison[[#This Row],[score_change]])</f>
        <v>3.56</v>
      </c>
      <c r="H174" t="str">
        <f>IF(lmsi_v1_v2_comparison[[#This Row],[score_change]]&gt;0, "v2 Higher","v2 Lower")</f>
        <v>v2 Lower</v>
      </c>
    </row>
    <row r="175" spans="1:8" x14ac:dyDescent="0.2">
      <c r="A175" t="s">
        <v>25</v>
      </c>
      <c r="B175" t="s">
        <v>15</v>
      </c>
      <c r="C175" t="s">
        <v>14</v>
      </c>
      <c r="D175">
        <v>54.65</v>
      </c>
      <c r="E175">
        <v>45.07</v>
      </c>
      <c r="F175">
        <v>-9.58</v>
      </c>
      <c r="G175">
        <f>ABS(lmsi_v1_v2_comparison[[#This Row],[score_change]])</f>
        <v>9.58</v>
      </c>
      <c r="H175" t="str">
        <f>IF(lmsi_v1_v2_comparison[[#This Row],[score_change]]&gt;0, "v2 Higher","v2 Lower")</f>
        <v>v2 Lower</v>
      </c>
    </row>
    <row r="176" spans="1:8" x14ac:dyDescent="0.2">
      <c r="A176" t="s">
        <v>25</v>
      </c>
      <c r="B176" t="s">
        <v>16</v>
      </c>
      <c r="C176" t="s">
        <v>9</v>
      </c>
      <c r="D176">
        <v>36.44</v>
      </c>
      <c r="E176">
        <v>30.78</v>
      </c>
      <c r="F176">
        <v>-5.66</v>
      </c>
      <c r="G176">
        <f>ABS(lmsi_v1_v2_comparison[[#This Row],[score_change]])</f>
        <v>5.66</v>
      </c>
      <c r="H176" t="str">
        <f>IF(lmsi_v1_v2_comparison[[#This Row],[score_change]]&gt;0, "v2 Higher","v2 Lower")</f>
        <v>v2 Lower</v>
      </c>
    </row>
    <row r="177" spans="1:8" x14ac:dyDescent="0.2">
      <c r="A177" t="s">
        <v>25</v>
      </c>
      <c r="B177" t="s">
        <v>16</v>
      </c>
      <c r="C177" t="s">
        <v>10</v>
      </c>
      <c r="D177">
        <v>35.369999999999997</v>
      </c>
      <c r="E177">
        <v>31.39</v>
      </c>
      <c r="F177">
        <v>-3.98</v>
      </c>
      <c r="G177">
        <f>ABS(lmsi_v1_v2_comparison[[#This Row],[score_change]])</f>
        <v>3.98</v>
      </c>
      <c r="H177" t="str">
        <f>IF(lmsi_v1_v2_comparison[[#This Row],[score_change]]&gt;0, "v2 Higher","v2 Lower")</f>
        <v>v2 Lower</v>
      </c>
    </row>
    <row r="178" spans="1:8" x14ac:dyDescent="0.2">
      <c r="A178" t="s">
        <v>25</v>
      </c>
      <c r="B178" t="s">
        <v>16</v>
      </c>
      <c r="C178" t="s">
        <v>11</v>
      </c>
      <c r="D178">
        <v>20.57</v>
      </c>
      <c r="E178">
        <v>20.45</v>
      </c>
      <c r="F178">
        <v>-0.12</v>
      </c>
      <c r="G178">
        <f>ABS(lmsi_v1_v2_comparison[[#This Row],[score_change]])</f>
        <v>0.12</v>
      </c>
      <c r="H178" t="str">
        <f>IF(lmsi_v1_v2_comparison[[#This Row],[score_change]]&gt;0, "v2 Higher","v2 Lower")</f>
        <v>v2 Lower</v>
      </c>
    </row>
    <row r="179" spans="1:8" x14ac:dyDescent="0.2">
      <c r="A179" t="s">
        <v>25</v>
      </c>
      <c r="B179" t="s">
        <v>16</v>
      </c>
      <c r="C179" t="s">
        <v>12</v>
      </c>
      <c r="D179">
        <v>21.74</v>
      </c>
      <c r="E179">
        <v>22.05</v>
      </c>
      <c r="F179">
        <v>0.31</v>
      </c>
      <c r="G179">
        <f>ABS(lmsi_v1_v2_comparison[[#This Row],[score_change]])</f>
        <v>0.31</v>
      </c>
      <c r="H179" t="str">
        <f>IF(lmsi_v1_v2_comparison[[#This Row],[score_change]]&gt;0, "v2 Higher","v2 Lower")</f>
        <v>v2 Higher</v>
      </c>
    </row>
    <row r="180" spans="1:8" x14ac:dyDescent="0.2">
      <c r="A180" t="s">
        <v>25</v>
      </c>
      <c r="B180" t="s">
        <v>16</v>
      </c>
      <c r="C180" t="s">
        <v>13</v>
      </c>
      <c r="D180">
        <v>26.82</v>
      </c>
      <c r="E180">
        <v>25.19</v>
      </c>
      <c r="F180">
        <v>-1.63</v>
      </c>
      <c r="G180">
        <f>ABS(lmsi_v1_v2_comparison[[#This Row],[score_change]])</f>
        <v>1.63</v>
      </c>
      <c r="H180" t="str">
        <f>IF(lmsi_v1_v2_comparison[[#This Row],[score_change]]&gt;0, "v2 Higher","v2 Lower")</f>
        <v>v2 Lower</v>
      </c>
    </row>
    <row r="181" spans="1:8" x14ac:dyDescent="0.2">
      <c r="A181" t="s">
        <v>25</v>
      </c>
      <c r="B181" t="s">
        <v>16</v>
      </c>
      <c r="C181" t="s">
        <v>14</v>
      </c>
      <c r="D181">
        <v>41</v>
      </c>
      <c r="E181">
        <v>37.270000000000003</v>
      </c>
      <c r="F181">
        <v>-3.73</v>
      </c>
      <c r="G181">
        <f>ABS(lmsi_v1_v2_comparison[[#This Row],[score_change]])</f>
        <v>3.73</v>
      </c>
      <c r="H181" t="str">
        <f>IF(lmsi_v1_v2_comparison[[#This Row],[score_change]]&gt;0, "v2 Higher","v2 Lower")</f>
        <v>v2 Lower</v>
      </c>
    </row>
    <row r="182" spans="1:8" x14ac:dyDescent="0.2">
      <c r="A182" t="s">
        <v>26</v>
      </c>
      <c r="B182" t="s">
        <v>8</v>
      </c>
      <c r="C182" t="s">
        <v>9</v>
      </c>
      <c r="D182">
        <v>29.33</v>
      </c>
      <c r="E182">
        <v>26.01</v>
      </c>
      <c r="F182">
        <v>-3.32</v>
      </c>
      <c r="G182">
        <f>ABS(lmsi_v1_v2_comparison[[#This Row],[score_change]])</f>
        <v>3.32</v>
      </c>
      <c r="H182" t="str">
        <f>IF(lmsi_v1_v2_comparison[[#This Row],[score_change]]&gt;0, "v2 Higher","v2 Lower")</f>
        <v>v2 Lower</v>
      </c>
    </row>
    <row r="183" spans="1:8" x14ac:dyDescent="0.2">
      <c r="A183" t="s">
        <v>26</v>
      </c>
      <c r="B183" t="s">
        <v>8</v>
      </c>
      <c r="C183" t="s">
        <v>10</v>
      </c>
      <c r="D183">
        <v>35.200000000000003</v>
      </c>
      <c r="E183">
        <v>31.55</v>
      </c>
      <c r="F183">
        <v>-3.65</v>
      </c>
      <c r="G183">
        <f>ABS(lmsi_v1_v2_comparison[[#This Row],[score_change]])</f>
        <v>3.65</v>
      </c>
      <c r="H183" t="str">
        <f>IF(lmsi_v1_v2_comparison[[#This Row],[score_change]]&gt;0, "v2 Higher","v2 Lower")</f>
        <v>v2 Lower</v>
      </c>
    </row>
    <row r="184" spans="1:8" x14ac:dyDescent="0.2">
      <c r="A184" t="s">
        <v>26</v>
      </c>
      <c r="B184" t="s">
        <v>8</v>
      </c>
      <c r="C184" t="s">
        <v>11</v>
      </c>
      <c r="D184">
        <v>20.99</v>
      </c>
      <c r="E184">
        <v>23.46</v>
      </c>
      <c r="F184">
        <v>2.4700000000000002</v>
      </c>
      <c r="G184">
        <f>ABS(lmsi_v1_v2_comparison[[#This Row],[score_change]])</f>
        <v>2.4700000000000002</v>
      </c>
      <c r="H184" t="str">
        <f>IF(lmsi_v1_v2_comparison[[#This Row],[score_change]]&gt;0, "v2 Higher","v2 Lower")</f>
        <v>v2 Higher</v>
      </c>
    </row>
    <row r="185" spans="1:8" x14ac:dyDescent="0.2">
      <c r="A185" t="s">
        <v>26</v>
      </c>
      <c r="B185" t="s">
        <v>8</v>
      </c>
      <c r="C185" t="s">
        <v>12</v>
      </c>
      <c r="D185">
        <v>17.28</v>
      </c>
      <c r="E185">
        <v>18.12</v>
      </c>
      <c r="F185">
        <v>0.84</v>
      </c>
      <c r="G185">
        <f>ABS(lmsi_v1_v2_comparison[[#This Row],[score_change]])</f>
        <v>0.84</v>
      </c>
      <c r="H185" t="str">
        <f>IF(lmsi_v1_v2_comparison[[#This Row],[score_change]]&gt;0, "v2 Higher","v2 Lower")</f>
        <v>v2 Higher</v>
      </c>
    </row>
    <row r="186" spans="1:8" x14ac:dyDescent="0.2">
      <c r="A186" t="s">
        <v>26</v>
      </c>
      <c r="B186" t="s">
        <v>8</v>
      </c>
      <c r="C186" t="s">
        <v>13</v>
      </c>
      <c r="D186">
        <v>28.04</v>
      </c>
      <c r="E186">
        <v>25.88</v>
      </c>
      <c r="F186">
        <v>-2.16</v>
      </c>
      <c r="G186">
        <f>ABS(lmsi_v1_v2_comparison[[#This Row],[score_change]])</f>
        <v>2.16</v>
      </c>
      <c r="H186" t="str">
        <f>IF(lmsi_v1_v2_comparison[[#This Row],[score_change]]&gt;0, "v2 Higher","v2 Lower")</f>
        <v>v2 Lower</v>
      </c>
    </row>
    <row r="187" spans="1:8" x14ac:dyDescent="0.2">
      <c r="A187" t="s">
        <v>26</v>
      </c>
      <c r="B187" t="s">
        <v>8</v>
      </c>
      <c r="C187" t="s">
        <v>14</v>
      </c>
      <c r="D187">
        <v>36.08</v>
      </c>
      <c r="E187">
        <v>35.020000000000003</v>
      </c>
      <c r="F187">
        <v>-1.06</v>
      </c>
      <c r="G187">
        <f>ABS(lmsi_v1_v2_comparison[[#This Row],[score_change]])</f>
        <v>1.06</v>
      </c>
      <c r="H187" t="str">
        <f>IF(lmsi_v1_v2_comparison[[#This Row],[score_change]]&gt;0, "v2 Higher","v2 Lower")</f>
        <v>v2 Lower</v>
      </c>
    </row>
    <row r="188" spans="1:8" x14ac:dyDescent="0.2">
      <c r="A188" t="s">
        <v>26</v>
      </c>
      <c r="B188" t="s">
        <v>15</v>
      </c>
      <c r="C188" t="s">
        <v>9</v>
      </c>
      <c r="D188">
        <v>36.049999999999997</v>
      </c>
      <c r="E188">
        <v>30.19</v>
      </c>
      <c r="F188">
        <v>-5.86</v>
      </c>
      <c r="G188">
        <f>ABS(lmsi_v1_v2_comparison[[#This Row],[score_change]])</f>
        <v>5.86</v>
      </c>
      <c r="H188" t="str">
        <f>IF(lmsi_v1_v2_comparison[[#This Row],[score_change]]&gt;0, "v2 Higher","v2 Lower")</f>
        <v>v2 Lower</v>
      </c>
    </row>
    <row r="189" spans="1:8" x14ac:dyDescent="0.2">
      <c r="A189" t="s">
        <v>26</v>
      </c>
      <c r="B189" t="s">
        <v>15</v>
      </c>
      <c r="C189" t="s">
        <v>10</v>
      </c>
      <c r="D189">
        <v>40.880000000000003</v>
      </c>
      <c r="E189">
        <v>34.840000000000003</v>
      </c>
      <c r="F189">
        <v>-6.04</v>
      </c>
      <c r="G189">
        <f>ABS(lmsi_v1_v2_comparison[[#This Row],[score_change]])</f>
        <v>6.04</v>
      </c>
      <c r="H189" t="str">
        <f>IF(lmsi_v1_v2_comparison[[#This Row],[score_change]]&gt;0, "v2 Higher","v2 Lower")</f>
        <v>v2 Lower</v>
      </c>
    </row>
    <row r="190" spans="1:8" x14ac:dyDescent="0.2">
      <c r="A190" t="s">
        <v>26</v>
      </c>
      <c r="B190" t="s">
        <v>15</v>
      </c>
      <c r="C190" t="s">
        <v>11</v>
      </c>
      <c r="D190">
        <v>22.79</v>
      </c>
      <c r="E190">
        <v>21.89</v>
      </c>
      <c r="F190">
        <v>-0.9</v>
      </c>
      <c r="G190">
        <f>ABS(lmsi_v1_v2_comparison[[#This Row],[score_change]])</f>
        <v>0.9</v>
      </c>
      <c r="H190" t="str">
        <f>IF(lmsi_v1_v2_comparison[[#This Row],[score_change]]&gt;0, "v2 Higher","v2 Lower")</f>
        <v>v2 Lower</v>
      </c>
    </row>
    <row r="191" spans="1:8" x14ac:dyDescent="0.2">
      <c r="A191" t="s">
        <v>26</v>
      </c>
      <c r="B191" t="s">
        <v>15</v>
      </c>
      <c r="C191" t="s">
        <v>12</v>
      </c>
      <c r="D191">
        <v>19.96</v>
      </c>
      <c r="E191">
        <v>20.85</v>
      </c>
      <c r="F191">
        <v>0.89</v>
      </c>
      <c r="G191">
        <f>ABS(lmsi_v1_v2_comparison[[#This Row],[score_change]])</f>
        <v>0.89</v>
      </c>
      <c r="H191" t="str">
        <f>IF(lmsi_v1_v2_comparison[[#This Row],[score_change]]&gt;0, "v2 Higher","v2 Lower")</f>
        <v>v2 Higher</v>
      </c>
    </row>
    <row r="192" spans="1:8" x14ac:dyDescent="0.2">
      <c r="A192" t="s">
        <v>26</v>
      </c>
      <c r="B192" t="s">
        <v>15</v>
      </c>
      <c r="C192" t="s">
        <v>13</v>
      </c>
      <c r="D192">
        <v>33.33</v>
      </c>
      <c r="E192">
        <v>30.38</v>
      </c>
      <c r="F192">
        <v>-2.95</v>
      </c>
      <c r="G192">
        <f>ABS(lmsi_v1_v2_comparison[[#This Row],[score_change]])</f>
        <v>2.95</v>
      </c>
      <c r="H192" t="str">
        <f>IF(lmsi_v1_v2_comparison[[#This Row],[score_change]]&gt;0, "v2 Higher","v2 Lower")</f>
        <v>v2 Lower</v>
      </c>
    </row>
    <row r="193" spans="1:8" x14ac:dyDescent="0.2">
      <c r="A193" t="s">
        <v>26</v>
      </c>
      <c r="B193" t="s">
        <v>15</v>
      </c>
      <c r="C193" t="s">
        <v>14</v>
      </c>
      <c r="D193">
        <v>50.17</v>
      </c>
      <c r="E193">
        <v>43.2</v>
      </c>
      <c r="F193">
        <v>-6.97</v>
      </c>
      <c r="G193">
        <f>ABS(lmsi_v1_v2_comparison[[#This Row],[score_change]])</f>
        <v>6.97</v>
      </c>
      <c r="H193" t="str">
        <f>IF(lmsi_v1_v2_comparison[[#This Row],[score_change]]&gt;0, "v2 Higher","v2 Lower")</f>
        <v>v2 Lower</v>
      </c>
    </row>
    <row r="194" spans="1:8" x14ac:dyDescent="0.2">
      <c r="A194" t="s">
        <v>26</v>
      </c>
      <c r="B194" t="s">
        <v>16</v>
      </c>
      <c r="C194" t="s">
        <v>9</v>
      </c>
      <c r="D194">
        <v>30.58</v>
      </c>
      <c r="E194">
        <v>26.98</v>
      </c>
      <c r="F194">
        <v>-3.6</v>
      </c>
      <c r="G194">
        <f>ABS(lmsi_v1_v2_comparison[[#This Row],[score_change]])</f>
        <v>3.6</v>
      </c>
      <c r="H194" t="str">
        <f>IF(lmsi_v1_v2_comparison[[#This Row],[score_change]]&gt;0, "v2 Higher","v2 Lower")</f>
        <v>v2 Lower</v>
      </c>
    </row>
    <row r="195" spans="1:8" x14ac:dyDescent="0.2">
      <c r="A195" t="s">
        <v>26</v>
      </c>
      <c r="B195" t="s">
        <v>16</v>
      </c>
      <c r="C195" t="s">
        <v>10</v>
      </c>
      <c r="D195">
        <v>39.22</v>
      </c>
      <c r="E195">
        <v>34.049999999999997</v>
      </c>
      <c r="F195">
        <v>-5.17</v>
      </c>
      <c r="G195">
        <f>ABS(lmsi_v1_v2_comparison[[#This Row],[score_change]])</f>
        <v>5.17</v>
      </c>
      <c r="H195" t="str">
        <f>IF(lmsi_v1_v2_comparison[[#This Row],[score_change]]&gt;0, "v2 Higher","v2 Lower")</f>
        <v>v2 Lower</v>
      </c>
    </row>
    <row r="196" spans="1:8" x14ac:dyDescent="0.2">
      <c r="A196" t="s">
        <v>26</v>
      </c>
      <c r="B196" t="s">
        <v>16</v>
      </c>
      <c r="C196" t="s">
        <v>11</v>
      </c>
      <c r="D196">
        <v>21.45</v>
      </c>
      <c r="E196">
        <v>23.06</v>
      </c>
      <c r="F196">
        <v>1.61</v>
      </c>
      <c r="G196">
        <f>ABS(lmsi_v1_v2_comparison[[#This Row],[score_change]])</f>
        <v>1.61</v>
      </c>
      <c r="H196" t="str">
        <f>IF(lmsi_v1_v2_comparison[[#This Row],[score_change]]&gt;0, "v2 Higher","v2 Lower")</f>
        <v>v2 Higher</v>
      </c>
    </row>
    <row r="197" spans="1:8" x14ac:dyDescent="0.2">
      <c r="A197" t="s">
        <v>26</v>
      </c>
      <c r="B197" t="s">
        <v>16</v>
      </c>
      <c r="C197" t="s">
        <v>12</v>
      </c>
      <c r="D197">
        <v>19.190000000000001</v>
      </c>
      <c r="E197">
        <v>21.31</v>
      </c>
      <c r="F197">
        <v>2.12</v>
      </c>
      <c r="G197">
        <f>ABS(lmsi_v1_v2_comparison[[#This Row],[score_change]])</f>
        <v>2.12</v>
      </c>
      <c r="H197" t="str">
        <f>IF(lmsi_v1_v2_comparison[[#This Row],[score_change]]&gt;0, "v2 Higher","v2 Lower")</f>
        <v>v2 Higher</v>
      </c>
    </row>
    <row r="198" spans="1:8" x14ac:dyDescent="0.2">
      <c r="A198" t="s">
        <v>26</v>
      </c>
      <c r="B198" t="s">
        <v>16</v>
      </c>
      <c r="C198" t="s">
        <v>13</v>
      </c>
      <c r="D198">
        <v>26.8</v>
      </c>
      <c r="E198">
        <v>24.97</v>
      </c>
      <c r="F198">
        <v>-1.83</v>
      </c>
      <c r="G198">
        <f>ABS(lmsi_v1_v2_comparison[[#This Row],[score_change]])</f>
        <v>1.83</v>
      </c>
      <c r="H198" t="str">
        <f>IF(lmsi_v1_v2_comparison[[#This Row],[score_change]]&gt;0, "v2 Higher","v2 Lower")</f>
        <v>v2 Lower</v>
      </c>
    </row>
    <row r="199" spans="1:8" x14ac:dyDescent="0.2">
      <c r="A199" t="s">
        <v>26</v>
      </c>
      <c r="B199" t="s">
        <v>16</v>
      </c>
      <c r="C199" t="s">
        <v>14</v>
      </c>
      <c r="D199">
        <v>40.549999999999997</v>
      </c>
      <c r="E199">
        <v>40.97</v>
      </c>
      <c r="F199">
        <v>0.42</v>
      </c>
      <c r="G199">
        <f>ABS(lmsi_v1_v2_comparison[[#This Row],[score_change]])</f>
        <v>0.42</v>
      </c>
      <c r="H199" t="str">
        <f>IF(lmsi_v1_v2_comparison[[#This Row],[score_change]]&gt;0, "v2 Higher","v2 Lower")</f>
        <v>v2 Higher</v>
      </c>
    </row>
    <row r="200" spans="1:8" x14ac:dyDescent="0.2">
      <c r="A200" t="s">
        <v>27</v>
      </c>
      <c r="B200" t="s">
        <v>8</v>
      </c>
      <c r="C200" t="s">
        <v>9</v>
      </c>
      <c r="D200">
        <v>26.1</v>
      </c>
      <c r="E200">
        <v>23.17</v>
      </c>
      <c r="F200">
        <v>-2.93</v>
      </c>
      <c r="G200">
        <f>ABS(lmsi_v1_v2_comparison[[#This Row],[score_change]])</f>
        <v>2.93</v>
      </c>
      <c r="H200" t="str">
        <f>IF(lmsi_v1_v2_comparison[[#This Row],[score_change]]&gt;0, "v2 Higher","v2 Lower")</f>
        <v>v2 Lower</v>
      </c>
    </row>
    <row r="201" spans="1:8" x14ac:dyDescent="0.2">
      <c r="A201" t="s">
        <v>27</v>
      </c>
      <c r="B201" t="s">
        <v>8</v>
      </c>
      <c r="C201" t="s">
        <v>10</v>
      </c>
      <c r="D201">
        <v>29.55</v>
      </c>
      <c r="E201">
        <v>29.03</v>
      </c>
      <c r="F201">
        <v>-0.52</v>
      </c>
      <c r="G201">
        <f>ABS(lmsi_v1_v2_comparison[[#This Row],[score_change]])</f>
        <v>0.52</v>
      </c>
      <c r="H201" t="str">
        <f>IF(lmsi_v1_v2_comparison[[#This Row],[score_change]]&gt;0, "v2 Higher","v2 Lower")</f>
        <v>v2 Lower</v>
      </c>
    </row>
    <row r="202" spans="1:8" x14ac:dyDescent="0.2">
      <c r="A202" t="s">
        <v>27</v>
      </c>
      <c r="B202" t="s">
        <v>8</v>
      </c>
      <c r="C202" t="s">
        <v>11</v>
      </c>
      <c r="D202">
        <v>17.8</v>
      </c>
      <c r="E202">
        <v>19.02</v>
      </c>
      <c r="F202">
        <v>1.22</v>
      </c>
      <c r="G202">
        <f>ABS(lmsi_v1_v2_comparison[[#This Row],[score_change]])</f>
        <v>1.22</v>
      </c>
      <c r="H202" t="str">
        <f>IF(lmsi_v1_v2_comparison[[#This Row],[score_change]]&gt;0, "v2 Higher","v2 Lower")</f>
        <v>v2 Higher</v>
      </c>
    </row>
    <row r="203" spans="1:8" x14ac:dyDescent="0.2">
      <c r="A203" t="s">
        <v>27</v>
      </c>
      <c r="B203" t="s">
        <v>8</v>
      </c>
      <c r="C203" t="s">
        <v>12</v>
      </c>
      <c r="D203">
        <v>22.32</v>
      </c>
      <c r="E203">
        <v>22.02</v>
      </c>
      <c r="F203">
        <v>-0.3</v>
      </c>
      <c r="G203">
        <f>ABS(lmsi_v1_v2_comparison[[#This Row],[score_change]])</f>
        <v>0.3</v>
      </c>
      <c r="H203" t="str">
        <f>IF(lmsi_v1_v2_comparison[[#This Row],[score_change]]&gt;0, "v2 Higher","v2 Lower")</f>
        <v>v2 Lower</v>
      </c>
    </row>
    <row r="204" spans="1:8" x14ac:dyDescent="0.2">
      <c r="A204" t="s">
        <v>27</v>
      </c>
      <c r="B204" t="s">
        <v>8</v>
      </c>
      <c r="C204" t="s">
        <v>13</v>
      </c>
      <c r="D204">
        <v>26.73</v>
      </c>
      <c r="E204">
        <v>25.68</v>
      </c>
      <c r="F204">
        <v>-1.05</v>
      </c>
      <c r="G204">
        <f>ABS(lmsi_v1_v2_comparison[[#This Row],[score_change]])</f>
        <v>1.05</v>
      </c>
      <c r="H204" t="str">
        <f>IF(lmsi_v1_v2_comparison[[#This Row],[score_change]]&gt;0, "v2 Higher","v2 Lower")</f>
        <v>v2 Lower</v>
      </c>
    </row>
    <row r="205" spans="1:8" x14ac:dyDescent="0.2">
      <c r="A205" t="s">
        <v>27</v>
      </c>
      <c r="B205" t="s">
        <v>8</v>
      </c>
      <c r="C205" t="s">
        <v>14</v>
      </c>
      <c r="D205">
        <v>33.54</v>
      </c>
      <c r="E205">
        <v>32</v>
      </c>
      <c r="F205">
        <v>-1.54</v>
      </c>
      <c r="G205">
        <f>ABS(lmsi_v1_v2_comparison[[#This Row],[score_change]])</f>
        <v>1.54</v>
      </c>
      <c r="H205" t="str">
        <f>IF(lmsi_v1_v2_comparison[[#This Row],[score_change]]&gt;0, "v2 Higher","v2 Lower")</f>
        <v>v2 Lower</v>
      </c>
    </row>
    <row r="206" spans="1:8" x14ac:dyDescent="0.2">
      <c r="A206" t="s">
        <v>27</v>
      </c>
      <c r="B206" t="s">
        <v>15</v>
      </c>
      <c r="C206" t="s">
        <v>9</v>
      </c>
      <c r="D206">
        <v>31.69</v>
      </c>
      <c r="E206">
        <v>27.26</v>
      </c>
      <c r="F206">
        <v>-4.43</v>
      </c>
      <c r="G206">
        <f>ABS(lmsi_v1_v2_comparison[[#This Row],[score_change]])</f>
        <v>4.43</v>
      </c>
      <c r="H206" t="str">
        <f>IF(lmsi_v1_v2_comparison[[#This Row],[score_change]]&gt;0, "v2 Higher","v2 Lower")</f>
        <v>v2 Lower</v>
      </c>
    </row>
    <row r="207" spans="1:8" x14ac:dyDescent="0.2">
      <c r="A207" t="s">
        <v>27</v>
      </c>
      <c r="B207" t="s">
        <v>15</v>
      </c>
      <c r="C207" t="s">
        <v>10</v>
      </c>
      <c r="D207">
        <v>32.79</v>
      </c>
      <c r="E207">
        <v>29.21</v>
      </c>
      <c r="F207">
        <v>-3.58</v>
      </c>
      <c r="G207">
        <f>ABS(lmsi_v1_v2_comparison[[#This Row],[score_change]])</f>
        <v>3.58</v>
      </c>
      <c r="H207" t="str">
        <f>IF(lmsi_v1_v2_comparison[[#This Row],[score_change]]&gt;0, "v2 Higher","v2 Lower")</f>
        <v>v2 Lower</v>
      </c>
    </row>
    <row r="208" spans="1:8" x14ac:dyDescent="0.2">
      <c r="A208" t="s">
        <v>27</v>
      </c>
      <c r="B208" t="s">
        <v>15</v>
      </c>
      <c r="C208" t="s">
        <v>11</v>
      </c>
      <c r="D208">
        <v>18.82</v>
      </c>
      <c r="E208">
        <v>20.260000000000002</v>
      </c>
      <c r="F208">
        <v>1.44</v>
      </c>
      <c r="G208">
        <f>ABS(lmsi_v1_v2_comparison[[#This Row],[score_change]])</f>
        <v>1.44</v>
      </c>
      <c r="H208" t="str">
        <f>IF(lmsi_v1_v2_comparison[[#This Row],[score_change]]&gt;0, "v2 Higher","v2 Lower")</f>
        <v>v2 Higher</v>
      </c>
    </row>
    <row r="209" spans="1:8" x14ac:dyDescent="0.2">
      <c r="A209" t="s">
        <v>27</v>
      </c>
      <c r="B209" t="s">
        <v>15</v>
      </c>
      <c r="C209" t="s">
        <v>12</v>
      </c>
      <c r="D209">
        <v>25.35</v>
      </c>
      <c r="E209">
        <v>25.21</v>
      </c>
      <c r="F209">
        <v>-0.14000000000000001</v>
      </c>
      <c r="G209">
        <f>ABS(lmsi_v1_v2_comparison[[#This Row],[score_change]])</f>
        <v>0.14000000000000001</v>
      </c>
      <c r="H209" t="str">
        <f>IF(lmsi_v1_v2_comparison[[#This Row],[score_change]]&gt;0, "v2 Higher","v2 Lower")</f>
        <v>v2 Lower</v>
      </c>
    </row>
    <row r="210" spans="1:8" x14ac:dyDescent="0.2">
      <c r="A210" t="s">
        <v>27</v>
      </c>
      <c r="B210" t="s">
        <v>15</v>
      </c>
      <c r="C210" t="s">
        <v>13</v>
      </c>
      <c r="D210">
        <v>33.56</v>
      </c>
      <c r="E210">
        <v>30.4</v>
      </c>
      <c r="F210">
        <v>-3.16</v>
      </c>
      <c r="G210">
        <f>ABS(lmsi_v1_v2_comparison[[#This Row],[score_change]])</f>
        <v>3.16</v>
      </c>
      <c r="H210" t="str">
        <f>IF(lmsi_v1_v2_comparison[[#This Row],[score_change]]&gt;0, "v2 Higher","v2 Lower")</f>
        <v>v2 Lower</v>
      </c>
    </row>
    <row r="211" spans="1:8" x14ac:dyDescent="0.2">
      <c r="A211" t="s">
        <v>27</v>
      </c>
      <c r="B211" t="s">
        <v>15</v>
      </c>
      <c r="C211" t="s">
        <v>14</v>
      </c>
      <c r="D211">
        <v>45.67</v>
      </c>
      <c r="E211">
        <v>41.79</v>
      </c>
      <c r="F211">
        <v>-3.88</v>
      </c>
      <c r="G211">
        <f>ABS(lmsi_v1_v2_comparison[[#This Row],[score_change]])</f>
        <v>3.88</v>
      </c>
      <c r="H211" t="str">
        <f>IF(lmsi_v1_v2_comparison[[#This Row],[score_change]]&gt;0, "v2 Higher","v2 Lower")</f>
        <v>v2 Lower</v>
      </c>
    </row>
    <row r="212" spans="1:8" x14ac:dyDescent="0.2">
      <c r="A212" t="s">
        <v>27</v>
      </c>
      <c r="B212" t="s">
        <v>16</v>
      </c>
      <c r="C212" t="s">
        <v>9</v>
      </c>
      <c r="D212">
        <v>29.29</v>
      </c>
      <c r="E212">
        <v>25.7</v>
      </c>
      <c r="F212">
        <v>-3.59</v>
      </c>
      <c r="G212">
        <f>ABS(lmsi_v1_v2_comparison[[#This Row],[score_change]])</f>
        <v>3.59</v>
      </c>
      <c r="H212" t="str">
        <f>IF(lmsi_v1_v2_comparison[[#This Row],[score_change]]&gt;0, "v2 Higher","v2 Lower")</f>
        <v>v2 Lower</v>
      </c>
    </row>
    <row r="213" spans="1:8" x14ac:dyDescent="0.2">
      <c r="A213" t="s">
        <v>27</v>
      </c>
      <c r="B213" t="s">
        <v>16</v>
      </c>
      <c r="C213" t="s">
        <v>10</v>
      </c>
      <c r="D213">
        <v>32.770000000000003</v>
      </c>
      <c r="E213">
        <v>28.96</v>
      </c>
      <c r="F213">
        <v>-3.81</v>
      </c>
      <c r="G213">
        <f>ABS(lmsi_v1_v2_comparison[[#This Row],[score_change]])</f>
        <v>3.81</v>
      </c>
      <c r="H213" t="str">
        <f>IF(lmsi_v1_v2_comparison[[#This Row],[score_change]]&gt;0, "v2 Higher","v2 Lower")</f>
        <v>v2 Lower</v>
      </c>
    </row>
    <row r="214" spans="1:8" x14ac:dyDescent="0.2">
      <c r="A214" t="s">
        <v>27</v>
      </c>
      <c r="B214" t="s">
        <v>16</v>
      </c>
      <c r="C214" t="s">
        <v>11</v>
      </c>
      <c r="D214">
        <v>18.14</v>
      </c>
      <c r="E214">
        <v>18.489999999999998</v>
      </c>
      <c r="F214">
        <v>0.35</v>
      </c>
      <c r="G214">
        <f>ABS(lmsi_v1_v2_comparison[[#This Row],[score_change]])</f>
        <v>0.35</v>
      </c>
      <c r="H214" t="str">
        <f>IF(lmsi_v1_v2_comparison[[#This Row],[score_change]]&gt;0, "v2 Higher","v2 Lower")</f>
        <v>v2 Higher</v>
      </c>
    </row>
    <row r="215" spans="1:8" x14ac:dyDescent="0.2">
      <c r="A215" t="s">
        <v>27</v>
      </c>
      <c r="B215" t="s">
        <v>16</v>
      </c>
      <c r="C215" t="s">
        <v>12</v>
      </c>
      <c r="D215">
        <v>23.8</v>
      </c>
      <c r="E215">
        <v>24.59</v>
      </c>
      <c r="F215">
        <v>0.79</v>
      </c>
      <c r="G215">
        <f>ABS(lmsi_v1_v2_comparison[[#This Row],[score_change]])</f>
        <v>0.79</v>
      </c>
      <c r="H215" t="str">
        <f>IF(lmsi_v1_v2_comparison[[#This Row],[score_change]]&gt;0, "v2 Higher","v2 Lower")</f>
        <v>v2 Higher</v>
      </c>
    </row>
    <row r="216" spans="1:8" x14ac:dyDescent="0.2">
      <c r="A216" t="s">
        <v>27</v>
      </c>
      <c r="B216" t="s">
        <v>16</v>
      </c>
      <c r="C216" t="s">
        <v>13</v>
      </c>
      <c r="D216">
        <v>26.36</v>
      </c>
      <c r="E216">
        <v>24.91</v>
      </c>
      <c r="F216">
        <v>-1.45</v>
      </c>
      <c r="G216">
        <f>ABS(lmsi_v1_v2_comparison[[#This Row],[score_change]])</f>
        <v>1.45</v>
      </c>
      <c r="H216" t="str">
        <f>IF(lmsi_v1_v2_comparison[[#This Row],[score_change]]&gt;0, "v2 Higher","v2 Lower")</f>
        <v>v2 Lower</v>
      </c>
    </row>
    <row r="217" spans="1:8" x14ac:dyDescent="0.2">
      <c r="A217" t="s">
        <v>27</v>
      </c>
      <c r="B217" t="s">
        <v>16</v>
      </c>
      <c r="C217" t="s">
        <v>14</v>
      </c>
      <c r="D217">
        <v>36.81</v>
      </c>
      <c r="E217">
        <v>35.47</v>
      </c>
      <c r="F217">
        <v>-1.34</v>
      </c>
      <c r="G217">
        <f>ABS(lmsi_v1_v2_comparison[[#This Row],[score_change]])</f>
        <v>1.34</v>
      </c>
      <c r="H217" t="str">
        <f>IF(lmsi_v1_v2_comparison[[#This Row],[score_change]]&gt;0, "v2 Higher","v2 Lower")</f>
        <v>v2 Lower</v>
      </c>
    </row>
    <row r="218" spans="1:8" x14ac:dyDescent="0.2">
      <c r="A218" t="s">
        <v>28</v>
      </c>
      <c r="B218" t="s">
        <v>8</v>
      </c>
      <c r="C218" t="s">
        <v>9</v>
      </c>
      <c r="D218">
        <v>17.32</v>
      </c>
      <c r="E218">
        <v>17.12</v>
      </c>
      <c r="F218">
        <v>-0.2</v>
      </c>
      <c r="G218">
        <f>ABS(lmsi_v1_v2_comparison[[#This Row],[score_change]])</f>
        <v>0.2</v>
      </c>
      <c r="H218" t="str">
        <f>IF(lmsi_v1_v2_comparison[[#This Row],[score_change]]&gt;0, "v2 Higher","v2 Lower")</f>
        <v>v2 Lower</v>
      </c>
    </row>
    <row r="219" spans="1:8" x14ac:dyDescent="0.2">
      <c r="A219" t="s">
        <v>28</v>
      </c>
      <c r="B219" t="s">
        <v>8</v>
      </c>
      <c r="C219" t="s">
        <v>10</v>
      </c>
      <c r="D219">
        <v>28.79</v>
      </c>
      <c r="E219">
        <v>26.48</v>
      </c>
      <c r="F219">
        <v>-2.31</v>
      </c>
      <c r="G219">
        <f>ABS(lmsi_v1_v2_comparison[[#This Row],[score_change]])</f>
        <v>2.31</v>
      </c>
      <c r="H219" t="str">
        <f>IF(lmsi_v1_v2_comparison[[#This Row],[score_change]]&gt;0, "v2 Higher","v2 Lower")</f>
        <v>v2 Lower</v>
      </c>
    </row>
    <row r="220" spans="1:8" x14ac:dyDescent="0.2">
      <c r="A220" t="s">
        <v>28</v>
      </c>
      <c r="B220" t="s">
        <v>8</v>
      </c>
      <c r="C220" t="s">
        <v>11</v>
      </c>
      <c r="D220">
        <v>16.59</v>
      </c>
      <c r="E220">
        <v>16.75</v>
      </c>
      <c r="F220">
        <v>0.16</v>
      </c>
      <c r="G220">
        <f>ABS(lmsi_v1_v2_comparison[[#This Row],[score_change]])</f>
        <v>0.16</v>
      </c>
      <c r="H220" t="str">
        <f>IF(lmsi_v1_v2_comparison[[#This Row],[score_change]]&gt;0, "v2 Higher","v2 Lower")</f>
        <v>v2 Higher</v>
      </c>
    </row>
    <row r="221" spans="1:8" x14ac:dyDescent="0.2">
      <c r="A221" t="s">
        <v>28</v>
      </c>
      <c r="B221" t="s">
        <v>8</v>
      </c>
      <c r="C221" t="s">
        <v>12</v>
      </c>
      <c r="D221">
        <v>23.52</v>
      </c>
      <c r="E221">
        <v>23.85</v>
      </c>
      <c r="F221">
        <v>0.33</v>
      </c>
      <c r="G221">
        <f>ABS(lmsi_v1_v2_comparison[[#This Row],[score_change]])</f>
        <v>0.33</v>
      </c>
      <c r="H221" t="str">
        <f>IF(lmsi_v1_v2_comparison[[#This Row],[score_change]]&gt;0, "v2 Higher","v2 Lower")</f>
        <v>v2 Higher</v>
      </c>
    </row>
    <row r="222" spans="1:8" x14ac:dyDescent="0.2">
      <c r="A222" t="s">
        <v>28</v>
      </c>
      <c r="B222" t="s">
        <v>8</v>
      </c>
      <c r="C222" t="s">
        <v>13</v>
      </c>
      <c r="D222">
        <v>20.84</v>
      </c>
      <c r="E222">
        <v>20.57</v>
      </c>
      <c r="F222">
        <v>-0.27</v>
      </c>
      <c r="G222">
        <f>ABS(lmsi_v1_v2_comparison[[#This Row],[score_change]])</f>
        <v>0.27</v>
      </c>
      <c r="H222" t="str">
        <f>IF(lmsi_v1_v2_comparison[[#This Row],[score_change]]&gt;0, "v2 Higher","v2 Lower")</f>
        <v>v2 Lower</v>
      </c>
    </row>
    <row r="223" spans="1:8" x14ac:dyDescent="0.2">
      <c r="A223" t="s">
        <v>28</v>
      </c>
      <c r="B223" t="s">
        <v>8</v>
      </c>
      <c r="C223" t="s">
        <v>14</v>
      </c>
      <c r="D223">
        <v>31.54</v>
      </c>
      <c r="E223">
        <v>33.53</v>
      </c>
      <c r="F223">
        <v>1.99</v>
      </c>
      <c r="G223">
        <f>ABS(lmsi_v1_v2_comparison[[#This Row],[score_change]])</f>
        <v>1.99</v>
      </c>
      <c r="H223" t="str">
        <f>IF(lmsi_v1_v2_comparison[[#This Row],[score_change]]&gt;0, "v2 Higher","v2 Lower")</f>
        <v>v2 Higher</v>
      </c>
    </row>
    <row r="224" spans="1:8" x14ac:dyDescent="0.2">
      <c r="A224" t="s">
        <v>28</v>
      </c>
      <c r="B224" t="s">
        <v>15</v>
      </c>
      <c r="C224" t="s">
        <v>9</v>
      </c>
      <c r="D224">
        <v>21.89</v>
      </c>
      <c r="E224">
        <v>20.41</v>
      </c>
      <c r="F224">
        <v>-1.48</v>
      </c>
      <c r="G224">
        <f>ABS(lmsi_v1_v2_comparison[[#This Row],[score_change]])</f>
        <v>1.48</v>
      </c>
      <c r="H224" t="str">
        <f>IF(lmsi_v1_v2_comparison[[#This Row],[score_change]]&gt;0, "v2 Higher","v2 Lower")</f>
        <v>v2 Lower</v>
      </c>
    </row>
    <row r="225" spans="1:8" x14ac:dyDescent="0.2">
      <c r="A225" t="s">
        <v>28</v>
      </c>
      <c r="B225" t="s">
        <v>15</v>
      </c>
      <c r="C225" t="s">
        <v>10</v>
      </c>
      <c r="D225">
        <v>31.12</v>
      </c>
      <c r="E225">
        <v>27.87</v>
      </c>
      <c r="F225">
        <v>-3.25</v>
      </c>
      <c r="G225">
        <f>ABS(lmsi_v1_v2_comparison[[#This Row],[score_change]])</f>
        <v>3.25</v>
      </c>
      <c r="H225" t="str">
        <f>IF(lmsi_v1_v2_comparison[[#This Row],[score_change]]&gt;0, "v2 Higher","v2 Lower")</f>
        <v>v2 Lower</v>
      </c>
    </row>
    <row r="226" spans="1:8" x14ac:dyDescent="0.2">
      <c r="A226" t="s">
        <v>28</v>
      </c>
      <c r="B226" t="s">
        <v>15</v>
      </c>
      <c r="C226" t="s">
        <v>11</v>
      </c>
      <c r="D226">
        <v>17.559999999999999</v>
      </c>
      <c r="E226">
        <v>18.489999999999998</v>
      </c>
      <c r="F226">
        <v>0.93</v>
      </c>
      <c r="G226">
        <f>ABS(lmsi_v1_v2_comparison[[#This Row],[score_change]])</f>
        <v>0.93</v>
      </c>
      <c r="H226" t="str">
        <f>IF(lmsi_v1_v2_comparison[[#This Row],[score_change]]&gt;0, "v2 Higher","v2 Lower")</f>
        <v>v2 Higher</v>
      </c>
    </row>
    <row r="227" spans="1:8" x14ac:dyDescent="0.2">
      <c r="A227" t="s">
        <v>28</v>
      </c>
      <c r="B227" t="s">
        <v>15</v>
      </c>
      <c r="C227" t="s">
        <v>12</v>
      </c>
      <c r="D227">
        <v>27.08</v>
      </c>
      <c r="E227">
        <v>26.72</v>
      </c>
      <c r="F227">
        <v>-0.36</v>
      </c>
      <c r="G227">
        <f>ABS(lmsi_v1_v2_comparison[[#This Row],[score_change]])</f>
        <v>0.36</v>
      </c>
      <c r="H227" t="str">
        <f>IF(lmsi_v1_v2_comparison[[#This Row],[score_change]]&gt;0, "v2 Higher","v2 Lower")</f>
        <v>v2 Lower</v>
      </c>
    </row>
    <row r="228" spans="1:8" x14ac:dyDescent="0.2">
      <c r="A228" t="s">
        <v>28</v>
      </c>
      <c r="B228" t="s">
        <v>15</v>
      </c>
      <c r="C228" t="s">
        <v>13</v>
      </c>
      <c r="D228">
        <v>25.29</v>
      </c>
      <c r="E228">
        <v>23.11</v>
      </c>
      <c r="F228">
        <v>-2.1800000000000002</v>
      </c>
      <c r="G228">
        <f>ABS(lmsi_v1_v2_comparison[[#This Row],[score_change]])</f>
        <v>2.1800000000000002</v>
      </c>
      <c r="H228" t="str">
        <f>IF(lmsi_v1_v2_comparison[[#This Row],[score_change]]&gt;0, "v2 Higher","v2 Lower")</f>
        <v>v2 Lower</v>
      </c>
    </row>
    <row r="229" spans="1:8" x14ac:dyDescent="0.2">
      <c r="A229" t="s">
        <v>28</v>
      </c>
      <c r="B229" t="s">
        <v>15</v>
      </c>
      <c r="C229" t="s">
        <v>14</v>
      </c>
      <c r="D229">
        <v>43.79</v>
      </c>
      <c r="E229">
        <v>40.14</v>
      </c>
      <c r="F229">
        <v>-3.65</v>
      </c>
      <c r="G229">
        <f>ABS(lmsi_v1_v2_comparison[[#This Row],[score_change]])</f>
        <v>3.65</v>
      </c>
      <c r="H229" t="str">
        <f>IF(lmsi_v1_v2_comparison[[#This Row],[score_change]]&gt;0, "v2 Higher","v2 Lower")</f>
        <v>v2 Lower</v>
      </c>
    </row>
    <row r="230" spans="1:8" x14ac:dyDescent="0.2">
      <c r="A230" t="s">
        <v>28</v>
      </c>
      <c r="B230" t="s">
        <v>16</v>
      </c>
      <c r="C230" t="s">
        <v>9</v>
      </c>
      <c r="D230">
        <v>20.49</v>
      </c>
      <c r="E230">
        <v>19.3</v>
      </c>
      <c r="F230">
        <v>-1.19</v>
      </c>
      <c r="G230">
        <f>ABS(lmsi_v1_v2_comparison[[#This Row],[score_change]])</f>
        <v>1.19</v>
      </c>
      <c r="H230" t="str">
        <f>IF(lmsi_v1_v2_comparison[[#This Row],[score_change]]&gt;0, "v2 Higher","v2 Lower")</f>
        <v>v2 Lower</v>
      </c>
    </row>
    <row r="231" spans="1:8" x14ac:dyDescent="0.2">
      <c r="A231" t="s">
        <v>28</v>
      </c>
      <c r="B231" t="s">
        <v>16</v>
      </c>
      <c r="C231" t="s">
        <v>10</v>
      </c>
      <c r="D231">
        <v>30.03</v>
      </c>
      <c r="E231">
        <v>28.73</v>
      </c>
      <c r="F231">
        <v>-1.3</v>
      </c>
      <c r="G231">
        <f>ABS(lmsi_v1_v2_comparison[[#This Row],[score_change]])</f>
        <v>1.3</v>
      </c>
      <c r="H231" t="str">
        <f>IF(lmsi_v1_v2_comparison[[#This Row],[score_change]]&gt;0, "v2 Higher","v2 Lower")</f>
        <v>v2 Lower</v>
      </c>
    </row>
    <row r="232" spans="1:8" x14ac:dyDescent="0.2">
      <c r="A232" t="s">
        <v>28</v>
      </c>
      <c r="B232" t="s">
        <v>16</v>
      </c>
      <c r="C232" t="s">
        <v>11</v>
      </c>
      <c r="D232">
        <v>16.88</v>
      </c>
      <c r="E232">
        <v>18.55</v>
      </c>
      <c r="F232">
        <v>1.67</v>
      </c>
      <c r="G232">
        <f>ABS(lmsi_v1_v2_comparison[[#This Row],[score_change]])</f>
        <v>1.67</v>
      </c>
      <c r="H232" t="str">
        <f>IF(lmsi_v1_v2_comparison[[#This Row],[score_change]]&gt;0, "v2 Higher","v2 Lower")</f>
        <v>v2 Higher</v>
      </c>
    </row>
    <row r="233" spans="1:8" x14ac:dyDescent="0.2">
      <c r="A233" t="s">
        <v>28</v>
      </c>
      <c r="B233" t="s">
        <v>16</v>
      </c>
      <c r="C233" t="s">
        <v>12</v>
      </c>
      <c r="D233">
        <v>25.07</v>
      </c>
      <c r="E233">
        <v>25.82</v>
      </c>
      <c r="F233">
        <v>0.75</v>
      </c>
      <c r="G233">
        <f>ABS(lmsi_v1_v2_comparison[[#This Row],[score_change]])</f>
        <v>0.75</v>
      </c>
      <c r="H233" t="str">
        <f>IF(lmsi_v1_v2_comparison[[#This Row],[score_change]]&gt;0, "v2 Higher","v2 Lower")</f>
        <v>v2 Higher</v>
      </c>
    </row>
    <row r="234" spans="1:8" x14ac:dyDescent="0.2">
      <c r="A234" t="s">
        <v>28</v>
      </c>
      <c r="B234" t="s">
        <v>16</v>
      </c>
      <c r="C234" t="s">
        <v>13</v>
      </c>
      <c r="D234">
        <v>21.43</v>
      </c>
      <c r="E234">
        <v>20.5</v>
      </c>
      <c r="F234">
        <v>-0.93</v>
      </c>
      <c r="G234">
        <f>ABS(lmsi_v1_v2_comparison[[#This Row],[score_change]])</f>
        <v>0.93</v>
      </c>
      <c r="H234" t="str">
        <f>IF(lmsi_v1_v2_comparison[[#This Row],[score_change]]&gt;0, "v2 Higher","v2 Lower")</f>
        <v>v2 Lower</v>
      </c>
    </row>
    <row r="235" spans="1:8" x14ac:dyDescent="0.2">
      <c r="A235" t="s">
        <v>28</v>
      </c>
      <c r="B235" t="s">
        <v>16</v>
      </c>
      <c r="C235" t="s">
        <v>14</v>
      </c>
      <c r="D235">
        <v>34.54</v>
      </c>
      <c r="E235">
        <v>36.85</v>
      </c>
      <c r="F235">
        <v>2.31</v>
      </c>
      <c r="G235">
        <f>ABS(lmsi_v1_v2_comparison[[#This Row],[score_change]])</f>
        <v>2.31</v>
      </c>
      <c r="H235" t="str">
        <f>IF(lmsi_v1_v2_comparison[[#This Row],[score_change]]&gt;0, "v2 Higher","v2 Lower")</f>
        <v>v2 Higher</v>
      </c>
    </row>
    <row r="236" spans="1:8" x14ac:dyDescent="0.2">
      <c r="A236" t="s">
        <v>29</v>
      </c>
      <c r="B236" t="s">
        <v>8</v>
      </c>
      <c r="C236" t="s">
        <v>9</v>
      </c>
      <c r="D236">
        <v>19.68</v>
      </c>
      <c r="E236">
        <v>18.57</v>
      </c>
      <c r="F236">
        <v>-1.1100000000000001</v>
      </c>
      <c r="G236">
        <f>ABS(lmsi_v1_v2_comparison[[#This Row],[score_change]])</f>
        <v>1.1100000000000001</v>
      </c>
      <c r="H236" t="str">
        <f>IF(lmsi_v1_v2_comparison[[#This Row],[score_change]]&gt;0, "v2 Higher","v2 Lower")</f>
        <v>v2 Lower</v>
      </c>
    </row>
    <row r="237" spans="1:8" x14ac:dyDescent="0.2">
      <c r="A237" t="s">
        <v>29</v>
      </c>
      <c r="B237" t="s">
        <v>8</v>
      </c>
      <c r="C237" t="s">
        <v>10</v>
      </c>
      <c r="D237">
        <v>22</v>
      </c>
      <c r="E237">
        <v>20.62</v>
      </c>
      <c r="F237">
        <v>-1.38</v>
      </c>
      <c r="G237">
        <f>ABS(lmsi_v1_v2_comparison[[#This Row],[score_change]])</f>
        <v>1.38</v>
      </c>
      <c r="H237" t="str">
        <f>IF(lmsi_v1_v2_comparison[[#This Row],[score_change]]&gt;0, "v2 Higher","v2 Lower")</f>
        <v>v2 Lower</v>
      </c>
    </row>
    <row r="238" spans="1:8" x14ac:dyDescent="0.2">
      <c r="A238" t="s">
        <v>29</v>
      </c>
      <c r="B238" t="s">
        <v>8</v>
      </c>
      <c r="C238" t="s">
        <v>11</v>
      </c>
      <c r="D238">
        <v>15.36</v>
      </c>
      <c r="E238">
        <v>15.24</v>
      </c>
      <c r="F238">
        <v>-0.12</v>
      </c>
      <c r="G238">
        <f>ABS(lmsi_v1_v2_comparison[[#This Row],[score_change]])</f>
        <v>0.12</v>
      </c>
      <c r="H238" t="str">
        <f>IF(lmsi_v1_v2_comparison[[#This Row],[score_change]]&gt;0, "v2 Higher","v2 Lower")</f>
        <v>v2 Lower</v>
      </c>
    </row>
    <row r="239" spans="1:8" x14ac:dyDescent="0.2">
      <c r="A239" t="s">
        <v>29</v>
      </c>
      <c r="B239" t="s">
        <v>8</v>
      </c>
      <c r="C239" t="s">
        <v>12</v>
      </c>
      <c r="D239">
        <v>22.07</v>
      </c>
      <c r="E239">
        <v>22.32</v>
      </c>
      <c r="F239">
        <v>0.25</v>
      </c>
      <c r="G239">
        <f>ABS(lmsi_v1_v2_comparison[[#This Row],[score_change]])</f>
        <v>0.25</v>
      </c>
      <c r="H239" t="str">
        <f>IF(lmsi_v1_v2_comparison[[#This Row],[score_change]]&gt;0, "v2 Higher","v2 Lower")</f>
        <v>v2 Higher</v>
      </c>
    </row>
    <row r="240" spans="1:8" x14ac:dyDescent="0.2">
      <c r="A240" t="s">
        <v>29</v>
      </c>
      <c r="B240" t="s">
        <v>8</v>
      </c>
      <c r="C240" t="s">
        <v>13</v>
      </c>
      <c r="D240">
        <v>20.77</v>
      </c>
      <c r="E240">
        <v>19.920000000000002</v>
      </c>
      <c r="F240">
        <v>-0.85</v>
      </c>
      <c r="G240">
        <f>ABS(lmsi_v1_v2_comparison[[#This Row],[score_change]])</f>
        <v>0.85</v>
      </c>
      <c r="H240" t="str">
        <f>IF(lmsi_v1_v2_comparison[[#This Row],[score_change]]&gt;0, "v2 Higher","v2 Lower")</f>
        <v>v2 Lower</v>
      </c>
    </row>
    <row r="241" spans="1:8" x14ac:dyDescent="0.2">
      <c r="A241" t="s">
        <v>29</v>
      </c>
      <c r="B241" t="s">
        <v>8</v>
      </c>
      <c r="C241" t="s">
        <v>14</v>
      </c>
      <c r="D241">
        <v>25.18</v>
      </c>
      <c r="E241">
        <v>23.84</v>
      </c>
      <c r="F241">
        <v>-1.34</v>
      </c>
      <c r="G241">
        <f>ABS(lmsi_v1_v2_comparison[[#This Row],[score_change]])</f>
        <v>1.34</v>
      </c>
      <c r="H241" t="str">
        <f>IF(lmsi_v1_v2_comparison[[#This Row],[score_change]]&gt;0, "v2 Higher","v2 Lower")</f>
        <v>v2 Lower</v>
      </c>
    </row>
    <row r="242" spans="1:8" x14ac:dyDescent="0.2">
      <c r="A242" t="s">
        <v>29</v>
      </c>
      <c r="B242" t="s">
        <v>15</v>
      </c>
      <c r="C242" t="s">
        <v>9</v>
      </c>
      <c r="D242">
        <v>26.26</v>
      </c>
      <c r="E242">
        <v>22.96</v>
      </c>
      <c r="F242">
        <v>-3.3</v>
      </c>
      <c r="G242">
        <f>ABS(lmsi_v1_v2_comparison[[#This Row],[score_change]])</f>
        <v>3.3</v>
      </c>
      <c r="H242" t="str">
        <f>IF(lmsi_v1_v2_comparison[[#This Row],[score_change]]&gt;0, "v2 Higher","v2 Lower")</f>
        <v>v2 Lower</v>
      </c>
    </row>
    <row r="243" spans="1:8" x14ac:dyDescent="0.2">
      <c r="A243" t="s">
        <v>29</v>
      </c>
      <c r="B243" t="s">
        <v>15</v>
      </c>
      <c r="C243" t="s">
        <v>10</v>
      </c>
      <c r="D243">
        <v>23.05</v>
      </c>
      <c r="E243">
        <v>21.45</v>
      </c>
      <c r="F243">
        <v>-1.6</v>
      </c>
      <c r="G243">
        <f>ABS(lmsi_v1_v2_comparison[[#This Row],[score_change]])</f>
        <v>1.6</v>
      </c>
      <c r="H243" t="str">
        <f>IF(lmsi_v1_v2_comparison[[#This Row],[score_change]]&gt;0, "v2 Higher","v2 Lower")</f>
        <v>v2 Lower</v>
      </c>
    </row>
    <row r="244" spans="1:8" x14ac:dyDescent="0.2">
      <c r="A244" t="s">
        <v>29</v>
      </c>
      <c r="B244" t="s">
        <v>15</v>
      </c>
      <c r="C244" t="s">
        <v>11</v>
      </c>
      <c r="D244">
        <v>16.899999999999999</v>
      </c>
      <c r="E244">
        <v>16.440000000000001</v>
      </c>
      <c r="F244">
        <v>-0.46</v>
      </c>
      <c r="G244">
        <f>ABS(lmsi_v1_v2_comparison[[#This Row],[score_change]])</f>
        <v>0.46</v>
      </c>
      <c r="H244" t="str">
        <f>IF(lmsi_v1_v2_comparison[[#This Row],[score_change]]&gt;0, "v2 Higher","v2 Lower")</f>
        <v>v2 Lower</v>
      </c>
    </row>
    <row r="245" spans="1:8" x14ac:dyDescent="0.2">
      <c r="A245" t="s">
        <v>29</v>
      </c>
      <c r="B245" t="s">
        <v>15</v>
      </c>
      <c r="C245" t="s">
        <v>12</v>
      </c>
      <c r="D245">
        <v>25.35</v>
      </c>
      <c r="E245">
        <v>25.21</v>
      </c>
      <c r="F245">
        <v>-0.14000000000000001</v>
      </c>
      <c r="G245">
        <f>ABS(lmsi_v1_v2_comparison[[#This Row],[score_change]])</f>
        <v>0.14000000000000001</v>
      </c>
      <c r="H245" t="str">
        <f>IF(lmsi_v1_v2_comparison[[#This Row],[score_change]]&gt;0, "v2 Higher","v2 Lower")</f>
        <v>v2 Lower</v>
      </c>
    </row>
    <row r="246" spans="1:8" x14ac:dyDescent="0.2">
      <c r="A246" t="s">
        <v>29</v>
      </c>
      <c r="B246" t="s">
        <v>15</v>
      </c>
      <c r="C246" t="s">
        <v>13</v>
      </c>
      <c r="D246">
        <v>26.61</v>
      </c>
      <c r="E246">
        <v>24.24</v>
      </c>
      <c r="F246">
        <v>-2.37</v>
      </c>
      <c r="G246">
        <f>ABS(lmsi_v1_v2_comparison[[#This Row],[score_change]])</f>
        <v>2.37</v>
      </c>
      <c r="H246" t="str">
        <f>IF(lmsi_v1_v2_comparison[[#This Row],[score_change]]&gt;0, "v2 Higher","v2 Lower")</f>
        <v>v2 Lower</v>
      </c>
    </row>
    <row r="247" spans="1:8" x14ac:dyDescent="0.2">
      <c r="A247" t="s">
        <v>29</v>
      </c>
      <c r="B247" t="s">
        <v>15</v>
      </c>
      <c r="C247" t="s">
        <v>14</v>
      </c>
      <c r="D247">
        <v>34.590000000000003</v>
      </c>
      <c r="E247">
        <v>32.68</v>
      </c>
      <c r="F247">
        <v>-1.91</v>
      </c>
      <c r="G247">
        <f>ABS(lmsi_v1_v2_comparison[[#This Row],[score_change]])</f>
        <v>1.91</v>
      </c>
      <c r="H247" t="str">
        <f>IF(lmsi_v1_v2_comparison[[#This Row],[score_change]]&gt;0, "v2 Higher","v2 Lower")</f>
        <v>v2 Lower</v>
      </c>
    </row>
    <row r="248" spans="1:8" x14ac:dyDescent="0.2">
      <c r="A248" t="s">
        <v>29</v>
      </c>
      <c r="B248" t="s">
        <v>16</v>
      </c>
      <c r="C248" t="s">
        <v>9</v>
      </c>
      <c r="D248">
        <v>22.66</v>
      </c>
      <c r="E248">
        <v>20.79</v>
      </c>
      <c r="F248">
        <v>-1.87</v>
      </c>
      <c r="G248">
        <f>ABS(lmsi_v1_v2_comparison[[#This Row],[score_change]])</f>
        <v>1.87</v>
      </c>
      <c r="H248" t="str">
        <f>IF(lmsi_v1_v2_comparison[[#This Row],[score_change]]&gt;0, "v2 Higher","v2 Lower")</f>
        <v>v2 Lower</v>
      </c>
    </row>
    <row r="249" spans="1:8" x14ac:dyDescent="0.2">
      <c r="A249" t="s">
        <v>29</v>
      </c>
      <c r="B249" t="s">
        <v>16</v>
      </c>
      <c r="C249" t="s">
        <v>10</v>
      </c>
      <c r="D249">
        <v>22.77</v>
      </c>
      <c r="E249">
        <v>21.25</v>
      </c>
      <c r="F249">
        <v>-1.52</v>
      </c>
      <c r="G249">
        <f>ABS(lmsi_v1_v2_comparison[[#This Row],[score_change]])</f>
        <v>1.52</v>
      </c>
      <c r="H249" t="str">
        <f>IF(lmsi_v1_v2_comparison[[#This Row],[score_change]]&gt;0, "v2 Higher","v2 Lower")</f>
        <v>v2 Lower</v>
      </c>
    </row>
    <row r="250" spans="1:8" x14ac:dyDescent="0.2">
      <c r="A250" t="s">
        <v>29</v>
      </c>
      <c r="B250" t="s">
        <v>16</v>
      </c>
      <c r="C250" t="s">
        <v>11</v>
      </c>
      <c r="D250">
        <v>15.86</v>
      </c>
      <c r="E250">
        <v>15.7</v>
      </c>
      <c r="F250">
        <v>-0.16</v>
      </c>
      <c r="G250">
        <f>ABS(lmsi_v1_v2_comparison[[#This Row],[score_change]])</f>
        <v>0.16</v>
      </c>
      <c r="H250" t="str">
        <f>IF(lmsi_v1_v2_comparison[[#This Row],[score_change]]&gt;0, "v2 Higher","v2 Lower")</f>
        <v>v2 Lower</v>
      </c>
    </row>
    <row r="251" spans="1:8" x14ac:dyDescent="0.2">
      <c r="A251" t="s">
        <v>29</v>
      </c>
      <c r="B251" t="s">
        <v>16</v>
      </c>
      <c r="C251" t="s">
        <v>12</v>
      </c>
      <c r="D251">
        <v>23.77</v>
      </c>
      <c r="E251">
        <v>23.68</v>
      </c>
      <c r="F251">
        <v>-0.09</v>
      </c>
      <c r="G251">
        <f>ABS(lmsi_v1_v2_comparison[[#This Row],[score_change]])</f>
        <v>0.09</v>
      </c>
      <c r="H251" t="str">
        <f>IF(lmsi_v1_v2_comparison[[#This Row],[score_change]]&gt;0, "v2 Higher","v2 Lower")</f>
        <v>v2 Lower</v>
      </c>
    </row>
    <row r="252" spans="1:8" x14ac:dyDescent="0.2">
      <c r="A252" t="s">
        <v>29</v>
      </c>
      <c r="B252" t="s">
        <v>16</v>
      </c>
      <c r="C252" t="s">
        <v>13</v>
      </c>
      <c r="D252">
        <v>20.94</v>
      </c>
      <c r="E252">
        <v>20.329999999999998</v>
      </c>
      <c r="F252">
        <v>-0.61</v>
      </c>
      <c r="G252">
        <f>ABS(lmsi_v1_v2_comparison[[#This Row],[score_change]])</f>
        <v>0.61</v>
      </c>
      <c r="H252" t="str">
        <f>IF(lmsi_v1_v2_comparison[[#This Row],[score_change]]&gt;0, "v2 Higher","v2 Lower")</f>
        <v>v2 Lower</v>
      </c>
    </row>
    <row r="253" spans="1:8" x14ac:dyDescent="0.2">
      <c r="A253" t="s">
        <v>29</v>
      </c>
      <c r="B253" t="s">
        <v>16</v>
      </c>
      <c r="C253" t="s">
        <v>14</v>
      </c>
      <c r="D253">
        <v>27.04</v>
      </c>
      <c r="E253">
        <v>26.15</v>
      </c>
      <c r="F253">
        <v>-0.89</v>
      </c>
      <c r="G253">
        <f>ABS(lmsi_v1_v2_comparison[[#This Row],[score_change]])</f>
        <v>0.89</v>
      </c>
      <c r="H253" t="str">
        <f>IF(lmsi_v1_v2_comparison[[#This Row],[score_change]]&gt;0, "v2 Higher","v2 Lower")</f>
        <v>v2 Lower</v>
      </c>
    </row>
    <row r="254" spans="1:8" x14ac:dyDescent="0.2">
      <c r="A254" t="s">
        <v>30</v>
      </c>
      <c r="B254" t="s">
        <v>8</v>
      </c>
      <c r="C254" t="s">
        <v>9</v>
      </c>
      <c r="D254">
        <v>19.43</v>
      </c>
      <c r="E254">
        <v>18.12</v>
      </c>
      <c r="F254">
        <v>-1.31</v>
      </c>
      <c r="G254">
        <f>ABS(lmsi_v1_v2_comparison[[#This Row],[score_change]])</f>
        <v>1.31</v>
      </c>
      <c r="H254" t="str">
        <f>IF(lmsi_v1_v2_comparison[[#This Row],[score_change]]&gt;0, "v2 Higher","v2 Lower")</f>
        <v>v2 Lower</v>
      </c>
    </row>
    <row r="255" spans="1:8" x14ac:dyDescent="0.2">
      <c r="A255" t="s">
        <v>30</v>
      </c>
      <c r="B255" t="s">
        <v>8</v>
      </c>
      <c r="C255" t="s">
        <v>10</v>
      </c>
      <c r="D255">
        <v>25.85</v>
      </c>
      <c r="E255">
        <v>24.26</v>
      </c>
      <c r="F255">
        <v>-1.59</v>
      </c>
      <c r="G255">
        <f>ABS(lmsi_v1_v2_comparison[[#This Row],[score_change]])</f>
        <v>1.59</v>
      </c>
      <c r="H255" t="str">
        <f>IF(lmsi_v1_v2_comparison[[#This Row],[score_change]]&gt;0, "v2 Higher","v2 Lower")</f>
        <v>v2 Lower</v>
      </c>
    </row>
    <row r="256" spans="1:8" x14ac:dyDescent="0.2">
      <c r="A256" t="s">
        <v>30</v>
      </c>
      <c r="B256" t="s">
        <v>8</v>
      </c>
      <c r="C256" t="s">
        <v>11</v>
      </c>
      <c r="D256">
        <v>14.18</v>
      </c>
      <c r="E256">
        <v>14.37</v>
      </c>
      <c r="F256">
        <v>0.19</v>
      </c>
      <c r="G256">
        <f>ABS(lmsi_v1_v2_comparison[[#This Row],[score_change]])</f>
        <v>0.19</v>
      </c>
      <c r="H256" t="str">
        <f>IF(lmsi_v1_v2_comparison[[#This Row],[score_change]]&gt;0, "v2 Higher","v2 Lower")</f>
        <v>v2 Higher</v>
      </c>
    </row>
    <row r="257" spans="1:8" x14ac:dyDescent="0.2">
      <c r="A257" t="s">
        <v>30</v>
      </c>
      <c r="B257" t="s">
        <v>8</v>
      </c>
      <c r="C257" t="s">
        <v>12</v>
      </c>
      <c r="D257">
        <v>22.38</v>
      </c>
      <c r="E257">
        <v>22.43</v>
      </c>
      <c r="F257">
        <v>0.05</v>
      </c>
      <c r="G257">
        <f>ABS(lmsi_v1_v2_comparison[[#This Row],[score_change]])</f>
        <v>0.05</v>
      </c>
      <c r="H257" t="str">
        <f>IF(lmsi_v1_v2_comparison[[#This Row],[score_change]]&gt;0, "v2 Higher","v2 Lower")</f>
        <v>v2 Higher</v>
      </c>
    </row>
    <row r="258" spans="1:8" x14ac:dyDescent="0.2">
      <c r="A258" t="s">
        <v>30</v>
      </c>
      <c r="B258" t="s">
        <v>8</v>
      </c>
      <c r="C258" t="s">
        <v>13</v>
      </c>
      <c r="D258">
        <v>19.579999999999998</v>
      </c>
      <c r="E258">
        <v>18.59</v>
      </c>
      <c r="F258">
        <v>-0.99</v>
      </c>
      <c r="G258">
        <f>ABS(lmsi_v1_v2_comparison[[#This Row],[score_change]])</f>
        <v>0.99</v>
      </c>
      <c r="H258" t="str">
        <f>IF(lmsi_v1_v2_comparison[[#This Row],[score_change]]&gt;0, "v2 Higher","v2 Lower")</f>
        <v>v2 Lower</v>
      </c>
    </row>
    <row r="259" spans="1:8" x14ac:dyDescent="0.2">
      <c r="A259" t="s">
        <v>30</v>
      </c>
      <c r="B259" t="s">
        <v>8</v>
      </c>
      <c r="C259" t="s">
        <v>14</v>
      </c>
      <c r="D259">
        <v>21.9</v>
      </c>
      <c r="E259">
        <v>21.35</v>
      </c>
      <c r="F259">
        <v>-0.55000000000000004</v>
      </c>
      <c r="G259">
        <f>ABS(lmsi_v1_v2_comparison[[#This Row],[score_change]])</f>
        <v>0.55000000000000004</v>
      </c>
      <c r="H259" t="str">
        <f>IF(lmsi_v1_v2_comparison[[#This Row],[score_change]]&gt;0, "v2 Higher","v2 Lower")</f>
        <v>v2 Lower</v>
      </c>
    </row>
    <row r="260" spans="1:8" x14ac:dyDescent="0.2">
      <c r="A260" t="s">
        <v>30</v>
      </c>
      <c r="B260" t="s">
        <v>15</v>
      </c>
      <c r="C260" t="s">
        <v>9</v>
      </c>
      <c r="D260">
        <v>23.2</v>
      </c>
      <c r="E260">
        <v>20.69</v>
      </c>
      <c r="F260">
        <v>-2.5099999999999998</v>
      </c>
      <c r="G260">
        <f>ABS(lmsi_v1_v2_comparison[[#This Row],[score_change]])</f>
        <v>2.5099999999999998</v>
      </c>
      <c r="H260" t="str">
        <f>IF(lmsi_v1_v2_comparison[[#This Row],[score_change]]&gt;0, "v2 Higher","v2 Lower")</f>
        <v>v2 Lower</v>
      </c>
    </row>
    <row r="261" spans="1:8" x14ac:dyDescent="0.2">
      <c r="A261" t="s">
        <v>30</v>
      </c>
      <c r="B261" t="s">
        <v>15</v>
      </c>
      <c r="C261" t="s">
        <v>10</v>
      </c>
      <c r="D261">
        <v>28.47</v>
      </c>
      <c r="E261">
        <v>26.46</v>
      </c>
      <c r="F261">
        <v>-2.0099999999999998</v>
      </c>
      <c r="G261">
        <f>ABS(lmsi_v1_v2_comparison[[#This Row],[score_change]])</f>
        <v>2.0099999999999998</v>
      </c>
      <c r="H261" t="str">
        <f>IF(lmsi_v1_v2_comparison[[#This Row],[score_change]]&gt;0, "v2 Higher","v2 Lower")</f>
        <v>v2 Lower</v>
      </c>
    </row>
    <row r="262" spans="1:8" x14ac:dyDescent="0.2">
      <c r="A262" t="s">
        <v>30</v>
      </c>
      <c r="B262" t="s">
        <v>15</v>
      </c>
      <c r="C262" t="s">
        <v>11</v>
      </c>
      <c r="D262">
        <v>16.07</v>
      </c>
      <c r="E262">
        <v>19.18</v>
      </c>
      <c r="F262">
        <v>3.11</v>
      </c>
      <c r="G262">
        <f>ABS(lmsi_v1_v2_comparison[[#This Row],[score_change]])</f>
        <v>3.11</v>
      </c>
      <c r="H262" t="str">
        <f>IF(lmsi_v1_v2_comparison[[#This Row],[score_change]]&gt;0, "v2 Higher","v2 Lower")</f>
        <v>v2 Higher</v>
      </c>
    </row>
    <row r="263" spans="1:8" x14ac:dyDescent="0.2">
      <c r="A263" t="s">
        <v>30</v>
      </c>
      <c r="B263" t="s">
        <v>15</v>
      </c>
      <c r="C263" t="s">
        <v>12</v>
      </c>
      <c r="D263">
        <v>25.82</v>
      </c>
      <c r="E263">
        <v>25.38</v>
      </c>
      <c r="F263">
        <v>-0.44</v>
      </c>
      <c r="G263">
        <f>ABS(lmsi_v1_v2_comparison[[#This Row],[score_change]])</f>
        <v>0.44</v>
      </c>
      <c r="H263" t="str">
        <f>IF(lmsi_v1_v2_comparison[[#This Row],[score_change]]&gt;0, "v2 Higher","v2 Lower")</f>
        <v>v2 Lower</v>
      </c>
    </row>
    <row r="264" spans="1:8" x14ac:dyDescent="0.2">
      <c r="A264" t="s">
        <v>30</v>
      </c>
      <c r="B264" t="s">
        <v>15</v>
      </c>
      <c r="C264" t="s">
        <v>13</v>
      </c>
      <c r="D264">
        <v>24.43</v>
      </c>
      <c r="E264">
        <v>22.87</v>
      </c>
      <c r="F264">
        <v>-1.56</v>
      </c>
      <c r="G264">
        <f>ABS(lmsi_v1_v2_comparison[[#This Row],[score_change]])</f>
        <v>1.56</v>
      </c>
      <c r="H264" t="str">
        <f>IF(lmsi_v1_v2_comparison[[#This Row],[score_change]]&gt;0, "v2 Higher","v2 Lower")</f>
        <v>v2 Lower</v>
      </c>
    </row>
    <row r="265" spans="1:8" x14ac:dyDescent="0.2">
      <c r="A265" t="s">
        <v>30</v>
      </c>
      <c r="B265" t="s">
        <v>15</v>
      </c>
      <c r="C265" t="s">
        <v>14</v>
      </c>
      <c r="D265">
        <v>28.2</v>
      </c>
      <c r="E265">
        <v>26.89</v>
      </c>
      <c r="F265">
        <v>-1.31</v>
      </c>
      <c r="G265">
        <f>ABS(lmsi_v1_v2_comparison[[#This Row],[score_change]])</f>
        <v>1.31</v>
      </c>
      <c r="H265" t="str">
        <f>IF(lmsi_v1_v2_comparison[[#This Row],[score_change]]&gt;0, "v2 Higher","v2 Lower")</f>
        <v>v2 Lower</v>
      </c>
    </row>
    <row r="266" spans="1:8" x14ac:dyDescent="0.2">
      <c r="A266" t="s">
        <v>30</v>
      </c>
      <c r="B266" t="s">
        <v>16</v>
      </c>
      <c r="C266" t="s">
        <v>9</v>
      </c>
      <c r="D266">
        <v>22.11</v>
      </c>
      <c r="E266">
        <v>20.79</v>
      </c>
      <c r="F266">
        <v>-1.32</v>
      </c>
      <c r="G266">
        <f>ABS(lmsi_v1_v2_comparison[[#This Row],[score_change]])</f>
        <v>1.32</v>
      </c>
      <c r="H266" t="str">
        <f>IF(lmsi_v1_v2_comparison[[#This Row],[score_change]]&gt;0, "v2 Higher","v2 Lower")</f>
        <v>v2 Lower</v>
      </c>
    </row>
    <row r="267" spans="1:8" x14ac:dyDescent="0.2">
      <c r="A267" t="s">
        <v>30</v>
      </c>
      <c r="B267" t="s">
        <v>16</v>
      </c>
      <c r="C267" t="s">
        <v>10</v>
      </c>
      <c r="D267">
        <v>27.64</v>
      </c>
      <c r="E267">
        <v>24.72</v>
      </c>
      <c r="F267">
        <v>-2.92</v>
      </c>
      <c r="G267">
        <f>ABS(lmsi_v1_v2_comparison[[#This Row],[score_change]])</f>
        <v>2.92</v>
      </c>
      <c r="H267" t="str">
        <f>IF(lmsi_v1_v2_comparison[[#This Row],[score_change]]&gt;0, "v2 Higher","v2 Lower")</f>
        <v>v2 Lower</v>
      </c>
    </row>
    <row r="268" spans="1:8" x14ac:dyDescent="0.2">
      <c r="A268" t="s">
        <v>30</v>
      </c>
      <c r="B268" t="s">
        <v>16</v>
      </c>
      <c r="C268" t="s">
        <v>11</v>
      </c>
      <c r="D268">
        <v>14.82</v>
      </c>
      <c r="E268">
        <v>15.25</v>
      </c>
      <c r="F268">
        <v>0.43</v>
      </c>
      <c r="G268">
        <f>ABS(lmsi_v1_v2_comparison[[#This Row],[score_change]])</f>
        <v>0.43</v>
      </c>
      <c r="H268" t="str">
        <f>IF(lmsi_v1_v2_comparison[[#This Row],[score_change]]&gt;0, "v2 Higher","v2 Lower")</f>
        <v>v2 Higher</v>
      </c>
    </row>
    <row r="269" spans="1:8" x14ac:dyDescent="0.2">
      <c r="A269" t="s">
        <v>30</v>
      </c>
      <c r="B269" t="s">
        <v>16</v>
      </c>
      <c r="C269" t="s">
        <v>12</v>
      </c>
      <c r="D269">
        <v>23.63</v>
      </c>
      <c r="E269">
        <v>23.56</v>
      </c>
      <c r="F269">
        <v>-7.0000000000000007E-2</v>
      </c>
      <c r="G269">
        <f>ABS(lmsi_v1_v2_comparison[[#This Row],[score_change]])</f>
        <v>7.0000000000000007E-2</v>
      </c>
      <c r="H269" t="str">
        <f>IF(lmsi_v1_v2_comparison[[#This Row],[score_change]]&gt;0, "v2 Higher","v2 Lower")</f>
        <v>v2 Lower</v>
      </c>
    </row>
    <row r="270" spans="1:8" x14ac:dyDescent="0.2">
      <c r="A270" t="s">
        <v>30</v>
      </c>
      <c r="B270" t="s">
        <v>16</v>
      </c>
      <c r="C270" t="s">
        <v>13</v>
      </c>
      <c r="D270">
        <v>19.53</v>
      </c>
      <c r="E270">
        <v>18.54</v>
      </c>
      <c r="F270">
        <v>-0.99</v>
      </c>
      <c r="G270">
        <f>ABS(lmsi_v1_v2_comparison[[#This Row],[score_change]])</f>
        <v>0.99</v>
      </c>
      <c r="H270" t="str">
        <f>IF(lmsi_v1_v2_comparison[[#This Row],[score_change]]&gt;0, "v2 Higher","v2 Lower")</f>
        <v>v2 Lower</v>
      </c>
    </row>
    <row r="271" spans="1:8" x14ac:dyDescent="0.2">
      <c r="A271" t="s">
        <v>30</v>
      </c>
      <c r="B271" t="s">
        <v>16</v>
      </c>
      <c r="C271" t="s">
        <v>14</v>
      </c>
      <c r="D271">
        <v>24</v>
      </c>
      <c r="E271">
        <v>23.35</v>
      </c>
      <c r="F271">
        <v>-0.65</v>
      </c>
      <c r="G271">
        <f>ABS(lmsi_v1_v2_comparison[[#This Row],[score_change]])</f>
        <v>0.65</v>
      </c>
      <c r="H271" t="str">
        <f>IF(lmsi_v1_v2_comparison[[#This Row],[score_change]]&gt;0, "v2 Higher","v2 Lower")</f>
        <v>v2 Lower</v>
      </c>
    </row>
    <row r="272" spans="1:8" x14ac:dyDescent="0.2">
      <c r="A272" t="s">
        <v>31</v>
      </c>
      <c r="B272" t="s">
        <v>8</v>
      </c>
      <c r="C272" t="s">
        <v>9</v>
      </c>
      <c r="D272">
        <v>19.32</v>
      </c>
      <c r="E272">
        <v>17.89</v>
      </c>
      <c r="F272">
        <v>-1.43</v>
      </c>
      <c r="G272">
        <f>ABS(lmsi_v1_v2_comparison[[#This Row],[score_change]])</f>
        <v>1.43</v>
      </c>
      <c r="H272" t="str">
        <f>IF(lmsi_v1_v2_comparison[[#This Row],[score_change]]&gt;0, "v2 Higher","v2 Lower")</f>
        <v>v2 Lower</v>
      </c>
    </row>
    <row r="273" spans="1:8" x14ac:dyDescent="0.2">
      <c r="A273" t="s">
        <v>31</v>
      </c>
      <c r="B273" t="s">
        <v>8</v>
      </c>
      <c r="C273" t="s">
        <v>10</v>
      </c>
      <c r="D273">
        <v>23.72</v>
      </c>
      <c r="E273">
        <v>23.82</v>
      </c>
      <c r="F273">
        <v>0.1</v>
      </c>
      <c r="G273">
        <f>ABS(lmsi_v1_v2_comparison[[#This Row],[score_change]])</f>
        <v>0.1</v>
      </c>
      <c r="H273" t="str">
        <f>IF(lmsi_v1_v2_comparison[[#This Row],[score_change]]&gt;0, "v2 Higher","v2 Lower")</f>
        <v>v2 Higher</v>
      </c>
    </row>
    <row r="274" spans="1:8" x14ac:dyDescent="0.2">
      <c r="A274" t="s">
        <v>31</v>
      </c>
      <c r="B274" t="s">
        <v>8</v>
      </c>
      <c r="C274" t="s">
        <v>11</v>
      </c>
      <c r="D274">
        <v>13.8</v>
      </c>
      <c r="E274">
        <v>14.35</v>
      </c>
      <c r="F274">
        <v>0.55000000000000004</v>
      </c>
      <c r="G274">
        <f>ABS(lmsi_v1_v2_comparison[[#This Row],[score_change]])</f>
        <v>0.55000000000000004</v>
      </c>
      <c r="H274" t="str">
        <f>IF(lmsi_v1_v2_comparison[[#This Row],[score_change]]&gt;0, "v2 Higher","v2 Lower")</f>
        <v>v2 Higher</v>
      </c>
    </row>
    <row r="275" spans="1:8" x14ac:dyDescent="0.2">
      <c r="A275" t="s">
        <v>31</v>
      </c>
      <c r="B275" t="s">
        <v>8</v>
      </c>
      <c r="C275" t="s">
        <v>12</v>
      </c>
      <c r="D275">
        <v>18.29</v>
      </c>
      <c r="E275">
        <v>18.989999999999998</v>
      </c>
      <c r="F275">
        <v>0.7</v>
      </c>
      <c r="G275">
        <f>ABS(lmsi_v1_v2_comparison[[#This Row],[score_change]])</f>
        <v>0.7</v>
      </c>
      <c r="H275" t="str">
        <f>IF(lmsi_v1_v2_comparison[[#This Row],[score_change]]&gt;0, "v2 Higher","v2 Lower")</f>
        <v>v2 Higher</v>
      </c>
    </row>
    <row r="276" spans="1:8" x14ac:dyDescent="0.2">
      <c r="A276" t="s">
        <v>31</v>
      </c>
      <c r="B276" t="s">
        <v>8</v>
      </c>
      <c r="C276" t="s">
        <v>13</v>
      </c>
      <c r="D276">
        <v>20.5</v>
      </c>
      <c r="E276">
        <v>19.84</v>
      </c>
      <c r="F276">
        <v>-0.66</v>
      </c>
      <c r="G276">
        <f>ABS(lmsi_v1_v2_comparison[[#This Row],[score_change]])</f>
        <v>0.66</v>
      </c>
      <c r="H276" t="str">
        <f>IF(lmsi_v1_v2_comparison[[#This Row],[score_change]]&gt;0, "v2 Higher","v2 Lower")</f>
        <v>v2 Lower</v>
      </c>
    </row>
    <row r="277" spans="1:8" x14ac:dyDescent="0.2">
      <c r="A277" t="s">
        <v>31</v>
      </c>
      <c r="B277" t="s">
        <v>8</v>
      </c>
      <c r="C277" t="s">
        <v>14</v>
      </c>
      <c r="D277">
        <v>17.39</v>
      </c>
      <c r="E277">
        <v>17.8</v>
      </c>
      <c r="F277">
        <v>0.41</v>
      </c>
      <c r="G277">
        <f>ABS(lmsi_v1_v2_comparison[[#This Row],[score_change]])</f>
        <v>0.41</v>
      </c>
      <c r="H277" t="str">
        <f>IF(lmsi_v1_v2_comparison[[#This Row],[score_change]]&gt;0, "v2 Higher","v2 Lower")</f>
        <v>v2 Higher</v>
      </c>
    </row>
    <row r="278" spans="1:8" x14ac:dyDescent="0.2">
      <c r="A278" t="s">
        <v>31</v>
      </c>
      <c r="B278" t="s">
        <v>15</v>
      </c>
      <c r="C278" t="s">
        <v>9</v>
      </c>
      <c r="D278">
        <v>24.72</v>
      </c>
      <c r="E278">
        <v>22.1</v>
      </c>
      <c r="F278">
        <v>-2.62</v>
      </c>
      <c r="G278">
        <f>ABS(lmsi_v1_v2_comparison[[#This Row],[score_change]])</f>
        <v>2.62</v>
      </c>
      <c r="H278" t="str">
        <f>IF(lmsi_v1_v2_comparison[[#This Row],[score_change]]&gt;0, "v2 Higher","v2 Lower")</f>
        <v>v2 Lower</v>
      </c>
    </row>
    <row r="279" spans="1:8" x14ac:dyDescent="0.2">
      <c r="A279" t="s">
        <v>31</v>
      </c>
      <c r="B279" t="s">
        <v>15</v>
      </c>
      <c r="C279" t="s">
        <v>10</v>
      </c>
      <c r="D279">
        <v>25.64</v>
      </c>
      <c r="E279">
        <v>23.88</v>
      </c>
      <c r="F279">
        <v>-1.76</v>
      </c>
      <c r="G279">
        <f>ABS(lmsi_v1_v2_comparison[[#This Row],[score_change]])</f>
        <v>1.76</v>
      </c>
      <c r="H279" t="str">
        <f>IF(lmsi_v1_v2_comparison[[#This Row],[score_change]]&gt;0, "v2 Higher","v2 Lower")</f>
        <v>v2 Lower</v>
      </c>
    </row>
    <row r="280" spans="1:8" x14ac:dyDescent="0.2">
      <c r="A280" t="s">
        <v>31</v>
      </c>
      <c r="B280" t="s">
        <v>15</v>
      </c>
      <c r="C280" t="s">
        <v>11</v>
      </c>
      <c r="D280">
        <v>15.79</v>
      </c>
      <c r="E280">
        <v>16.440000000000001</v>
      </c>
      <c r="F280">
        <v>0.65</v>
      </c>
      <c r="G280">
        <f>ABS(lmsi_v1_v2_comparison[[#This Row],[score_change]])</f>
        <v>0.65</v>
      </c>
      <c r="H280" t="str">
        <f>IF(lmsi_v1_v2_comparison[[#This Row],[score_change]]&gt;0, "v2 Higher","v2 Lower")</f>
        <v>v2 Higher</v>
      </c>
    </row>
    <row r="281" spans="1:8" x14ac:dyDescent="0.2">
      <c r="A281" t="s">
        <v>31</v>
      </c>
      <c r="B281" t="s">
        <v>15</v>
      </c>
      <c r="C281" t="s">
        <v>12</v>
      </c>
      <c r="D281">
        <v>22.02</v>
      </c>
      <c r="E281">
        <v>23.73</v>
      </c>
      <c r="F281">
        <v>1.71</v>
      </c>
      <c r="G281">
        <f>ABS(lmsi_v1_v2_comparison[[#This Row],[score_change]])</f>
        <v>1.71</v>
      </c>
      <c r="H281" t="str">
        <f>IF(lmsi_v1_v2_comparison[[#This Row],[score_change]]&gt;0, "v2 Higher","v2 Lower")</f>
        <v>v2 Higher</v>
      </c>
    </row>
    <row r="282" spans="1:8" x14ac:dyDescent="0.2">
      <c r="A282" t="s">
        <v>31</v>
      </c>
      <c r="B282" t="s">
        <v>15</v>
      </c>
      <c r="C282" t="s">
        <v>13</v>
      </c>
      <c r="D282">
        <v>23.68</v>
      </c>
      <c r="E282">
        <v>22.78</v>
      </c>
      <c r="F282">
        <v>-0.9</v>
      </c>
      <c r="G282">
        <f>ABS(lmsi_v1_v2_comparison[[#This Row],[score_change]])</f>
        <v>0.9</v>
      </c>
      <c r="H282" t="str">
        <f>IF(lmsi_v1_v2_comparison[[#This Row],[score_change]]&gt;0, "v2 Higher","v2 Lower")</f>
        <v>v2 Lower</v>
      </c>
    </row>
    <row r="283" spans="1:8" x14ac:dyDescent="0.2">
      <c r="A283" t="s">
        <v>31</v>
      </c>
      <c r="B283" t="s">
        <v>15</v>
      </c>
      <c r="C283" t="s">
        <v>14</v>
      </c>
      <c r="D283">
        <v>24.68</v>
      </c>
      <c r="E283">
        <v>29.38</v>
      </c>
      <c r="F283">
        <v>4.7</v>
      </c>
      <c r="G283">
        <f>ABS(lmsi_v1_v2_comparison[[#This Row],[score_change]])</f>
        <v>4.7</v>
      </c>
      <c r="H283" t="str">
        <f>IF(lmsi_v1_v2_comparison[[#This Row],[score_change]]&gt;0, "v2 Higher","v2 Lower")</f>
        <v>v2 Higher</v>
      </c>
    </row>
    <row r="284" spans="1:8" x14ac:dyDescent="0.2">
      <c r="A284" t="s">
        <v>31</v>
      </c>
      <c r="B284" t="s">
        <v>16</v>
      </c>
      <c r="C284" t="s">
        <v>9</v>
      </c>
      <c r="D284">
        <v>21.27</v>
      </c>
      <c r="E284">
        <v>20.37</v>
      </c>
      <c r="F284">
        <v>-0.9</v>
      </c>
      <c r="G284">
        <f>ABS(lmsi_v1_v2_comparison[[#This Row],[score_change]])</f>
        <v>0.9</v>
      </c>
      <c r="H284" t="str">
        <f>IF(lmsi_v1_v2_comparison[[#This Row],[score_change]]&gt;0, "v2 Higher","v2 Lower")</f>
        <v>v2 Lower</v>
      </c>
    </row>
    <row r="285" spans="1:8" x14ac:dyDescent="0.2">
      <c r="A285" t="s">
        <v>31</v>
      </c>
      <c r="B285" t="s">
        <v>16</v>
      </c>
      <c r="C285" t="s">
        <v>10</v>
      </c>
      <c r="D285">
        <v>25.01</v>
      </c>
      <c r="E285">
        <v>22.93</v>
      </c>
      <c r="F285">
        <v>-2.08</v>
      </c>
      <c r="G285">
        <f>ABS(lmsi_v1_v2_comparison[[#This Row],[score_change]])</f>
        <v>2.08</v>
      </c>
      <c r="H285" t="str">
        <f>IF(lmsi_v1_v2_comparison[[#This Row],[score_change]]&gt;0, "v2 Higher","v2 Lower")</f>
        <v>v2 Lower</v>
      </c>
    </row>
    <row r="286" spans="1:8" x14ac:dyDescent="0.2">
      <c r="A286" t="s">
        <v>31</v>
      </c>
      <c r="B286" t="s">
        <v>16</v>
      </c>
      <c r="C286" t="s">
        <v>11</v>
      </c>
      <c r="D286">
        <v>14.55</v>
      </c>
      <c r="E286">
        <v>15.8</v>
      </c>
      <c r="F286">
        <v>1.25</v>
      </c>
      <c r="G286">
        <f>ABS(lmsi_v1_v2_comparison[[#This Row],[score_change]])</f>
        <v>1.25</v>
      </c>
      <c r="H286" t="str">
        <f>IF(lmsi_v1_v2_comparison[[#This Row],[score_change]]&gt;0, "v2 Higher","v2 Lower")</f>
        <v>v2 Higher</v>
      </c>
    </row>
    <row r="287" spans="1:8" x14ac:dyDescent="0.2">
      <c r="A287" t="s">
        <v>31</v>
      </c>
      <c r="B287" t="s">
        <v>16</v>
      </c>
      <c r="C287" t="s">
        <v>12</v>
      </c>
      <c r="D287">
        <v>19.8</v>
      </c>
      <c r="E287">
        <v>20.51</v>
      </c>
      <c r="F287">
        <v>0.71</v>
      </c>
      <c r="G287">
        <f>ABS(lmsi_v1_v2_comparison[[#This Row],[score_change]])</f>
        <v>0.71</v>
      </c>
      <c r="H287" t="str">
        <f>IF(lmsi_v1_v2_comparison[[#This Row],[score_change]]&gt;0, "v2 Higher","v2 Lower")</f>
        <v>v2 Higher</v>
      </c>
    </row>
    <row r="288" spans="1:8" x14ac:dyDescent="0.2">
      <c r="A288" t="s">
        <v>31</v>
      </c>
      <c r="B288" t="s">
        <v>16</v>
      </c>
      <c r="C288" t="s">
        <v>13</v>
      </c>
      <c r="D288">
        <v>20.059999999999999</v>
      </c>
      <c r="E288">
        <v>19.07</v>
      </c>
      <c r="F288">
        <v>-0.99</v>
      </c>
      <c r="G288">
        <f>ABS(lmsi_v1_v2_comparison[[#This Row],[score_change]])</f>
        <v>0.99</v>
      </c>
      <c r="H288" t="str">
        <f>IF(lmsi_v1_v2_comparison[[#This Row],[score_change]]&gt;0, "v2 Higher","v2 Lower")</f>
        <v>v2 Lower</v>
      </c>
    </row>
    <row r="289" spans="1:8" x14ac:dyDescent="0.2">
      <c r="A289" t="s">
        <v>31</v>
      </c>
      <c r="B289" t="s">
        <v>16</v>
      </c>
      <c r="C289" t="s">
        <v>14</v>
      </c>
      <c r="D289">
        <v>18.11</v>
      </c>
      <c r="E289">
        <v>19.829999999999998</v>
      </c>
      <c r="F289">
        <v>1.72</v>
      </c>
      <c r="G289">
        <f>ABS(lmsi_v1_v2_comparison[[#This Row],[score_change]])</f>
        <v>1.72</v>
      </c>
      <c r="H289" t="str">
        <f>IF(lmsi_v1_v2_comparison[[#This Row],[score_change]]&gt;0, "v2 Higher","v2 Lower")</f>
        <v>v2 Higher</v>
      </c>
    </row>
    <row r="290" spans="1:8" x14ac:dyDescent="0.2">
      <c r="A290" t="s">
        <v>32</v>
      </c>
      <c r="B290" t="s">
        <v>8</v>
      </c>
      <c r="C290" t="s">
        <v>9</v>
      </c>
      <c r="D290">
        <v>24.33</v>
      </c>
      <c r="E290">
        <v>22.08</v>
      </c>
      <c r="F290">
        <v>-2.25</v>
      </c>
      <c r="G290">
        <f>ABS(lmsi_v1_v2_comparison[[#This Row],[score_change]])</f>
        <v>2.25</v>
      </c>
      <c r="H290" t="str">
        <f>IF(lmsi_v1_v2_comparison[[#This Row],[score_change]]&gt;0, "v2 Higher","v2 Lower")</f>
        <v>v2 Lower</v>
      </c>
    </row>
    <row r="291" spans="1:8" x14ac:dyDescent="0.2">
      <c r="A291" t="s">
        <v>32</v>
      </c>
      <c r="B291" t="s">
        <v>8</v>
      </c>
      <c r="C291" t="s">
        <v>10</v>
      </c>
      <c r="D291">
        <v>19.54</v>
      </c>
      <c r="E291">
        <v>18.96</v>
      </c>
      <c r="F291">
        <v>-0.57999999999999996</v>
      </c>
      <c r="G291">
        <f>ABS(lmsi_v1_v2_comparison[[#This Row],[score_change]])</f>
        <v>0.57999999999999996</v>
      </c>
      <c r="H291" t="str">
        <f>IF(lmsi_v1_v2_comparison[[#This Row],[score_change]]&gt;0, "v2 Higher","v2 Lower")</f>
        <v>v2 Lower</v>
      </c>
    </row>
    <row r="292" spans="1:8" x14ac:dyDescent="0.2">
      <c r="A292" t="s">
        <v>32</v>
      </c>
      <c r="B292" t="s">
        <v>8</v>
      </c>
      <c r="C292" t="s">
        <v>11</v>
      </c>
      <c r="D292">
        <v>15.68</v>
      </c>
      <c r="E292">
        <v>16.059999999999999</v>
      </c>
      <c r="F292">
        <v>0.38</v>
      </c>
      <c r="G292">
        <f>ABS(lmsi_v1_v2_comparison[[#This Row],[score_change]])</f>
        <v>0.38</v>
      </c>
      <c r="H292" t="str">
        <f>IF(lmsi_v1_v2_comparison[[#This Row],[score_change]]&gt;0, "v2 Higher","v2 Lower")</f>
        <v>v2 Higher</v>
      </c>
    </row>
    <row r="293" spans="1:8" x14ac:dyDescent="0.2">
      <c r="A293" t="s">
        <v>32</v>
      </c>
      <c r="B293" t="s">
        <v>8</v>
      </c>
      <c r="C293" t="s">
        <v>12</v>
      </c>
      <c r="D293">
        <v>17.739999999999998</v>
      </c>
      <c r="E293">
        <v>19.66</v>
      </c>
      <c r="F293">
        <v>1.92</v>
      </c>
      <c r="G293">
        <f>ABS(lmsi_v1_v2_comparison[[#This Row],[score_change]])</f>
        <v>1.92</v>
      </c>
      <c r="H293" t="str">
        <f>IF(lmsi_v1_v2_comparison[[#This Row],[score_change]]&gt;0, "v2 Higher","v2 Lower")</f>
        <v>v2 Higher</v>
      </c>
    </row>
    <row r="294" spans="1:8" x14ac:dyDescent="0.2">
      <c r="A294" t="s">
        <v>32</v>
      </c>
      <c r="B294" t="s">
        <v>8</v>
      </c>
      <c r="C294" t="s">
        <v>13</v>
      </c>
      <c r="D294">
        <v>17.16</v>
      </c>
      <c r="E294">
        <v>16.649999999999999</v>
      </c>
      <c r="F294">
        <v>-0.51</v>
      </c>
      <c r="G294">
        <f>ABS(lmsi_v1_v2_comparison[[#This Row],[score_change]])</f>
        <v>0.51</v>
      </c>
      <c r="H294" t="str">
        <f>IF(lmsi_v1_v2_comparison[[#This Row],[score_change]]&gt;0, "v2 Higher","v2 Lower")</f>
        <v>v2 Lower</v>
      </c>
    </row>
    <row r="295" spans="1:8" x14ac:dyDescent="0.2">
      <c r="A295" t="s">
        <v>32</v>
      </c>
      <c r="B295" t="s">
        <v>8</v>
      </c>
      <c r="C295" t="s">
        <v>14</v>
      </c>
      <c r="D295">
        <v>14.24</v>
      </c>
      <c r="E295">
        <v>15.37</v>
      </c>
      <c r="F295">
        <v>1.1299999999999999</v>
      </c>
      <c r="G295">
        <f>ABS(lmsi_v1_v2_comparison[[#This Row],[score_change]])</f>
        <v>1.1299999999999999</v>
      </c>
      <c r="H295" t="str">
        <f>IF(lmsi_v1_v2_comparison[[#This Row],[score_change]]&gt;0, "v2 Higher","v2 Lower")</f>
        <v>v2 Higher</v>
      </c>
    </row>
    <row r="296" spans="1:8" x14ac:dyDescent="0.2">
      <c r="A296" t="s">
        <v>32</v>
      </c>
      <c r="B296" t="s">
        <v>15</v>
      </c>
      <c r="C296" t="s">
        <v>9</v>
      </c>
      <c r="D296">
        <v>33.31</v>
      </c>
      <c r="E296">
        <v>29.25</v>
      </c>
      <c r="F296">
        <v>-4.0599999999999996</v>
      </c>
      <c r="G296">
        <f>ABS(lmsi_v1_v2_comparison[[#This Row],[score_change]])</f>
        <v>4.0599999999999996</v>
      </c>
      <c r="H296" t="str">
        <f>IF(lmsi_v1_v2_comparison[[#This Row],[score_change]]&gt;0, "v2 Higher","v2 Lower")</f>
        <v>v2 Lower</v>
      </c>
    </row>
    <row r="297" spans="1:8" x14ac:dyDescent="0.2">
      <c r="A297" t="s">
        <v>32</v>
      </c>
      <c r="B297" t="s">
        <v>15</v>
      </c>
      <c r="C297" t="s">
        <v>10</v>
      </c>
      <c r="D297">
        <v>20.74</v>
      </c>
      <c r="E297">
        <v>19.850000000000001</v>
      </c>
      <c r="F297">
        <v>-0.89</v>
      </c>
      <c r="G297">
        <f>ABS(lmsi_v1_v2_comparison[[#This Row],[score_change]])</f>
        <v>0.89</v>
      </c>
      <c r="H297" t="str">
        <f>IF(lmsi_v1_v2_comparison[[#This Row],[score_change]]&gt;0, "v2 Higher","v2 Lower")</f>
        <v>v2 Lower</v>
      </c>
    </row>
    <row r="298" spans="1:8" x14ac:dyDescent="0.2">
      <c r="A298" t="s">
        <v>32</v>
      </c>
      <c r="B298" t="s">
        <v>15</v>
      </c>
      <c r="C298" t="s">
        <v>11</v>
      </c>
      <c r="D298">
        <v>16.98</v>
      </c>
      <c r="E298">
        <v>18.16</v>
      </c>
      <c r="F298">
        <v>1.18</v>
      </c>
      <c r="G298">
        <f>ABS(lmsi_v1_v2_comparison[[#This Row],[score_change]])</f>
        <v>1.18</v>
      </c>
      <c r="H298" t="str">
        <f>IF(lmsi_v1_v2_comparison[[#This Row],[score_change]]&gt;0, "v2 Higher","v2 Lower")</f>
        <v>v2 Higher</v>
      </c>
    </row>
    <row r="299" spans="1:8" x14ac:dyDescent="0.2">
      <c r="A299" t="s">
        <v>32</v>
      </c>
      <c r="B299" t="s">
        <v>15</v>
      </c>
      <c r="C299" t="s">
        <v>12</v>
      </c>
      <c r="D299">
        <v>20.69</v>
      </c>
      <c r="E299">
        <v>21.08</v>
      </c>
      <c r="F299">
        <v>0.39</v>
      </c>
      <c r="G299">
        <f>ABS(lmsi_v1_v2_comparison[[#This Row],[score_change]])</f>
        <v>0.39</v>
      </c>
      <c r="H299" t="str">
        <f>IF(lmsi_v1_v2_comparison[[#This Row],[score_change]]&gt;0, "v2 Higher","v2 Lower")</f>
        <v>v2 Higher</v>
      </c>
    </row>
    <row r="300" spans="1:8" x14ac:dyDescent="0.2">
      <c r="A300" t="s">
        <v>32</v>
      </c>
      <c r="B300" t="s">
        <v>15</v>
      </c>
      <c r="C300" t="s">
        <v>13</v>
      </c>
      <c r="D300">
        <v>18.690000000000001</v>
      </c>
      <c r="E300">
        <v>18.32</v>
      </c>
      <c r="F300">
        <v>-0.37</v>
      </c>
      <c r="G300">
        <f>ABS(lmsi_v1_v2_comparison[[#This Row],[score_change]])</f>
        <v>0.37</v>
      </c>
      <c r="H300" t="str">
        <f>IF(lmsi_v1_v2_comparison[[#This Row],[score_change]]&gt;0, "v2 Higher","v2 Lower")</f>
        <v>v2 Lower</v>
      </c>
    </row>
    <row r="301" spans="1:8" x14ac:dyDescent="0.2">
      <c r="A301" t="s">
        <v>32</v>
      </c>
      <c r="B301" t="s">
        <v>15</v>
      </c>
      <c r="C301" t="s">
        <v>14</v>
      </c>
      <c r="D301">
        <v>22.51</v>
      </c>
      <c r="E301">
        <v>29.32</v>
      </c>
      <c r="F301">
        <v>6.81</v>
      </c>
      <c r="G301">
        <f>ABS(lmsi_v1_v2_comparison[[#This Row],[score_change]])</f>
        <v>6.81</v>
      </c>
      <c r="H301" t="str">
        <f>IF(lmsi_v1_v2_comparison[[#This Row],[score_change]]&gt;0, "v2 Higher","v2 Lower")</f>
        <v>v2 Higher</v>
      </c>
    </row>
    <row r="302" spans="1:8" x14ac:dyDescent="0.2">
      <c r="A302" t="s">
        <v>32</v>
      </c>
      <c r="B302" t="s">
        <v>16</v>
      </c>
      <c r="C302" t="s">
        <v>9</v>
      </c>
      <c r="D302">
        <v>28.09</v>
      </c>
      <c r="E302">
        <v>25.14</v>
      </c>
      <c r="F302">
        <v>-2.95</v>
      </c>
      <c r="G302">
        <f>ABS(lmsi_v1_v2_comparison[[#This Row],[score_change]])</f>
        <v>2.95</v>
      </c>
      <c r="H302" t="str">
        <f>IF(lmsi_v1_v2_comparison[[#This Row],[score_change]]&gt;0, "v2 Higher","v2 Lower")</f>
        <v>v2 Lower</v>
      </c>
    </row>
    <row r="303" spans="1:8" x14ac:dyDescent="0.2">
      <c r="A303" t="s">
        <v>32</v>
      </c>
      <c r="B303" t="s">
        <v>16</v>
      </c>
      <c r="C303" t="s">
        <v>10</v>
      </c>
      <c r="D303">
        <v>20.329999999999998</v>
      </c>
      <c r="E303">
        <v>19.46</v>
      </c>
      <c r="F303">
        <v>-0.87</v>
      </c>
      <c r="G303">
        <f>ABS(lmsi_v1_v2_comparison[[#This Row],[score_change]])</f>
        <v>0.87</v>
      </c>
      <c r="H303" t="str">
        <f>IF(lmsi_v1_v2_comparison[[#This Row],[score_change]]&gt;0, "v2 Higher","v2 Lower")</f>
        <v>v2 Lower</v>
      </c>
    </row>
    <row r="304" spans="1:8" x14ac:dyDescent="0.2">
      <c r="A304" t="s">
        <v>32</v>
      </c>
      <c r="B304" t="s">
        <v>16</v>
      </c>
      <c r="C304" t="s">
        <v>11</v>
      </c>
      <c r="D304">
        <v>16.07</v>
      </c>
      <c r="E304">
        <v>16.350000000000001</v>
      </c>
      <c r="F304">
        <v>0.28000000000000003</v>
      </c>
      <c r="G304">
        <f>ABS(lmsi_v1_v2_comparison[[#This Row],[score_change]])</f>
        <v>0.28000000000000003</v>
      </c>
      <c r="H304" t="str">
        <f>IF(lmsi_v1_v2_comparison[[#This Row],[score_change]]&gt;0, "v2 Higher","v2 Lower")</f>
        <v>v2 Higher</v>
      </c>
    </row>
    <row r="305" spans="1:8" x14ac:dyDescent="0.2">
      <c r="A305" t="s">
        <v>32</v>
      </c>
      <c r="B305" t="s">
        <v>16</v>
      </c>
      <c r="C305" t="s">
        <v>12</v>
      </c>
      <c r="D305">
        <v>18.920000000000002</v>
      </c>
      <c r="E305">
        <v>19.68</v>
      </c>
      <c r="F305">
        <v>0.76</v>
      </c>
      <c r="G305">
        <f>ABS(lmsi_v1_v2_comparison[[#This Row],[score_change]])</f>
        <v>0.76</v>
      </c>
      <c r="H305" t="str">
        <f>IF(lmsi_v1_v2_comparison[[#This Row],[score_change]]&gt;0, "v2 Higher","v2 Lower")</f>
        <v>v2 Higher</v>
      </c>
    </row>
    <row r="306" spans="1:8" x14ac:dyDescent="0.2">
      <c r="A306" t="s">
        <v>32</v>
      </c>
      <c r="B306" t="s">
        <v>16</v>
      </c>
      <c r="C306" t="s">
        <v>13</v>
      </c>
      <c r="D306">
        <v>17.13</v>
      </c>
      <c r="E306">
        <v>16.739999999999998</v>
      </c>
      <c r="F306">
        <v>-0.39</v>
      </c>
      <c r="G306">
        <f>ABS(lmsi_v1_v2_comparison[[#This Row],[score_change]])</f>
        <v>0.39</v>
      </c>
      <c r="H306" t="str">
        <f>IF(lmsi_v1_v2_comparison[[#This Row],[score_change]]&gt;0, "v2 Higher","v2 Lower")</f>
        <v>v2 Lower</v>
      </c>
    </row>
    <row r="307" spans="1:8" x14ac:dyDescent="0.2">
      <c r="A307" t="s">
        <v>32</v>
      </c>
      <c r="B307" t="s">
        <v>16</v>
      </c>
      <c r="C307" t="s">
        <v>14</v>
      </c>
      <c r="D307">
        <v>15.98</v>
      </c>
      <c r="E307">
        <v>16.23</v>
      </c>
      <c r="F307">
        <v>0.25</v>
      </c>
      <c r="G307">
        <f>ABS(lmsi_v1_v2_comparison[[#This Row],[score_change]])</f>
        <v>0.25</v>
      </c>
      <c r="H307" t="str">
        <f>IF(lmsi_v1_v2_comparison[[#This Row],[score_change]]&gt;0, "v2 Higher","v2 Lower")</f>
        <v>v2 Higher</v>
      </c>
    </row>
    <row r="308" spans="1:8" x14ac:dyDescent="0.2">
      <c r="A308" t="s">
        <v>33</v>
      </c>
      <c r="B308" t="s">
        <v>8</v>
      </c>
      <c r="C308" t="s">
        <v>9</v>
      </c>
      <c r="D308">
        <v>22.19</v>
      </c>
      <c r="E308">
        <v>19.75</v>
      </c>
      <c r="F308">
        <v>-2.44</v>
      </c>
      <c r="G308">
        <f>ABS(lmsi_v1_v2_comparison[[#This Row],[score_change]])</f>
        <v>2.44</v>
      </c>
      <c r="H308" t="str">
        <f>IF(lmsi_v1_v2_comparison[[#This Row],[score_change]]&gt;0, "v2 Higher","v2 Lower")</f>
        <v>v2 Lower</v>
      </c>
    </row>
    <row r="309" spans="1:8" x14ac:dyDescent="0.2">
      <c r="A309" t="s">
        <v>33</v>
      </c>
      <c r="B309" t="s">
        <v>8</v>
      </c>
      <c r="C309" t="s">
        <v>10</v>
      </c>
      <c r="D309">
        <v>23.96</v>
      </c>
      <c r="E309">
        <v>22.78</v>
      </c>
      <c r="F309">
        <v>-1.18</v>
      </c>
      <c r="G309">
        <f>ABS(lmsi_v1_v2_comparison[[#This Row],[score_change]])</f>
        <v>1.18</v>
      </c>
      <c r="H309" t="str">
        <f>IF(lmsi_v1_v2_comparison[[#This Row],[score_change]]&gt;0, "v2 Higher","v2 Lower")</f>
        <v>v2 Lower</v>
      </c>
    </row>
    <row r="310" spans="1:8" x14ac:dyDescent="0.2">
      <c r="A310" t="s">
        <v>33</v>
      </c>
      <c r="B310" t="s">
        <v>8</v>
      </c>
      <c r="C310" t="s">
        <v>11</v>
      </c>
      <c r="D310">
        <v>17.149999999999999</v>
      </c>
      <c r="E310">
        <v>17.18</v>
      </c>
      <c r="F310">
        <v>0.03</v>
      </c>
      <c r="G310">
        <f>ABS(lmsi_v1_v2_comparison[[#This Row],[score_change]])</f>
        <v>0.03</v>
      </c>
      <c r="H310" t="str">
        <f>IF(lmsi_v1_v2_comparison[[#This Row],[score_change]]&gt;0, "v2 Higher","v2 Lower")</f>
        <v>v2 Higher</v>
      </c>
    </row>
    <row r="311" spans="1:8" x14ac:dyDescent="0.2">
      <c r="A311" t="s">
        <v>33</v>
      </c>
      <c r="B311" t="s">
        <v>8</v>
      </c>
      <c r="C311" t="s">
        <v>12</v>
      </c>
      <c r="D311">
        <v>19.059999999999999</v>
      </c>
      <c r="E311">
        <v>19.86</v>
      </c>
      <c r="F311">
        <v>0.8</v>
      </c>
      <c r="G311">
        <f>ABS(lmsi_v1_v2_comparison[[#This Row],[score_change]])</f>
        <v>0.8</v>
      </c>
      <c r="H311" t="str">
        <f>IF(lmsi_v1_v2_comparison[[#This Row],[score_change]]&gt;0, "v2 Higher","v2 Lower")</f>
        <v>v2 Higher</v>
      </c>
    </row>
    <row r="312" spans="1:8" x14ac:dyDescent="0.2">
      <c r="A312" t="s">
        <v>33</v>
      </c>
      <c r="B312" t="s">
        <v>8</v>
      </c>
      <c r="C312" t="s">
        <v>13</v>
      </c>
      <c r="D312">
        <v>19.989999999999998</v>
      </c>
      <c r="E312">
        <v>18.989999999999998</v>
      </c>
      <c r="F312">
        <v>-1</v>
      </c>
      <c r="G312">
        <f>ABS(lmsi_v1_v2_comparison[[#This Row],[score_change]])</f>
        <v>1</v>
      </c>
      <c r="H312" t="str">
        <f>IF(lmsi_v1_v2_comparison[[#This Row],[score_change]]&gt;0, "v2 Higher","v2 Lower")</f>
        <v>v2 Lower</v>
      </c>
    </row>
    <row r="313" spans="1:8" x14ac:dyDescent="0.2">
      <c r="A313" t="s">
        <v>33</v>
      </c>
      <c r="B313" t="s">
        <v>8</v>
      </c>
      <c r="C313" t="s">
        <v>14</v>
      </c>
      <c r="D313">
        <v>16.09</v>
      </c>
      <c r="E313">
        <v>16.850000000000001</v>
      </c>
      <c r="F313">
        <v>0.76</v>
      </c>
      <c r="G313">
        <f>ABS(lmsi_v1_v2_comparison[[#This Row],[score_change]])</f>
        <v>0.76</v>
      </c>
      <c r="H313" t="str">
        <f>IF(lmsi_v1_v2_comparison[[#This Row],[score_change]]&gt;0, "v2 Higher","v2 Lower")</f>
        <v>v2 Higher</v>
      </c>
    </row>
    <row r="314" spans="1:8" x14ac:dyDescent="0.2">
      <c r="A314" t="s">
        <v>33</v>
      </c>
      <c r="B314" t="s">
        <v>15</v>
      </c>
      <c r="C314" t="s">
        <v>9</v>
      </c>
      <c r="D314">
        <v>29.79</v>
      </c>
      <c r="E314">
        <v>25.8</v>
      </c>
      <c r="F314">
        <v>-3.99</v>
      </c>
      <c r="G314">
        <f>ABS(lmsi_v1_v2_comparison[[#This Row],[score_change]])</f>
        <v>3.99</v>
      </c>
      <c r="H314" t="str">
        <f>IF(lmsi_v1_v2_comparison[[#This Row],[score_change]]&gt;0, "v2 Higher","v2 Lower")</f>
        <v>v2 Lower</v>
      </c>
    </row>
    <row r="315" spans="1:8" x14ac:dyDescent="0.2">
      <c r="A315" t="s">
        <v>33</v>
      </c>
      <c r="B315" t="s">
        <v>15</v>
      </c>
      <c r="C315" t="s">
        <v>10</v>
      </c>
      <c r="D315">
        <v>26.62</v>
      </c>
      <c r="E315">
        <v>24.22</v>
      </c>
      <c r="F315">
        <v>-2.4</v>
      </c>
      <c r="G315">
        <f>ABS(lmsi_v1_v2_comparison[[#This Row],[score_change]])</f>
        <v>2.4</v>
      </c>
      <c r="H315" t="str">
        <f>IF(lmsi_v1_v2_comparison[[#This Row],[score_change]]&gt;0, "v2 Higher","v2 Lower")</f>
        <v>v2 Lower</v>
      </c>
    </row>
    <row r="316" spans="1:8" x14ac:dyDescent="0.2">
      <c r="A316" t="s">
        <v>33</v>
      </c>
      <c r="B316" t="s">
        <v>15</v>
      </c>
      <c r="C316" t="s">
        <v>11</v>
      </c>
      <c r="D316">
        <v>18.23</v>
      </c>
      <c r="E316">
        <v>17.89</v>
      </c>
      <c r="F316">
        <v>-0.34</v>
      </c>
      <c r="G316">
        <f>ABS(lmsi_v1_v2_comparison[[#This Row],[score_change]])</f>
        <v>0.34</v>
      </c>
      <c r="H316" t="str">
        <f>IF(lmsi_v1_v2_comparison[[#This Row],[score_change]]&gt;0, "v2 Higher","v2 Lower")</f>
        <v>v2 Lower</v>
      </c>
    </row>
    <row r="317" spans="1:8" x14ac:dyDescent="0.2">
      <c r="A317" t="s">
        <v>33</v>
      </c>
      <c r="B317" t="s">
        <v>15</v>
      </c>
      <c r="C317" t="s">
        <v>12</v>
      </c>
      <c r="D317">
        <v>22</v>
      </c>
      <c r="E317">
        <v>22.31</v>
      </c>
      <c r="F317">
        <v>0.31</v>
      </c>
      <c r="G317">
        <f>ABS(lmsi_v1_v2_comparison[[#This Row],[score_change]])</f>
        <v>0.31</v>
      </c>
      <c r="H317" t="str">
        <f>IF(lmsi_v1_v2_comparison[[#This Row],[score_change]]&gt;0, "v2 Higher","v2 Lower")</f>
        <v>v2 Higher</v>
      </c>
    </row>
    <row r="318" spans="1:8" x14ac:dyDescent="0.2">
      <c r="A318" t="s">
        <v>33</v>
      </c>
      <c r="B318" t="s">
        <v>15</v>
      </c>
      <c r="C318" t="s">
        <v>13</v>
      </c>
      <c r="D318">
        <v>23.17</v>
      </c>
      <c r="E318">
        <v>21.61</v>
      </c>
      <c r="F318">
        <v>-1.56</v>
      </c>
      <c r="G318">
        <f>ABS(lmsi_v1_v2_comparison[[#This Row],[score_change]])</f>
        <v>1.56</v>
      </c>
      <c r="H318" t="str">
        <f>IF(lmsi_v1_v2_comparison[[#This Row],[score_change]]&gt;0, "v2 Higher","v2 Lower")</f>
        <v>v2 Lower</v>
      </c>
    </row>
    <row r="319" spans="1:8" x14ac:dyDescent="0.2">
      <c r="A319" t="s">
        <v>33</v>
      </c>
      <c r="B319" t="s">
        <v>15</v>
      </c>
      <c r="C319" t="s">
        <v>14</v>
      </c>
      <c r="D319">
        <v>22.69</v>
      </c>
      <c r="E319">
        <v>23.46</v>
      </c>
      <c r="F319">
        <v>0.77</v>
      </c>
      <c r="G319">
        <f>ABS(lmsi_v1_v2_comparison[[#This Row],[score_change]])</f>
        <v>0.77</v>
      </c>
      <c r="H319" t="str">
        <f>IF(lmsi_v1_v2_comparison[[#This Row],[score_change]]&gt;0, "v2 Higher","v2 Lower")</f>
        <v>v2 Higher</v>
      </c>
    </row>
    <row r="320" spans="1:8" x14ac:dyDescent="0.2">
      <c r="A320" t="s">
        <v>33</v>
      </c>
      <c r="B320" t="s">
        <v>16</v>
      </c>
      <c r="C320" t="s">
        <v>9</v>
      </c>
      <c r="D320">
        <v>26.81</v>
      </c>
      <c r="E320">
        <v>23.25</v>
      </c>
      <c r="F320">
        <v>-3.56</v>
      </c>
      <c r="G320">
        <f>ABS(lmsi_v1_v2_comparison[[#This Row],[score_change]])</f>
        <v>3.56</v>
      </c>
      <c r="H320" t="str">
        <f>IF(lmsi_v1_v2_comparison[[#This Row],[score_change]]&gt;0, "v2 Higher","v2 Lower")</f>
        <v>v2 Lower</v>
      </c>
    </row>
    <row r="321" spans="1:8" x14ac:dyDescent="0.2">
      <c r="A321" t="s">
        <v>33</v>
      </c>
      <c r="B321" t="s">
        <v>16</v>
      </c>
      <c r="C321" t="s">
        <v>10</v>
      </c>
      <c r="D321">
        <v>25.71</v>
      </c>
      <c r="E321">
        <v>23.79</v>
      </c>
      <c r="F321">
        <v>-1.92</v>
      </c>
      <c r="G321">
        <f>ABS(lmsi_v1_v2_comparison[[#This Row],[score_change]])</f>
        <v>1.92</v>
      </c>
      <c r="H321" t="str">
        <f>IF(lmsi_v1_v2_comparison[[#This Row],[score_change]]&gt;0, "v2 Higher","v2 Lower")</f>
        <v>v2 Lower</v>
      </c>
    </row>
    <row r="322" spans="1:8" x14ac:dyDescent="0.2">
      <c r="A322" t="s">
        <v>33</v>
      </c>
      <c r="B322" t="s">
        <v>16</v>
      </c>
      <c r="C322" t="s">
        <v>11</v>
      </c>
      <c r="D322">
        <v>17.63</v>
      </c>
      <c r="E322">
        <v>17.329999999999998</v>
      </c>
      <c r="F322">
        <v>-0.3</v>
      </c>
      <c r="G322">
        <f>ABS(lmsi_v1_v2_comparison[[#This Row],[score_change]])</f>
        <v>0.3</v>
      </c>
      <c r="H322" t="str">
        <f>IF(lmsi_v1_v2_comparison[[#This Row],[score_change]]&gt;0, "v2 Higher","v2 Lower")</f>
        <v>v2 Lower</v>
      </c>
    </row>
    <row r="323" spans="1:8" x14ac:dyDescent="0.2">
      <c r="A323" t="s">
        <v>33</v>
      </c>
      <c r="B323" t="s">
        <v>16</v>
      </c>
      <c r="C323" t="s">
        <v>12</v>
      </c>
      <c r="D323">
        <v>20.61</v>
      </c>
      <c r="E323">
        <v>20.2</v>
      </c>
      <c r="F323">
        <v>-0.41</v>
      </c>
      <c r="G323">
        <f>ABS(lmsi_v1_v2_comparison[[#This Row],[score_change]])</f>
        <v>0.41</v>
      </c>
      <c r="H323" t="str">
        <f>IF(lmsi_v1_v2_comparison[[#This Row],[score_change]]&gt;0, "v2 Higher","v2 Lower")</f>
        <v>v2 Lower</v>
      </c>
    </row>
    <row r="324" spans="1:8" x14ac:dyDescent="0.2">
      <c r="A324" t="s">
        <v>33</v>
      </c>
      <c r="B324" t="s">
        <v>16</v>
      </c>
      <c r="C324" t="s">
        <v>13</v>
      </c>
      <c r="D324">
        <v>20.11</v>
      </c>
      <c r="E324">
        <v>19.25</v>
      </c>
      <c r="F324">
        <v>-0.86</v>
      </c>
      <c r="G324">
        <f>ABS(lmsi_v1_v2_comparison[[#This Row],[score_change]])</f>
        <v>0.86</v>
      </c>
      <c r="H324" t="str">
        <f>IF(lmsi_v1_v2_comparison[[#This Row],[score_change]]&gt;0, "v2 Higher","v2 Lower")</f>
        <v>v2 Lower</v>
      </c>
    </row>
    <row r="325" spans="1:8" x14ac:dyDescent="0.2">
      <c r="A325" t="s">
        <v>33</v>
      </c>
      <c r="B325" t="s">
        <v>16</v>
      </c>
      <c r="C325" t="s">
        <v>14</v>
      </c>
      <c r="D325">
        <v>17.82</v>
      </c>
      <c r="E325">
        <v>17.260000000000002</v>
      </c>
      <c r="F325">
        <v>-0.56000000000000005</v>
      </c>
      <c r="G325">
        <f>ABS(lmsi_v1_v2_comparison[[#This Row],[score_change]])</f>
        <v>0.56000000000000005</v>
      </c>
      <c r="H325" t="str">
        <f>IF(lmsi_v1_v2_comparison[[#This Row],[score_change]]&gt;0, "v2 Higher","v2 Lower")</f>
        <v>v2 Lower</v>
      </c>
    </row>
    <row r="326" spans="1:8" x14ac:dyDescent="0.2">
      <c r="A326" t="s">
        <v>34</v>
      </c>
      <c r="B326" t="s">
        <v>8</v>
      </c>
      <c r="C326" t="s">
        <v>9</v>
      </c>
      <c r="D326">
        <v>17.13</v>
      </c>
      <c r="E326">
        <v>16.11</v>
      </c>
      <c r="F326">
        <v>-1.02</v>
      </c>
      <c r="G326">
        <f>ABS(lmsi_v1_v2_comparison[[#This Row],[score_change]])</f>
        <v>1.02</v>
      </c>
      <c r="H326" t="str">
        <f>IF(lmsi_v1_v2_comparison[[#This Row],[score_change]]&gt;0, "v2 Higher","v2 Lower")</f>
        <v>v2 Lower</v>
      </c>
    </row>
    <row r="327" spans="1:8" x14ac:dyDescent="0.2">
      <c r="A327" t="s">
        <v>34</v>
      </c>
      <c r="B327" t="s">
        <v>8</v>
      </c>
      <c r="C327" t="s">
        <v>10</v>
      </c>
      <c r="D327">
        <v>21.15</v>
      </c>
      <c r="E327">
        <v>20.69</v>
      </c>
      <c r="F327">
        <v>-0.46</v>
      </c>
      <c r="G327">
        <f>ABS(lmsi_v1_v2_comparison[[#This Row],[score_change]])</f>
        <v>0.46</v>
      </c>
      <c r="H327" t="str">
        <f>IF(lmsi_v1_v2_comparison[[#This Row],[score_change]]&gt;0, "v2 Higher","v2 Lower")</f>
        <v>v2 Lower</v>
      </c>
    </row>
    <row r="328" spans="1:8" x14ac:dyDescent="0.2">
      <c r="A328" t="s">
        <v>34</v>
      </c>
      <c r="B328" t="s">
        <v>8</v>
      </c>
      <c r="C328" t="s">
        <v>11</v>
      </c>
      <c r="D328">
        <v>16.920000000000002</v>
      </c>
      <c r="E328">
        <v>17.13</v>
      </c>
      <c r="F328">
        <v>0.21</v>
      </c>
      <c r="G328">
        <f>ABS(lmsi_v1_v2_comparison[[#This Row],[score_change]])</f>
        <v>0.21</v>
      </c>
      <c r="H328" t="str">
        <f>IF(lmsi_v1_v2_comparison[[#This Row],[score_change]]&gt;0, "v2 Higher","v2 Lower")</f>
        <v>v2 Higher</v>
      </c>
    </row>
    <row r="329" spans="1:8" x14ac:dyDescent="0.2">
      <c r="A329" t="s">
        <v>34</v>
      </c>
      <c r="B329" t="s">
        <v>8</v>
      </c>
      <c r="C329" t="s">
        <v>12</v>
      </c>
      <c r="D329">
        <v>19.55</v>
      </c>
      <c r="E329">
        <v>19.87</v>
      </c>
      <c r="F329">
        <v>0.32</v>
      </c>
      <c r="G329">
        <f>ABS(lmsi_v1_v2_comparison[[#This Row],[score_change]])</f>
        <v>0.32</v>
      </c>
      <c r="H329" t="str">
        <f>IF(lmsi_v1_v2_comparison[[#This Row],[score_change]]&gt;0, "v2 Higher","v2 Lower")</f>
        <v>v2 Higher</v>
      </c>
    </row>
    <row r="330" spans="1:8" x14ac:dyDescent="0.2">
      <c r="A330" t="s">
        <v>34</v>
      </c>
      <c r="B330" t="s">
        <v>8</v>
      </c>
      <c r="C330" t="s">
        <v>13</v>
      </c>
      <c r="D330">
        <v>19.399999999999999</v>
      </c>
      <c r="E330">
        <v>18.309999999999999</v>
      </c>
      <c r="F330">
        <v>-1.0900000000000001</v>
      </c>
      <c r="G330">
        <f>ABS(lmsi_v1_v2_comparison[[#This Row],[score_change]])</f>
        <v>1.0900000000000001</v>
      </c>
      <c r="H330" t="str">
        <f>IF(lmsi_v1_v2_comparison[[#This Row],[score_change]]&gt;0, "v2 Higher","v2 Lower")</f>
        <v>v2 Lower</v>
      </c>
    </row>
    <row r="331" spans="1:8" x14ac:dyDescent="0.2">
      <c r="A331" t="s">
        <v>34</v>
      </c>
      <c r="B331" t="s">
        <v>8</v>
      </c>
      <c r="C331" t="s">
        <v>14</v>
      </c>
      <c r="D331">
        <v>18.29</v>
      </c>
      <c r="E331">
        <v>19.89</v>
      </c>
      <c r="F331">
        <v>1.6</v>
      </c>
      <c r="G331">
        <f>ABS(lmsi_v1_v2_comparison[[#This Row],[score_change]])</f>
        <v>1.6</v>
      </c>
      <c r="H331" t="str">
        <f>IF(lmsi_v1_v2_comparison[[#This Row],[score_change]]&gt;0, "v2 Higher","v2 Lower")</f>
        <v>v2 Higher</v>
      </c>
    </row>
    <row r="332" spans="1:8" x14ac:dyDescent="0.2">
      <c r="A332" t="s">
        <v>34</v>
      </c>
      <c r="B332" t="s">
        <v>15</v>
      </c>
      <c r="C332" t="s">
        <v>9</v>
      </c>
      <c r="D332">
        <v>20.74</v>
      </c>
      <c r="E332">
        <v>18.87</v>
      </c>
      <c r="F332">
        <v>-1.87</v>
      </c>
      <c r="G332">
        <f>ABS(lmsi_v1_v2_comparison[[#This Row],[score_change]])</f>
        <v>1.87</v>
      </c>
      <c r="H332" t="str">
        <f>IF(lmsi_v1_v2_comparison[[#This Row],[score_change]]&gt;0, "v2 Higher","v2 Lower")</f>
        <v>v2 Lower</v>
      </c>
    </row>
    <row r="333" spans="1:8" x14ac:dyDescent="0.2">
      <c r="A333" t="s">
        <v>34</v>
      </c>
      <c r="B333" t="s">
        <v>15</v>
      </c>
      <c r="C333" t="s">
        <v>10</v>
      </c>
      <c r="D333">
        <v>24.58</v>
      </c>
      <c r="E333">
        <v>23.04</v>
      </c>
      <c r="F333">
        <v>-1.54</v>
      </c>
      <c r="G333">
        <f>ABS(lmsi_v1_v2_comparison[[#This Row],[score_change]])</f>
        <v>1.54</v>
      </c>
      <c r="H333" t="str">
        <f>IF(lmsi_v1_v2_comparison[[#This Row],[score_change]]&gt;0, "v2 Higher","v2 Lower")</f>
        <v>v2 Lower</v>
      </c>
    </row>
    <row r="334" spans="1:8" x14ac:dyDescent="0.2">
      <c r="A334" t="s">
        <v>34</v>
      </c>
      <c r="B334" t="s">
        <v>15</v>
      </c>
      <c r="C334" t="s">
        <v>11</v>
      </c>
      <c r="D334">
        <v>17.579999999999998</v>
      </c>
      <c r="E334">
        <v>17.82</v>
      </c>
      <c r="F334">
        <v>0.24</v>
      </c>
      <c r="G334">
        <f>ABS(lmsi_v1_v2_comparison[[#This Row],[score_change]])</f>
        <v>0.24</v>
      </c>
      <c r="H334" t="str">
        <f>IF(lmsi_v1_v2_comparison[[#This Row],[score_change]]&gt;0, "v2 Higher","v2 Lower")</f>
        <v>v2 Higher</v>
      </c>
    </row>
    <row r="335" spans="1:8" x14ac:dyDescent="0.2">
      <c r="A335" t="s">
        <v>34</v>
      </c>
      <c r="B335" t="s">
        <v>15</v>
      </c>
      <c r="C335" t="s">
        <v>12</v>
      </c>
      <c r="D335">
        <v>22.16</v>
      </c>
      <c r="E335">
        <v>22.07</v>
      </c>
      <c r="F335">
        <v>-0.09</v>
      </c>
      <c r="G335">
        <f>ABS(lmsi_v1_v2_comparison[[#This Row],[score_change]])</f>
        <v>0.09</v>
      </c>
      <c r="H335" t="str">
        <f>IF(lmsi_v1_v2_comparison[[#This Row],[score_change]]&gt;0, "v2 Higher","v2 Lower")</f>
        <v>v2 Lower</v>
      </c>
    </row>
    <row r="336" spans="1:8" x14ac:dyDescent="0.2">
      <c r="A336" t="s">
        <v>34</v>
      </c>
      <c r="B336" t="s">
        <v>15</v>
      </c>
      <c r="C336" t="s">
        <v>13</v>
      </c>
      <c r="D336">
        <v>24.29</v>
      </c>
      <c r="E336">
        <v>22.09</v>
      </c>
      <c r="F336">
        <v>-2.2000000000000002</v>
      </c>
      <c r="G336">
        <f>ABS(lmsi_v1_v2_comparison[[#This Row],[score_change]])</f>
        <v>2.2000000000000002</v>
      </c>
      <c r="H336" t="str">
        <f>IF(lmsi_v1_v2_comparison[[#This Row],[score_change]]&gt;0, "v2 Higher","v2 Lower")</f>
        <v>v2 Lower</v>
      </c>
    </row>
    <row r="337" spans="1:8" x14ac:dyDescent="0.2">
      <c r="A337" t="s">
        <v>34</v>
      </c>
      <c r="B337" t="s">
        <v>15</v>
      </c>
      <c r="C337" t="s">
        <v>14</v>
      </c>
      <c r="D337">
        <v>25.88</v>
      </c>
      <c r="E337">
        <v>25.66</v>
      </c>
      <c r="F337">
        <v>-0.22</v>
      </c>
      <c r="G337">
        <f>ABS(lmsi_v1_v2_comparison[[#This Row],[score_change]])</f>
        <v>0.22</v>
      </c>
      <c r="H337" t="str">
        <f>IF(lmsi_v1_v2_comparison[[#This Row],[score_change]]&gt;0, "v2 Higher","v2 Lower")</f>
        <v>v2 Lower</v>
      </c>
    </row>
    <row r="338" spans="1:8" x14ac:dyDescent="0.2">
      <c r="A338" t="s">
        <v>34</v>
      </c>
      <c r="B338" t="s">
        <v>16</v>
      </c>
      <c r="C338" t="s">
        <v>9</v>
      </c>
      <c r="D338">
        <v>19.23</v>
      </c>
      <c r="E338">
        <v>17.55</v>
      </c>
      <c r="F338">
        <v>-1.68</v>
      </c>
      <c r="G338">
        <f>ABS(lmsi_v1_v2_comparison[[#This Row],[score_change]])</f>
        <v>1.68</v>
      </c>
      <c r="H338" t="str">
        <f>IF(lmsi_v1_v2_comparison[[#This Row],[score_change]]&gt;0, "v2 Higher","v2 Lower")</f>
        <v>v2 Lower</v>
      </c>
    </row>
    <row r="339" spans="1:8" x14ac:dyDescent="0.2">
      <c r="A339" t="s">
        <v>34</v>
      </c>
      <c r="B339" t="s">
        <v>16</v>
      </c>
      <c r="C339" t="s">
        <v>10</v>
      </c>
      <c r="D339">
        <v>23.74</v>
      </c>
      <c r="E339">
        <v>22.62</v>
      </c>
      <c r="F339">
        <v>-1.1200000000000001</v>
      </c>
      <c r="G339">
        <f>ABS(lmsi_v1_v2_comparison[[#This Row],[score_change]])</f>
        <v>1.1200000000000001</v>
      </c>
      <c r="H339" t="str">
        <f>IF(lmsi_v1_v2_comparison[[#This Row],[score_change]]&gt;0, "v2 Higher","v2 Lower")</f>
        <v>v2 Lower</v>
      </c>
    </row>
    <row r="340" spans="1:8" x14ac:dyDescent="0.2">
      <c r="A340" t="s">
        <v>34</v>
      </c>
      <c r="B340" t="s">
        <v>16</v>
      </c>
      <c r="C340" t="s">
        <v>11</v>
      </c>
      <c r="D340">
        <v>17.149999999999999</v>
      </c>
      <c r="E340">
        <v>17.37</v>
      </c>
      <c r="F340">
        <v>0.22</v>
      </c>
      <c r="G340">
        <f>ABS(lmsi_v1_v2_comparison[[#This Row],[score_change]])</f>
        <v>0.22</v>
      </c>
      <c r="H340" t="str">
        <f>IF(lmsi_v1_v2_comparison[[#This Row],[score_change]]&gt;0, "v2 Higher","v2 Lower")</f>
        <v>v2 Higher</v>
      </c>
    </row>
    <row r="341" spans="1:8" x14ac:dyDescent="0.2">
      <c r="A341" t="s">
        <v>34</v>
      </c>
      <c r="B341" t="s">
        <v>16</v>
      </c>
      <c r="C341" t="s">
        <v>12</v>
      </c>
      <c r="D341">
        <v>20.52</v>
      </c>
      <c r="E341">
        <v>20.75</v>
      </c>
      <c r="F341">
        <v>0.23</v>
      </c>
      <c r="G341">
        <f>ABS(lmsi_v1_v2_comparison[[#This Row],[score_change]])</f>
        <v>0.23</v>
      </c>
      <c r="H341" t="str">
        <f>IF(lmsi_v1_v2_comparison[[#This Row],[score_change]]&gt;0, "v2 Higher","v2 Lower")</f>
        <v>v2 Higher</v>
      </c>
    </row>
    <row r="342" spans="1:8" x14ac:dyDescent="0.2">
      <c r="A342" t="s">
        <v>34</v>
      </c>
      <c r="B342" t="s">
        <v>16</v>
      </c>
      <c r="C342" t="s">
        <v>13</v>
      </c>
      <c r="D342">
        <v>19.55</v>
      </c>
      <c r="E342">
        <v>18.72</v>
      </c>
      <c r="F342">
        <v>-0.83</v>
      </c>
      <c r="G342">
        <f>ABS(lmsi_v1_v2_comparison[[#This Row],[score_change]])</f>
        <v>0.83</v>
      </c>
      <c r="H342" t="str">
        <f>IF(lmsi_v1_v2_comparison[[#This Row],[score_change]]&gt;0, "v2 Higher","v2 Lower")</f>
        <v>v2 Lower</v>
      </c>
    </row>
    <row r="343" spans="1:8" x14ac:dyDescent="0.2">
      <c r="A343" t="s">
        <v>34</v>
      </c>
      <c r="B343" t="s">
        <v>16</v>
      </c>
      <c r="C343" t="s">
        <v>14</v>
      </c>
      <c r="D343">
        <v>20.69</v>
      </c>
      <c r="E343">
        <v>21.33</v>
      </c>
      <c r="F343">
        <v>0.64</v>
      </c>
      <c r="G343">
        <f>ABS(lmsi_v1_v2_comparison[[#This Row],[score_change]])</f>
        <v>0.64</v>
      </c>
      <c r="H343" t="str">
        <f>IF(lmsi_v1_v2_comparison[[#This Row],[score_change]]&gt;0, "v2 Higher","v2 Lower")</f>
        <v>v2 Higher</v>
      </c>
    </row>
    <row r="344" spans="1:8" x14ac:dyDescent="0.2">
      <c r="A344" t="s">
        <v>35</v>
      </c>
      <c r="B344" t="s">
        <v>8</v>
      </c>
      <c r="C344" t="s">
        <v>9</v>
      </c>
      <c r="D344">
        <v>21.3</v>
      </c>
      <c r="E344">
        <v>19.5</v>
      </c>
      <c r="F344">
        <v>-1.8</v>
      </c>
      <c r="G344">
        <f>ABS(lmsi_v1_v2_comparison[[#This Row],[score_change]])</f>
        <v>1.8</v>
      </c>
      <c r="H344" t="str">
        <f>IF(lmsi_v1_v2_comparison[[#This Row],[score_change]]&gt;0, "v2 Higher","v2 Lower")</f>
        <v>v2 Lower</v>
      </c>
    </row>
    <row r="345" spans="1:8" x14ac:dyDescent="0.2">
      <c r="A345" t="s">
        <v>35</v>
      </c>
      <c r="B345" t="s">
        <v>8</v>
      </c>
      <c r="C345" t="s">
        <v>10</v>
      </c>
      <c r="D345">
        <v>18.03</v>
      </c>
      <c r="E345">
        <v>18.2</v>
      </c>
      <c r="F345">
        <v>0.17</v>
      </c>
      <c r="G345">
        <f>ABS(lmsi_v1_v2_comparison[[#This Row],[score_change]])</f>
        <v>0.17</v>
      </c>
      <c r="H345" t="str">
        <f>IF(lmsi_v1_v2_comparison[[#This Row],[score_change]]&gt;0, "v2 Higher","v2 Lower")</f>
        <v>v2 Higher</v>
      </c>
    </row>
    <row r="346" spans="1:8" x14ac:dyDescent="0.2">
      <c r="A346" t="s">
        <v>35</v>
      </c>
      <c r="B346" t="s">
        <v>8</v>
      </c>
      <c r="C346" t="s">
        <v>11</v>
      </c>
      <c r="D346">
        <v>17.21</v>
      </c>
      <c r="E346">
        <v>17.27</v>
      </c>
      <c r="F346">
        <v>0.06</v>
      </c>
      <c r="G346">
        <f>ABS(lmsi_v1_v2_comparison[[#This Row],[score_change]])</f>
        <v>0.06</v>
      </c>
      <c r="H346" t="str">
        <f>IF(lmsi_v1_v2_comparison[[#This Row],[score_change]]&gt;0, "v2 Higher","v2 Lower")</f>
        <v>v2 Higher</v>
      </c>
    </row>
    <row r="347" spans="1:8" x14ac:dyDescent="0.2">
      <c r="A347" t="s">
        <v>35</v>
      </c>
      <c r="B347" t="s">
        <v>8</v>
      </c>
      <c r="C347" t="s">
        <v>12</v>
      </c>
      <c r="D347">
        <v>19.54</v>
      </c>
      <c r="E347">
        <v>19.940000000000001</v>
      </c>
      <c r="F347">
        <v>0.4</v>
      </c>
      <c r="G347">
        <f>ABS(lmsi_v1_v2_comparison[[#This Row],[score_change]])</f>
        <v>0.4</v>
      </c>
      <c r="H347" t="str">
        <f>IF(lmsi_v1_v2_comparison[[#This Row],[score_change]]&gt;0, "v2 Higher","v2 Lower")</f>
        <v>v2 Higher</v>
      </c>
    </row>
    <row r="348" spans="1:8" x14ac:dyDescent="0.2">
      <c r="A348" t="s">
        <v>35</v>
      </c>
      <c r="B348" t="s">
        <v>8</v>
      </c>
      <c r="C348" t="s">
        <v>13</v>
      </c>
      <c r="D348">
        <v>19.440000000000001</v>
      </c>
      <c r="E348">
        <v>18.22</v>
      </c>
      <c r="F348">
        <v>-1.22</v>
      </c>
      <c r="G348">
        <f>ABS(lmsi_v1_v2_comparison[[#This Row],[score_change]])</f>
        <v>1.22</v>
      </c>
      <c r="H348" t="str">
        <f>IF(lmsi_v1_v2_comparison[[#This Row],[score_change]]&gt;0, "v2 Higher","v2 Lower")</f>
        <v>v2 Lower</v>
      </c>
    </row>
    <row r="349" spans="1:8" x14ac:dyDescent="0.2">
      <c r="A349" t="s">
        <v>35</v>
      </c>
      <c r="B349" t="s">
        <v>8</v>
      </c>
      <c r="C349" t="s">
        <v>14</v>
      </c>
      <c r="D349">
        <v>18.91</v>
      </c>
      <c r="E349">
        <v>19.52</v>
      </c>
      <c r="F349">
        <v>0.61</v>
      </c>
      <c r="G349">
        <f>ABS(lmsi_v1_v2_comparison[[#This Row],[score_change]])</f>
        <v>0.61</v>
      </c>
      <c r="H349" t="str">
        <f>IF(lmsi_v1_v2_comparison[[#This Row],[score_change]]&gt;0, "v2 Higher","v2 Lower")</f>
        <v>v2 Higher</v>
      </c>
    </row>
    <row r="350" spans="1:8" x14ac:dyDescent="0.2">
      <c r="A350" t="s">
        <v>35</v>
      </c>
      <c r="B350" t="s">
        <v>15</v>
      </c>
      <c r="C350" t="s">
        <v>9</v>
      </c>
      <c r="D350">
        <v>25.5</v>
      </c>
      <c r="E350">
        <v>22.16</v>
      </c>
      <c r="F350">
        <v>-3.34</v>
      </c>
      <c r="G350">
        <f>ABS(lmsi_v1_v2_comparison[[#This Row],[score_change]])</f>
        <v>3.34</v>
      </c>
      <c r="H350" t="str">
        <f>IF(lmsi_v1_v2_comparison[[#This Row],[score_change]]&gt;0, "v2 Higher","v2 Lower")</f>
        <v>v2 Lower</v>
      </c>
    </row>
    <row r="351" spans="1:8" x14ac:dyDescent="0.2">
      <c r="A351" t="s">
        <v>35</v>
      </c>
      <c r="B351" t="s">
        <v>15</v>
      </c>
      <c r="C351" t="s">
        <v>10</v>
      </c>
      <c r="D351">
        <v>20.75</v>
      </c>
      <c r="E351">
        <v>19.37</v>
      </c>
      <c r="F351">
        <v>-1.38</v>
      </c>
      <c r="G351">
        <f>ABS(lmsi_v1_v2_comparison[[#This Row],[score_change]])</f>
        <v>1.38</v>
      </c>
      <c r="H351" t="str">
        <f>IF(lmsi_v1_v2_comparison[[#This Row],[score_change]]&gt;0, "v2 Higher","v2 Lower")</f>
        <v>v2 Lower</v>
      </c>
    </row>
    <row r="352" spans="1:8" x14ac:dyDescent="0.2">
      <c r="A352" t="s">
        <v>35</v>
      </c>
      <c r="B352" t="s">
        <v>15</v>
      </c>
      <c r="C352" t="s">
        <v>11</v>
      </c>
      <c r="D352">
        <v>18.440000000000001</v>
      </c>
      <c r="E352">
        <v>19.7</v>
      </c>
      <c r="F352">
        <v>1.26</v>
      </c>
      <c r="G352">
        <f>ABS(lmsi_v1_v2_comparison[[#This Row],[score_change]])</f>
        <v>1.26</v>
      </c>
      <c r="H352" t="str">
        <f>IF(lmsi_v1_v2_comparison[[#This Row],[score_change]]&gt;0, "v2 Higher","v2 Lower")</f>
        <v>v2 Higher</v>
      </c>
    </row>
    <row r="353" spans="1:8" x14ac:dyDescent="0.2">
      <c r="A353" t="s">
        <v>35</v>
      </c>
      <c r="B353" t="s">
        <v>15</v>
      </c>
      <c r="C353" t="s">
        <v>12</v>
      </c>
      <c r="D353">
        <v>21.64</v>
      </c>
      <c r="E353">
        <v>21.59</v>
      </c>
      <c r="F353">
        <v>-0.05</v>
      </c>
      <c r="G353">
        <f>ABS(lmsi_v1_v2_comparison[[#This Row],[score_change]])</f>
        <v>0.05</v>
      </c>
      <c r="H353" t="str">
        <f>IF(lmsi_v1_v2_comparison[[#This Row],[score_change]]&gt;0, "v2 Higher","v2 Lower")</f>
        <v>v2 Lower</v>
      </c>
    </row>
    <row r="354" spans="1:8" x14ac:dyDescent="0.2">
      <c r="A354" t="s">
        <v>35</v>
      </c>
      <c r="B354" t="s">
        <v>15</v>
      </c>
      <c r="C354" t="s">
        <v>13</v>
      </c>
      <c r="D354">
        <v>23.5</v>
      </c>
      <c r="E354">
        <v>21.48</v>
      </c>
      <c r="F354">
        <v>-2.02</v>
      </c>
      <c r="G354">
        <f>ABS(lmsi_v1_v2_comparison[[#This Row],[score_change]])</f>
        <v>2.02</v>
      </c>
      <c r="H354" t="str">
        <f>IF(lmsi_v1_v2_comparison[[#This Row],[score_change]]&gt;0, "v2 Higher","v2 Lower")</f>
        <v>v2 Lower</v>
      </c>
    </row>
    <row r="355" spans="1:8" x14ac:dyDescent="0.2">
      <c r="A355" t="s">
        <v>35</v>
      </c>
      <c r="B355" t="s">
        <v>15</v>
      </c>
      <c r="C355" t="s">
        <v>14</v>
      </c>
      <c r="D355">
        <v>25.9</v>
      </c>
      <c r="E355">
        <v>28.28</v>
      </c>
      <c r="F355">
        <v>2.38</v>
      </c>
      <c r="G355">
        <f>ABS(lmsi_v1_v2_comparison[[#This Row],[score_change]])</f>
        <v>2.38</v>
      </c>
      <c r="H355" t="str">
        <f>IF(lmsi_v1_v2_comparison[[#This Row],[score_change]]&gt;0, "v2 Higher","v2 Lower")</f>
        <v>v2 Higher</v>
      </c>
    </row>
    <row r="356" spans="1:8" x14ac:dyDescent="0.2">
      <c r="A356" t="s">
        <v>35</v>
      </c>
      <c r="B356" t="s">
        <v>16</v>
      </c>
      <c r="C356" t="s">
        <v>9</v>
      </c>
      <c r="D356">
        <v>23.57</v>
      </c>
      <c r="E356">
        <v>20.73</v>
      </c>
      <c r="F356">
        <v>-2.84</v>
      </c>
      <c r="G356">
        <f>ABS(lmsi_v1_v2_comparison[[#This Row],[score_change]])</f>
        <v>2.84</v>
      </c>
      <c r="H356" t="str">
        <f>IF(lmsi_v1_v2_comparison[[#This Row],[score_change]]&gt;0, "v2 Higher","v2 Lower")</f>
        <v>v2 Lower</v>
      </c>
    </row>
    <row r="357" spans="1:8" x14ac:dyDescent="0.2">
      <c r="A357" t="s">
        <v>35</v>
      </c>
      <c r="B357" t="s">
        <v>16</v>
      </c>
      <c r="C357" t="s">
        <v>10</v>
      </c>
      <c r="D357">
        <v>20.440000000000001</v>
      </c>
      <c r="E357">
        <v>19.239999999999998</v>
      </c>
      <c r="F357">
        <v>-1.2</v>
      </c>
      <c r="G357">
        <f>ABS(lmsi_v1_v2_comparison[[#This Row],[score_change]])</f>
        <v>1.2</v>
      </c>
      <c r="H357" t="str">
        <f>IF(lmsi_v1_v2_comparison[[#This Row],[score_change]]&gt;0, "v2 Higher","v2 Lower")</f>
        <v>v2 Lower</v>
      </c>
    </row>
    <row r="358" spans="1:8" x14ac:dyDescent="0.2">
      <c r="A358" t="s">
        <v>35</v>
      </c>
      <c r="B358" t="s">
        <v>16</v>
      </c>
      <c r="C358" t="s">
        <v>11</v>
      </c>
      <c r="D358">
        <v>17.690000000000001</v>
      </c>
      <c r="E358">
        <v>17.77</v>
      </c>
      <c r="F358">
        <v>0.08</v>
      </c>
      <c r="G358">
        <f>ABS(lmsi_v1_v2_comparison[[#This Row],[score_change]])</f>
        <v>0.08</v>
      </c>
      <c r="H358" t="str">
        <f>IF(lmsi_v1_v2_comparison[[#This Row],[score_change]]&gt;0, "v2 Higher","v2 Lower")</f>
        <v>v2 Higher</v>
      </c>
    </row>
    <row r="359" spans="1:8" x14ac:dyDescent="0.2">
      <c r="A359" t="s">
        <v>35</v>
      </c>
      <c r="B359" t="s">
        <v>16</v>
      </c>
      <c r="C359" t="s">
        <v>12</v>
      </c>
      <c r="D359">
        <v>20.77</v>
      </c>
      <c r="E359">
        <v>20.149999999999999</v>
      </c>
      <c r="F359">
        <v>-0.62</v>
      </c>
      <c r="G359">
        <f>ABS(lmsi_v1_v2_comparison[[#This Row],[score_change]])</f>
        <v>0.62</v>
      </c>
      <c r="H359" t="str">
        <f>IF(lmsi_v1_v2_comparison[[#This Row],[score_change]]&gt;0, "v2 Higher","v2 Lower")</f>
        <v>v2 Lower</v>
      </c>
    </row>
    <row r="360" spans="1:8" x14ac:dyDescent="0.2">
      <c r="A360" t="s">
        <v>35</v>
      </c>
      <c r="B360" t="s">
        <v>16</v>
      </c>
      <c r="C360" t="s">
        <v>13</v>
      </c>
      <c r="D360">
        <v>18.97</v>
      </c>
      <c r="E360">
        <v>17.97</v>
      </c>
      <c r="F360">
        <v>-1</v>
      </c>
      <c r="G360">
        <f>ABS(lmsi_v1_v2_comparison[[#This Row],[score_change]])</f>
        <v>1</v>
      </c>
      <c r="H360" t="str">
        <f>IF(lmsi_v1_v2_comparison[[#This Row],[score_change]]&gt;0, "v2 Higher","v2 Lower")</f>
        <v>v2 Lower</v>
      </c>
    </row>
    <row r="361" spans="1:8" x14ac:dyDescent="0.2">
      <c r="A361" t="s">
        <v>35</v>
      </c>
      <c r="B361" t="s">
        <v>16</v>
      </c>
      <c r="C361" t="s">
        <v>14</v>
      </c>
      <c r="D361">
        <v>21.01</v>
      </c>
      <c r="E361">
        <v>21.22</v>
      </c>
      <c r="F361">
        <v>0.21</v>
      </c>
      <c r="G361">
        <f>ABS(lmsi_v1_v2_comparison[[#This Row],[score_change]])</f>
        <v>0.21</v>
      </c>
      <c r="H361" t="str">
        <f>IF(lmsi_v1_v2_comparison[[#This Row],[score_change]]&gt;0, "v2 Higher","v2 Lower")</f>
        <v>v2 Higher</v>
      </c>
    </row>
    <row r="362" spans="1:8" x14ac:dyDescent="0.2">
      <c r="A362" t="s">
        <v>36</v>
      </c>
      <c r="B362" t="s">
        <v>8</v>
      </c>
      <c r="C362" t="s">
        <v>9</v>
      </c>
      <c r="D362">
        <v>24.21</v>
      </c>
      <c r="E362">
        <v>21.41</v>
      </c>
      <c r="F362">
        <v>-2.8</v>
      </c>
      <c r="G362">
        <f>ABS(lmsi_v1_v2_comparison[[#This Row],[score_change]])</f>
        <v>2.8</v>
      </c>
      <c r="H362" t="str">
        <f>IF(lmsi_v1_v2_comparison[[#This Row],[score_change]]&gt;0, "v2 Higher","v2 Lower")</f>
        <v>v2 Lower</v>
      </c>
    </row>
    <row r="363" spans="1:8" x14ac:dyDescent="0.2">
      <c r="A363" t="s">
        <v>36</v>
      </c>
      <c r="B363" t="s">
        <v>8</v>
      </c>
      <c r="C363" t="s">
        <v>10</v>
      </c>
      <c r="D363">
        <v>17.079999999999998</v>
      </c>
      <c r="E363">
        <v>17.079999999999998</v>
      </c>
      <c r="F363">
        <v>0</v>
      </c>
      <c r="G363">
        <f>ABS(lmsi_v1_v2_comparison[[#This Row],[score_change]])</f>
        <v>0</v>
      </c>
      <c r="H363" t="str">
        <f>IF(lmsi_v1_v2_comparison[[#This Row],[score_change]]&gt;0, "v2 Higher","v2 Lower")</f>
        <v>v2 Lower</v>
      </c>
    </row>
    <row r="364" spans="1:8" x14ac:dyDescent="0.2">
      <c r="A364" t="s">
        <v>36</v>
      </c>
      <c r="B364" t="s">
        <v>8</v>
      </c>
      <c r="C364" t="s">
        <v>11</v>
      </c>
      <c r="D364">
        <v>19.149999999999999</v>
      </c>
      <c r="E364">
        <v>19.18</v>
      </c>
      <c r="F364">
        <v>0.03</v>
      </c>
      <c r="G364">
        <f>ABS(lmsi_v1_v2_comparison[[#This Row],[score_change]])</f>
        <v>0.03</v>
      </c>
      <c r="H364" t="str">
        <f>IF(lmsi_v1_v2_comparison[[#This Row],[score_change]]&gt;0, "v2 Higher","v2 Lower")</f>
        <v>v2 Higher</v>
      </c>
    </row>
    <row r="365" spans="1:8" x14ac:dyDescent="0.2">
      <c r="A365" t="s">
        <v>36</v>
      </c>
      <c r="B365" t="s">
        <v>8</v>
      </c>
      <c r="C365" t="s">
        <v>12</v>
      </c>
      <c r="D365">
        <v>18.989999999999998</v>
      </c>
      <c r="E365">
        <v>19.690000000000001</v>
      </c>
      <c r="F365">
        <v>0.7</v>
      </c>
      <c r="G365">
        <f>ABS(lmsi_v1_v2_comparison[[#This Row],[score_change]])</f>
        <v>0.7</v>
      </c>
      <c r="H365" t="str">
        <f>IF(lmsi_v1_v2_comparison[[#This Row],[score_change]]&gt;0, "v2 Higher","v2 Lower")</f>
        <v>v2 Higher</v>
      </c>
    </row>
    <row r="366" spans="1:8" x14ac:dyDescent="0.2">
      <c r="A366" t="s">
        <v>36</v>
      </c>
      <c r="B366" t="s">
        <v>8</v>
      </c>
      <c r="C366" t="s">
        <v>13</v>
      </c>
      <c r="D366">
        <v>19.05</v>
      </c>
      <c r="E366">
        <v>18.52</v>
      </c>
      <c r="F366">
        <v>-0.53</v>
      </c>
      <c r="G366">
        <f>ABS(lmsi_v1_v2_comparison[[#This Row],[score_change]])</f>
        <v>0.53</v>
      </c>
      <c r="H366" t="str">
        <f>IF(lmsi_v1_v2_comparison[[#This Row],[score_change]]&gt;0, "v2 Higher","v2 Lower")</f>
        <v>v2 Lower</v>
      </c>
    </row>
    <row r="367" spans="1:8" x14ac:dyDescent="0.2">
      <c r="A367" t="s">
        <v>36</v>
      </c>
      <c r="B367" t="s">
        <v>8</v>
      </c>
      <c r="C367" t="s">
        <v>14</v>
      </c>
      <c r="D367">
        <v>18.02</v>
      </c>
      <c r="E367">
        <v>20.25</v>
      </c>
      <c r="F367">
        <v>2.23</v>
      </c>
      <c r="G367">
        <f>ABS(lmsi_v1_v2_comparison[[#This Row],[score_change]])</f>
        <v>2.23</v>
      </c>
      <c r="H367" t="str">
        <f>IF(lmsi_v1_v2_comparison[[#This Row],[score_change]]&gt;0, "v2 Higher","v2 Lower")</f>
        <v>v2 Higher</v>
      </c>
    </row>
    <row r="368" spans="1:8" x14ac:dyDescent="0.2">
      <c r="A368" t="s">
        <v>36</v>
      </c>
      <c r="B368" t="s">
        <v>15</v>
      </c>
      <c r="C368" t="s">
        <v>9</v>
      </c>
      <c r="D368">
        <v>28.88</v>
      </c>
      <c r="E368">
        <v>25.16</v>
      </c>
      <c r="F368">
        <v>-3.72</v>
      </c>
      <c r="G368">
        <f>ABS(lmsi_v1_v2_comparison[[#This Row],[score_change]])</f>
        <v>3.72</v>
      </c>
      <c r="H368" t="str">
        <f>IF(lmsi_v1_v2_comparison[[#This Row],[score_change]]&gt;0, "v2 Higher","v2 Lower")</f>
        <v>v2 Lower</v>
      </c>
    </row>
    <row r="369" spans="1:8" x14ac:dyDescent="0.2">
      <c r="A369" t="s">
        <v>36</v>
      </c>
      <c r="B369" t="s">
        <v>15</v>
      </c>
      <c r="C369" t="s">
        <v>10</v>
      </c>
      <c r="D369">
        <v>20.260000000000002</v>
      </c>
      <c r="E369">
        <v>18.940000000000001</v>
      </c>
      <c r="F369">
        <v>-1.32</v>
      </c>
      <c r="G369">
        <f>ABS(lmsi_v1_v2_comparison[[#This Row],[score_change]])</f>
        <v>1.32</v>
      </c>
      <c r="H369" t="str">
        <f>IF(lmsi_v1_v2_comparison[[#This Row],[score_change]]&gt;0, "v2 Higher","v2 Lower")</f>
        <v>v2 Lower</v>
      </c>
    </row>
    <row r="370" spans="1:8" x14ac:dyDescent="0.2">
      <c r="A370" t="s">
        <v>36</v>
      </c>
      <c r="B370" t="s">
        <v>15</v>
      </c>
      <c r="C370" t="s">
        <v>11</v>
      </c>
      <c r="D370">
        <v>20.87</v>
      </c>
      <c r="E370">
        <v>20.98</v>
      </c>
      <c r="F370">
        <v>0.11</v>
      </c>
      <c r="G370">
        <f>ABS(lmsi_v1_v2_comparison[[#This Row],[score_change]])</f>
        <v>0.11</v>
      </c>
      <c r="H370" t="str">
        <f>IF(lmsi_v1_v2_comparison[[#This Row],[score_change]]&gt;0, "v2 Higher","v2 Lower")</f>
        <v>v2 Higher</v>
      </c>
    </row>
    <row r="371" spans="1:8" x14ac:dyDescent="0.2">
      <c r="A371" t="s">
        <v>36</v>
      </c>
      <c r="B371" t="s">
        <v>15</v>
      </c>
      <c r="C371" t="s">
        <v>12</v>
      </c>
      <c r="D371">
        <v>22.06</v>
      </c>
      <c r="E371">
        <v>21.66</v>
      </c>
      <c r="F371">
        <v>-0.4</v>
      </c>
      <c r="G371">
        <f>ABS(lmsi_v1_v2_comparison[[#This Row],[score_change]])</f>
        <v>0.4</v>
      </c>
      <c r="H371" t="str">
        <f>IF(lmsi_v1_v2_comparison[[#This Row],[score_change]]&gt;0, "v2 Higher","v2 Lower")</f>
        <v>v2 Lower</v>
      </c>
    </row>
    <row r="372" spans="1:8" x14ac:dyDescent="0.2">
      <c r="A372" t="s">
        <v>36</v>
      </c>
      <c r="B372" t="s">
        <v>15</v>
      </c>
      <c r="C372" t="s">
        <v>13</v>
      </c>
      <c r="D372">
        <v>24.01</v>
      </c>
      <c r="E372">
        <v>22.41</v>
      </c>
      <c r="F372">
        <v>-1.6</v>
      </c>
      <c r="G372">
        <f>ABS(lmsi_v1_v2_comparison[[#This Row],[score_change]])</f>
        <v>1.6</v>
      </c>
      <c r="H372" t="str">
        <f>IF(lmsi_v1_v2_comparison[[#This Row],[score_change]]&gt;0, "v2 Higher","v2 Lower")</f>
        <v>v2 Lower</v>
      </c>
    </row>
    <row r="373" spans="1:8" x14ac:dyDescent="0.2">
      <c r="A373" t="s">
        <v>36</v>
      </c>
      <c r="B373" t="s">
        <v>15</v>
      </c>
      <c r="C373" t="s">
        <v>14</v>
      </c>
      <c r="D373">
        <v>25.2</v>
      </c>
      <c r="E373">
        <v>29.24</v>
      </c>
      <c r="F373">
        <v>4.04</v>
      </c>
      <c r="G373">
        <f>ABS(lmsi_v1_v2_comparison[[#This Row],[score_change]])</f>
        <v>4.04</v>
      </c>
      <c r="H373" t="str">
        <f>IF(lmsi_v1_v2_comparison[[#This Row],[score_change]]&gt;0, "v2 Higher","v2 Lower")</f>
        <v>v2 Higher</v>
      </c>
    </row>
    <row r="374" spans="1:8" x14ac:dyDescent="0.2">
      <c r="A374" t="s">
        <v>36</v>
      </c>
      <c r="B374" t="s">
        <v>16</v>
      </c>
      <c r="C374" t="s">
        <v>9</v>
      </c>
      <c r="D374">
        <v>27.53</v>
      </c>
      <c r="E374">
        <v>23.8</v>
      </c>
      <c r="F374">
        <v>-3.73</v>
      </c>
      <c r="G374">
        <f>ABS(lmsi_v1_v2_comparison[[#This Row],[score_change]])</f>
        <v>3.73</v>
      </c>
      <c r="H374" t="str">
        <f>IF(lmsi_v1_v2_comparison[[#This Row],[score_change]]&gt;0, "v2 Higher","v2 Lower")</f>
        <v>v2 Lower</v>
      </c>
    </row>
    <row r="375" spans="1:8" x14ac:dyDescent="0.2">
      <c r="A375" t="s">
        <v>36</v>
      </c>
      <c r="B375" t="s">
        <v>16</v>
      </c>
      <c r="C375" t="s">
        <v>10</v>
      </c>
      <c r="D375">
        <v>19.55</v>
      </c>
      <c r="E375">
        <v>18.600000000000001</v>
      </c>
      <c r="F375">
        <v>-0.95</v>
      </c>
      <c r="G375">
        <f>ABS(lmsi_v1_v2_comparison[[#This Row],[score_change]])</f>
        <v>0.95</v>
      </c>
      <c r="H375" t="str">
        <f>IF(lmsi_v1_v2_comparison[[#This Row],[score_change]]&gt;0, "v2 Higher","v2 Lower")</f>
        <v>v2 Lower</v>
      </c>
    </row>
    <row r="376" spans="1:8" x14ac:dyDescent="0.2">
      <c r="A376" t="s">
        <v>36</v>
      </c>
      <c r="B376" t="s">
        <v>16</v>
      </c>
      <c r="C376" t="s">
        <v>11</v>
      </c>
      <c r="D376">
        <v>19.64</v>
      </c>
      <c r="E376">
        <v>19.79</v>
      </c>
      <c r="F376">
        <v>0.15</v>
      </c>
      <c r="G376">
        <f>ABS(lmsi_v1_v2_comparison[[#This Row],[score_change]])</f>
        <v>0.15</v>
      </c>
      <c r="H376" t="str">
        <f>IF(lmsi_v1_v2_comparison[[#This Row],[score_change]]&gt;0, "v2 Higher","v2 Lower")</f>
        <v>v2 Higher</v>
      </c>
    </row>
    <row r="377" spans="1:8" x14ac:dyDescent="0.2">
      <c r="A377" t="s">
        <v>36</v>
      </c>
      <c r="B377" t="s">
        <v>16</v>
      </c>
      <c r="C377" t="s">
        <v>12</v>
      </c>
      <c r="D377">
        <v>20.350000000000001</v>
      </c>
      <c r="E377">
        <v>20.12</v>
      </c>
      <c r="F377">
        <v>-0.23</v>
      </c>
      <c r="G377">
        <f>ABS(lmsi_v1_v2_comparison[[#This Row],[score_change]])</f>
        <v>0.23</v>
      </c>
      <c r="H377" t="str">
        <f>IF(lmsi_v1_v2_comparison[[#This Row],[score_change]]&gt;0, "v2 Higher","v2 Lower")</f>
        <v>v2 Lower</v>
      </c>
    </row>
    <row r="378" spans="1:8" x14ac:dyDescent="0.2">
      <c r="A378" t="s">
        <v>36</v>
      </c>
      <c r="B378" t="s">
        <v>16</v>
      </c>
      <c r="C378" t="s">
        <v>13</v>
      </c>
      <c r="D378">
        <v>19.04</v>
      </c>
      <c r="E378">
        <v>18.239999999999998</v>
      </c>
      <c r="F378">
        <v>-0.8</v>
      </c>
      <c r="G378">
        <f>ABS(lmsi_v1_v2_comparison[[#This Row],[score_change]])</f>
        <v>0.8</v>
      </c>
      <c r="H378" t="str">
        <f>IF(lmsi_v1_v2_comparison[[#This Row],[score_change]]&gt;0, "v2 Higher","v2 Lower")</f>
        <v>v2 Lower</v>
      </c>
    </row>
    <row r="379" spans="1:8" x14ac:dyDescent="0.2">
      <c r="A379" t="s">
        <v>36</v>
      </c>
      <c r="B379" t="s">
        <v>16</v>
      </c>
      <c r="C379" t="s">
        <v>14</v>
      </c>
      <c r="D379">
        <v>21.24</v>
      </c>
      <c r="E379">
        <v>20.75</v>
      </c>
      <c r="F379">
        <v>-0.49</v>
      </c>
      <c r="G379">
        <f>ABS(lmsi_v1_v2_comparison[[#This Row],[score_change]])</f>
        <v>0.49</v>
      </c>
      <c r="H379" t="str">
        <f>IF(lmsi_v1_v2_comparison[[#This Row],[score_change]]&gt;0, "v2 Higher","v2 Lower")</f>
        <v>v2 Lower</v>
      </c>
    </row>
    <row r="380" spans="1:8" x14ac:dyDescent="0.2">
      <c r="A380" t="s">
        <v>37</v>
      </c>
      <c r="B380" t="s">
        <v>8</v>
      </c>
      <c r="C380" t="s">
        <v>9</v>
      </c>
      <c r="D380">
        <v>21.39</v>
      </c>
      <c r="E380">
        <v>19.149999999999999</v>
      </c>
      <c r="F380">
        <v>-2.2400000000000002</v>
      </c>
      <c r="G380">
        <f>ABS(lmsi_v1_v2_comparison[[#This Row],[score_change]])</f>
        <v>2.2400000000000002</v>
      </c>
      <c r="H380" t="str">
        <f>IF(lmsi_v1_v2_comparison[[#This Row],[score_change]]&gt;0, "v2 Higher","v2 Lower")</f>
        <v>v2 Lower</v>
      </c>
    </row>
    <row r="381" spans="1:8" x14ac:dyDescent="0.2">
      <c r="A381" t="s">
        <v>37</v>
      </c>
      <c r="B381" t="s">
        <v>8</v>
      </c>
      <c r="C381" t="s">
        <v>10</v>
      </c>
      <c r="D381">
        <v>14.04</v>
      </c>
      <c r="E381">
        <v>13.76</v>
      </c>
      <c r="F381">
        <v>-0.28000000000000003</v>
      </c>
      <c r="G381">
        <f>ABS(lmsi_v1_v2_comparison[[#This Row],[score_change]])</f>
        <v>0.28000000000000003</v>
      </c>
      <c r="H381" t="str">
        <f>IF(lmsi_v1_v2_comparison[[#This Row],[score_change]]&gt;0, "v2 Higher","v2 Lower")</f>
        <v>v2 Lower</v>
      </c>
    </row>
    <row r="382" spans="1:8" x14ac:dyDescent="0.2">
      <c r="A382" t="s">
        <v>37</v>
      </c>
      <c r="B382" t="s">
        <v>8</v>
      </c>
      <c r="C382" t="s">
        <v>11</v>
      </c>
      <c r="D382">
        <v>15.33</v>
      </c>
      <c r="E382">
        <v>15.18</v>
      </c>
      <c r="F382">
        <v>-0.15</v>
      </c>
      <c r="G382">
        <f>ABS(lmsi_v1_v2_comparison[[#This Row],[score_change]])</f>
        <v>0.15</v>
      </c>
      <c r="H382" t="str">
        <f>IF(lmsi_v1_v2_comparison[[#This Row],[score_change]]&gt;0, "v2 Higher","v2 Lower")</f>
        <v>v2 Lower</v>
      </c>
    </row>
    <row r="383" spans="1:8" x14ac:dyDescent="0.2">
      <c r="A383" t="s">
        <v>37</v>
      </c>
      <c r="B383" t="s">
        <v>8</v>
      </c>
      <c r="C383" t="s">
        <v>12</v>
      </c>
      <c r="D383">
        <v>17.899999999999999</v>
      </c>
      <c r="E383">
        <v>18.28</v>
      </c>
      <c r="F383">
        <v>0.38</v>
      </c>
      <c r="G383">
        <f>ABS(lmsi_v1_v2_comparison[[#This Row],[score_change]])</f>
        <v>0.38</v>
      </c>
      <c r="H383" t="str">
        <f>IF(lmsi_v1_v2_comparison[[#This Row],[score_change]]&gt;0, "v2 Higher","v2 Lower")</f>
        <v>v2 Higher</v>
      </c>
    </row>
    <row r="384" spans="1:8" x14ac:dyDescent="0.2">
      <c r="A384" t="s">
        <v>37</v>
      </c>
      <c r="B384" t="s">
        <v>8</v>
      </c>
      <c r="C384" t="s">
        <v>13</v>
      </c>
      <c r="D384">
        <v>18.16</v>
      </c>
      <c r="E384">
        <v>17.440000000000001</v>
      </c>
      <c r="F384">
        <v>-0.72</v>
      </c>
      <c r="G384">
        <f>ABS(lmsi_v1_v2_comparison[[#This Row],[score_change]])</f>
        <v>0.72</v>
      </c>
      <c r="H384" t="str">
        <f>IF(lmsi_v1_v2_comparison[[#This Row],[score_change]]&gt;0, "v2 Higher","v2 Lower")</f>
        <v>v2 Lower</v>
      </c>
    </row>
    <row r="385" spans="1:8" x14ac:dyDescent="0.2">
      <c r="A385" t="s">
        <v>37</v>
      </c>
      <c r="B385" t="s">
        <v>8</v>
      </c>
      <c r="C385" t="s">
        <v>14</v>
      </c>
      <c r="D385">
        <v>15.02</v>
      </c>
      <c r="E385">
        <v>15.89</v>
      </c>
      <c r="F385">
        <v>0.87</v>
      </c>
      <c r="G385">
        <f>ABS(lmsi_v1_v2_comparison[[#This Row],[score_change]])</f>
        <v>0.87</v>
      </c>
      <c r="H385" t="str">
        <f>IF(lmsi_v1_v2_comparison[[#This Row],[score_change]]&gt;0, "v2 Higher","v2 Lower")</f>
        <v>v2 Higher</v>
      </c>
    </row>
    <row r="386" spans="1:8" x14ac:dyDescent="0.2">
      <c r="A386" t="s">
        <v>37</v>
      </c>
      <c r="B386" t="s">
        <v>15</v>
      </c>
      <c r="C386" t="s">
        <v>9</v>
      </c>
      <c r="D386">
        <v>25.38</v>
      </c>
      <c r="E386">
        <v>23.06</v>
      </c>
      <c r="F386">
        <v>-2.3199999999999998</v>
      </c>
      <c r="G386">
        <f>ABS(lmsi_v1_v2_comparison[[#This Row],[score_change]])</f>
        <v>2.3199999999999998</v>
      </c>
      <c r="H386" t="str">
        <f>IF(lmsi_v1_v2_comparison[[#This Row],[score_change]]&gt;0, "v2 Higher","v2 Lower")</f>
        <v>v2 Lower</v>
      </c>
    </row>
    <row r="387" spans="1:8" x14ac:dyDescent="0.2">
      <c r="A387" t="s">
        <v>37</v>
      </c>
      <c r="B387" t="s">
        <v>15</v>
      </c>
      <c r="C387" t="s">
        <v>10</v>
      </c>
      <c r="D387">
        <v>16.77</v>
      </c>
      <c r="E387">
        <v>15.66</v>
      </c>
      <c r="F387">
        <v>-1.1100000000000001</v>
      </c>
      <c r="G387">
        <f>ABS(lmsi_v1_v2_comparison[[#This Row],[score_change]])</f>
        <v>1.1100000000000001</v>
      </c>
      <c r="H387" t="str">
        <f>IF(lmsi_v1_v2_comparison[[#This Row],[score_change]]&gt;0, "v2 Higher","v2 Lower")</f>
        <v>v2 Lower</v>
      </c>
    </row>
    <row r="388" spans="1:8" x14ac:dyDescent="0.2">
      <c r="A388" t="s">
        <v>37</v>
      </c>
      <c r="B388" t="s">
        <v>15</v>
      </c>
      <c r="C388" t="s">
        <v>11</v>
      </c>
      <c r="D388">
        <v>16.440000000000001</v>
      </c>
      <c r="E388">
        <v>16.23</v>
      </c>
      <c r="F388">
        <v>-0.21</v>
      </c>
      <c r="G388">
        <f>ABS(lmsi_v1_v2_comparison[[#This Row],[score_change]])</f>
        <v>0.21</v>
      </c>
      <c r="H388" t="str">
        <f>IF(lmsi_v1_v2_comparison[[#This Row],[score_change]]&gt;0, "v2 Higher","v2 Lower")</f>
        <v>v2 Lower</v>
      </c>
    </row>
    <row r="389" spans="1:8" x14ac:dyDescent="0.2">
      <c r="A389" t="s">
        <v>37</v>
      </c>
      <c r="B389" t="s">
        <v>15</v>
      </c>
      <c r="C389" t="s">
        <v>12</v>
      </c>
      <c r="D389">
        <v>21.43</v>
      </c>
      <c r="E389">
        <v>21.18</v>
      </c>
      <c r="F389">
        <v>-0.25</v>
      </c>
      <c r="G389">
        <f>ABS(lmsi_v1_v2_comparison[[#This Row],[score_change]])</f>
        <v>0.25</v>
      </c>
      <c r="H389" t="str">
        <f>IF(lmsi_v1_v2_comparison[[#This Row],[score_change]]&gt;0, "v2 Higher","v2 Lower")</f>
        <v>v2 Lower</v>
      </c>
    </row>
    <row r="390" spans="1:8" x14ac:dyDescent="0.2">
      <c r="A390" t="s">
        <v>37</v>
      </c>
      <c r="B390" t="s">
        <v>15</v>
      </c>
      <c r="C390" t="s">
        <v>13</v>
      </c>
      <c r="D390">
        <v>22.23</v>
      </c>
      <c r="E390">
        <v>20.34</v>
      </c>
      <c r="F390">
        <v>-1.89</v>
      </c>
      <c r="G390">
        <f>ABS(lmsi_v1_v2_comparison[[#This Row],[score_change]])</f>
        <v>1.89</v>
      </c>
      <c r="H390" t="str">
        <f>IF(lmsi_v1_v2_comparison[[#This Row],[score_change]]&gt;0, "v2 Higher","v2 Lower")</f>
        <v>v2 Lower</v>
      </c>
    </row>
    <row r="391" spans="1:8" x14ac:dyDescent="0.2">
      <c r="A391" t="s">
        <v>37</v>
      </c>
      <c r="B391" t="s">
        <v>15</v>
      </c>
      <c r="C391" t="s">
        <v>14</v>
      </c>
      <c r="D391">
        <v>22.63</v>
      </c>
      <c r="E391">
        <v>25.04</v>
      </c>
      <c r="F391">
        <v>2.41</v>
      </c>
      <c r="G391">
        <f>ABS(lmsi_v1_v2_comparison[[#This Row],[score_change]])</f>
        <v>2.41</v>
      </c>
      <c r="H391" t="str">
        <f>IF(lmsi_v1_v2_comparison[[#This Row],[score_change]]&gt;0, "v2 Higher","v2 Lower")</f>
        <v>v2 Higher</v>
      </c>
    </row>
    <row r="392" spans="1:8" x14ac:dyDescent="0.2">
      <c r="A392" t="s">
        <v>37</v>
      </c>
      <c r="B392" t="s">
        <v>16</v>
      </c>
      <c r="C392" t="s">
        <v>9</v>
      </c>
      <c r="D392">
        <v>23.56</v>
      </c>
      <c r="E392">
        <v>21.12</v>
      </c>
      <c r="F392">
        <v>-2.44</v>
      </c>
      <c r="G392">
        <f>ABS(lmsi_v1_v2_comparison[[#This Row],[score_change]])</f>
        <v>2.44</v>
      </c>
      <c r="H392" t="str">
        <f>IF(lmsi_v1_v2_comparison[[#This Row],[score_change]]&gt;0, "v2 Higher","v2 Lower")</f>
        <v>v2 Lower</v>
      </c>
    </row>
    <row r="393" spans="1:8" x14ac:dyDescent="0.2">
      <c r="A393" t="s">
        <v>37</v>
      </c>
      <c r="B393" t="s">
        <v>16</v>
      </c>
      <c r="C393" t="s">
        <v>10</v>
      </c>
      <c r="D393">
        <v>15.6</v>
      </c>
      <c r="E393">
        <v>15.59</v>
      </c>
      <c r="F393">
        <v>-0.01</v>
      </c>
      <c r="G393">
        <f>ABS(lmsi_v1_v2_comparison[[#This Row],[score_change]])</f>
        <v>0.01</v>
      </c>
      <c r="H393" t="str">
        <f>IF(lmsi_v1_v2_comparison[[#This Row],[score_change]]&gt;0, "v2 Higher","v2 Lower")</f>
        <v>v2 Lower</v>
      </c>
    </row>
    <row r="394" spans="1:8" x14ac:dyDescent="0.2">
      <c r="A394" t="s">
        <v>37</v>
      </c>
      <c r="B394" t="s">
        <v>16</v>
      </c>
      <c r="C394" t="s">
        <v>11</v>
      </c>
      <c r="D394">
        <v>15.68</v>
      </c>
      <c r="E394">
        <v>15.52</v>
      </c>
      <c r="F394">
        <v>-0.16</v>
      </c>
      <c r="G394">
        <f>ABS(lmsi_v1_v2_comparison[[#This Row],[score_change]])</f>
        <v>0.16</v>
      </c>
      <c r="H394" t="str">
        <f>IF(lmsi_v1_v2_comparison[[#This Row],[score_change]]&gt;0, "v2 Higher","v2 Lower")</f>
        <v>v2 Lower</v>
      </c>
    </row>
    <row r="395" spans="1:8" x14ac:dyDescent="0.2">
      <c r="A395" t="s">
        <v>37</v>
      </c>
      <c r="B395" t="s">
        <v>16</v>
      </c>
      <c r="C395" t="s">
        <v>12</v>
      </c>
      <c r="D395">
        <v>19.489999999999998</v>
      </c>
      <c r="E395">
        <v>20.23</v>
      </c>
      <c r="F395">
        <v>0.74</v>
      </c>
      <c r="G395">
        <f>ABS(lmsi_v1_v2_comparison[[#This Row],[score_change]])</f>
        <v>0.74</v>
      </c>
      <c r="H395" t="str">
        <f>IF(lmsi_v1_v2_comparison[[#This Row],[score_change]]&gt;0, "v2 Higher","v2 Lower")</f>
        <v>v2 Higher</v>
      </c>
    </row>
    <row r="396" spans="1:8" x14ac:dyDescent="0.2">
      <c r="A396" t="s">
        <v>37</v>
      </c>
      <c r="B396" t="s">
        <v>16</v>
      </c>
      <c r="C396" t="s">
        <v>13</v>
      </c>
      <c r="D396">
        <v>18.079999999999998</v>
      </c>
      <c r="E396">
        <v>17.47</v>
      </c>
      <c r="F396">
        <v>-0.61</v>
      </c>
      <c r="G396">
        <f>ABS(lmsi_v1_v2_comparison[[#This Row],[score_change]])</f>
        <v>0.61</v>
      </c>
      <c r="H396" t="str">
        <f>IF(lmsi_v1_v2_comparison[[#This Row],[score_change]]&gt;0, "v2 Higher","v2 Lower")</f>
        <v>v2 Lower</v>
      </c>
    </row>
    <row r="397" spans="1:8" x14ac:dyDescent="0.2">
      <c r="A397" t="s">
        <v>37</v>
      </c>
      <c r="B397" t="s">
        <v>16</v>
      </c>
      <c r="C397" t="s">
        <v>14</v>
      </c>
      <c r="D397">
        <v>16.649999999999999</v>
      </c>
      <c r="E397">
        <v>17.82</v>
      </c>
      <c r="F397">
        <v>1.17</v>
      </c>
      <c r="G397">
        <f>ABS(lmsi_v1_v2_comparison[[#This Row],[score_change]])</f>
        <v>1.17</v>
      </c>
      <c r="H397" t="str">
        <f>IF(lmsi_v1_v2_comparison[[#This Row],[score_change]]&gt;0, "v2 Higher","v2 Lower")</f>
        <v>v2 Higher</v>
      </c>
    </row>
    <row r="398" spans="1:8" x14ac:dyDescent="0.2">
      <c r="A398" t="s">
        <v>38</v>
      </c>
      <c r="B398" t="s">
        <v>8</v>
      </c>
      <c r="C398" t="s">
        <v>9</v>
      </c>
      <c r="D398">
        <v>22.06</v>
      </c>
      <c r="E398">
        <v>19.95</v>
      </c>
      <c r="F398">
        <v>-2.11</v>
      </c>
      <c r="G398">
        <f>ABS(lmsi_v1_v2_comparison[[#This Row],[score_change]])</f>
        <v>2.11</v>
      </c>
      <c r="H398" t="str">
        <f>IF(lmsi_v1_v2_comparison[[#This Row],[score_change]]&gt;0, "v2 Higher","v2 Lower")</f>
        <v>v2 Lower</v>
      </c>
    </row>
    <row r="399" spans="1:8" x14ac:dyDescent="0.2">
      <c r="A399" t="s">
        <v>38</v>
      </c>
      <c r="B399" t="s">
        <v>8</v>
      </c>
      <c r="C399" t="s">
        <v>10</v>
      </c>
      <c r="D399">
        <v>12.88</v>
      </c>
      <c r="E399">
        <v>13.54</v>
      </c>
      <c r="F399">
        <v>0.66</v>
      </c>
      <c r="G399">
        <f>ABS(lmsi_v1_v2_comparison[[#This Row],[score_change]])</f>
        <v>0.66</v>
      </c>
      <c r="H399" t="str">
        <f>IF(lmsi_v1_v2_comparison[[#This Row],[score_change]]&gt;0, "v2 Higher","v2 Lower")</f>
        <v>v2 Higher</v>
      </c>
    </row>
    <row r="400" spans="1:8" x14ac:dyDescent="0.2">
      <c r="A400" t="s">
        <v>38</v>
      </c>
      <c r="B400" t="s">
        <v>8</v>
      </c>
      <c r="C400" t="s">
        <v>11</v>
      </c>
      <c r="D400">
        <v>14.77</v>
      </c>
      <c r="E400">
        <v>15.33</v>
      </c>
      <c r="F400">
        <v>0.56000000000000005</v>
      </c>
      <c r="G400">
        <f>ABS(lmsi_v1_v2_comparison[[#This Row],[score_change]])</f>
        <v>0.56000000000000005</v>
      </c>
      <c r="H400" t="str">
        <f>IF(lmsi_v1_v2_comparison[[#This Row],[score_change]]&gt;0, "v2 Higher","v2 Lower")</f>
        <v>v2 Higher</v>
      </c>
    </row>
    <row r="401" spans="1:8" x14ac:dyDescent="0.2">
      <c r="A401" t="s">
        <v>38</v>
      </c>
      <c r="B401" t="s">
        <v>8</v>
      </c>
      <c r="C401" t="s">
        <v>12</v>
      </c>
      <c r="D401">
        <v>17.22</v>
      </c>
      <c r="E401">
        <v>17.95</v>
      </c>
      <c r="F401">
        <v>0.73</v>
      </c>
      <c r="G401">
        <f>ABS(lmsi_v1_v2_comparison[[#This Row],[score_change]])</f>
        <v>0.73</v>
      </c>
      <c r="H401" t="str">
        <f>IF(lmsi_v1_v2_comparison[[#This Row],[score_change]]&gt;0, "v2 Higher","v2 Lower")</f>
        <v>v2 Higher</v>
      </c>
    </row>
    <row r="402" spans="1:8" x14ac:dyDescent="0.2">
      <c r="A402" t="s">
        <v>38</v>
      </c>
      <c r="B402" t="s">
        <v>8</v>
      </c>
      <c r="C402" t="s">
        <v>13</v>
      </c>
      <c r="D402">
        <v>19.2</v>
      </c>
      <c r="E402">
        <v>18.62</v>
      </c>
      <c r="F402">
        <v>-0.57999999999999996</v>
      </c>
      <c r="G402">
        <f>ABS(lmsi_v1_v2_comparison[[#This Row],[score_change]])</f>
        <v>0.57999999999999996</v>
      </c>
      <c r="H402" t="str">
        <f>IF(lmsi_v1_v2_comparison[[#This Row],[score_change]]&gt;0, "v2 Higher","v2 Lower")</f>
        <v>v2 Lower</v>
      </c>
    </row>
    <row r="403" spans="1:8" x14ac:dyDescent="0.2">
      <c r="A403" t="s">
        <v>38</v>
      </c>
      <c r="B403" t="s">
        <v>8</v>
      </c>
      <c r="C403" t="s">
        <v>14</v>
      </c>
      <c r="D403">
        <v>14.73</v>
      </c>
      <c r="E403">
        <v>16.07</v>
      </c>
      <c r="F403">
        <v>1.34</v>
      </c>
      <c r="G403">
        <f>ABS(lmsi_v1_v2_comparison[[#This Row],[score_change]])</f>
        <v>1.34</v>
      </c>
      <c r="H403" t="str">
        <f>IF(lmsi_v1_v2_comparison[[#This Row],[score_change]]&gt;0, "v2 Higher","v2 Lower")</f>
        <v>v2 Higher</v>
      </c>
    </row>
    <row r="404" spans="1:8" x14ac:dyDescent="0.2">
      <c r="A404" t="s">
        <v>38</v>
      </c>
      <c r="B404" t="s">
        <v>15</v>
      </c>
      <c r="C404" t="s">
        <v>9</v>
      </c>
      <c r="D404">
        <v>25.88</v>
      </c>
      <c r="E404">
        <v>22.79</v>
      </c>
      <c r="F404">
        <v>-3.09</v>
      </c>
      <c r="G404">
        <f>ABS(lmsi_v1_v2_comparison[[#This Row],[score_change]])</f>
        <v>3.09</v>
      </c>
      <c r="H404" t="str">
        <f>IF(lmsi_v1_v2_comparison[[#This Row],[score_change]]&gt;0, "v2 Higher","v2 Lower")</f>
        <v>v2 Lower</v>
      </c>
    </row>
    <row r="405" spans="1:8" x14ac:dyDescent="0.2">
      <c r="A405" t="s">
        <v>38</v>
      </c>
      <c r="B405" t="s">
        <v>15</v>
      </c>
      <c r="C405" t="s">
        <v>10</v>
      </c>
      <c r="D405">
        <v>16.22</v>
      </c>
      <c r="E405">
        <v>15.93</v>
      </c>
      <c r="F405">
        <v>-0.28999999999999998</v>
      </c>
      <c r="G405">
        <f>ABS(lmsi_v1_v2_comparison[[#This Row],[score_change]])</f>
        <v>0.28999999999999998</v>
      </c>
      <c r="H405" t="str">
        <f>IF(lmsi_v1_v2_comparison[[#This Row],[score_change]]&gt;0, "v2 Higher","v2 Lower")</f>
        <v>v2 Lower</v>
      </c>
    </row>
    <row r="406" spans="1:8" x14ac:dyDescent="0.2">
      <c r="A406" t="s">
        <v>38</v>
      </c>
      <c r="B406" t="s">
        <v>15</v>
      </c>
      <c r="C406" t="s">
        <v>11</v>
      </c>
      <c r="D406">
        <v>15.82</v>
      </c>
      <c r="E406">
        <v>16.440000000000001</v>
      </c>
      <c r="F406">
        <v>0.62</v>
      </c>
      <c r="G406">
        <f>ABS(lmsi_v1_v2_comparison[[#This Row],[score_change]])</f>
        <v>0.62</v>
      </c>
      <c r="H406" t="str">
        <f>IF(lmsi_v1_v2_comparison[[#This Row],[score_change]]&gt;0, "v2 Higher","v2 Lower")</f>
        <v>v2 Higher</v>
      </c>
    </row>
    <row r="407" spans="1:8" x14ac:dyDescent="0.2">
      <c r="A407" t="s">
        <v>38</v>
      </c>
      <c r="B407" t="s">
        <v>15</v>
      </c>
      <c r="C407" t="s">
        <v>12</v>
      </c>
      <c r="D407">
        <v>20.36</v>
      </c>
      <c r="E407">
        <v>23.46</v>
      </c>
      <c r="F407">
        <v>3.1</v>
      </c>
      <c r="G407">
        <f>ABS(lmsi_v1_v2_comparison[[#This Row],[score_change]])</f>
        <v>3.1</v>
      </c>
      <c r="H407" t="str">
        <f>IF(lmsi_v1_v2_comparison[[#This Row],[score_change]]&gt;0, "v2 Higher","v2 Lower")</f>
        <v>v2 Higher</v>
      </c>
    </row>
    <row r="408" spans="1:8" x14ac:dyDescent="0.2">
      <c r="A408" t="s">
        <v>38</v>
      </c>
      <c r="B408" t="s">
        <v>15</v>
      </c>
      <c r="C408" t="s">
        <v>13</v>
      </c>
      <c r="D408">
        <v>22.75</v>
      </c>
      <c r="E408">
        <v>20.82</v>
      </c>
      <c r="F408">
        <v>-1.93</v>
      </c>
      <c r="G408">
        <f>ABS(lmsi_v1_v2_comparison[[#This Row],[score_change]])</f>
        <v>1.93</v>
      </c>
      <c r="H408" t="str">
        <f>IF(lmsi_v1_v2_comparison[[#This Row],[score_change]]&gt;0, "v2 Higher","v2 Lower")</f>
        <v>v2 Lower</v>
      </c>
    </row>
    <row r="409" spans="1:8" x14ac:dyDescent="0.2">
      <c r="A409" t="s">
        <v>38</v>
      </c>
      <c r="B409" t="s">
        <v>15</v>
      </c>
      <c r="C409" t="s">
        <v>14</v>
      </c>
      <c r="D409">
        <v>21.58</v>
      </c>
      <c r="E409">
        <v>22.91</v>
      </c>
      <c r="F409">
        <v>1.33</v>
      </c>
      <c r="G409">
        <f>ABS(lmsi_v1_v2_comparison[[#This Row],[score_change]])</f>
        <v>1.33</v>
      </c>
      <c r="H409" t="str">
        <f>IF(lmsi_v1_v2_comparison[[#This Row],[score_change]]&gt;0, "v2 Higher","v2 Lower")</f>
        <v>v2 Higher</v>
      </c>
    </row>
    <row r="410" spans="1:8" x14ac:dyDescent="0.2">
      <c r="A410" t="s">
        <v>38</v>
      </c>
      <c r="B410" t="s">
        <v>16</v>
      </c>
      <c r="C410" t="s">
        <v>9</v>
      </c>
      <c r="D410">
        <v>24.06</v>
      </c>
      <c r="E410">
        <v>21.28</v>
      </c>
      <c r="F410">
        <v>-2.78</v>
      </c>
      <c r="G410">
        <f>ABS(lmsi_v1_v2_comparison[[#This Row],[score_change]])</f>
        <v>2.78</v>
      </c>
      <c r="H410" t="str">
        <f>IF(lmsi_v1_v2_comparison[[#This Row],[score_change]]&gt;0, "v2 Higher","v2 Lower")</f>
        <v>v2 Lower</v>
      </c>
    </row>
    <row r="411" spans="1:8" x14ac:dyDescent="0.2">
      <c r="A411" t="s">
        <v>38</v>
      </c>
      <c r="B411" t="s">
        <v>16</v>
      </c>
      <c r="C411" t="s">
        <v>10</v>
      </c>
      <c r="D411">
        <v>14.5</v>
      </c>
      <c r="E411">
        <v>15.08</v>
      </c>
      <c r="F411">
        <v>0.57999999999999996</v>
      </c>
      <c r="G411">
        <f>ABS(lmsi_v1_v2_comparison[[#This Row],[score_change]])</f>
        <v>0.57999999999999996</v>
      </c>
      <c r="H411" t="str">
        <f>IF(lmsi_v1_v2_comparison[[#This Row],[score_change]]&gt;0, "v2 Higher","v2 Lower")</f>
        <v>v2 Higher</v>
      </c>
    </row>
    <row r="412" spans="1:8" x14ac:dyDescent="0.2">
      <c r="A412" t="s">
        <v>38</v>
      </c>
      <c r="B412" t="s">
        <v>16</v>
      </c>
      <c r="C412" t="s">
        <v>11</v>
      </c>
      <c r="D412">
        <v>15.14</v>
      </c>
      <c r="E412">
        <v>14.97</v>
      </c>
      <c r="F412">
        <v>-0.17</v>
      </c>
      <c r="G412">
        <f>ABS(lmsi_v1_v2_comparison[[#This Row],[score_change]])</f>
        <v>0.17</v>
      </c>
      <c r="H412" t="str">
        <f>IF(lmsi_v1_v2_comparison[[#This Row],[score_change]]&gt;0, "v2 Higher","v2 Lower")</f>
        <v>v2 Lower</v>
      </c>
    </row>
    <row r="413" spans="1:8" x14ac:dyDescent="0.2">
      <c r="A413" t="s">
        <v>38</v>
      </c>
      <c r="B413" t="s">
        <v>16</v>
      </c>
      <c r="C413" t="s">
        <v>12</v>
      </c>
      <c r="D413">
        <v>18.95</v>
      </c>
      <c r="E413">
        <v>19.54</v>
      </c>
      <c r="F413">
        <v>0.59</v>
      </c>
      <c r="G413">
        <f>ABS(lmsi_v1_v2_comparison[[#This Row],[score_change]])</f>
        <v>0.59</v>
      </c>
      <c r="H413" t="str">
        <f>IF(lmsi_v1_v2_comparison[[#This Row],[score_change]]&gt;0, "v2 Higher","v2 Lower")</f>
        <v>v2 Higher</v>
      </c>
    </row>
    <row r="414" spans="1:8" x14ac:dyDescent="0.2">
      <c r="A414" t="s">
        <v>38</v>
      </c>
      <c r="B414" t="s">
        <v>16</v>
      </c>
      <c r="C414" t="s">
        <v>13</v>
      </c>
      <c r="D414">
        <v>18.66</v>
      </c>
      <c r="E414">
        <v>18.190000000000001</v>
      </c>
      <c r="F414">
        <v>-0.47</v>
      </c>
      <c r="G414">
        <f>ABS(lmsi_v1_v2_comparison[[#This Row],[score_change]])</f>
        <v>0.47</v>
      </c>
      <c r="H414" t="str">
        <f>IF(lmsi_v1_v2_comparison[[#This Row],[score_change]]&gt;0, "v2 Higher","v2 Lower")</f>
        <v>v2 Lower</v>
      </c>
    </row>
    <row r="415" spans="1:8" x14ac:dyDescent="0.2">
      <c r="A415" t="s">
        <v>38</v>
      </c>
      <c r="B415" t="s">
        <v>16</v>
      </c>
      <c r="C415" t="s">
        <v>14</v>
      </c>
      <c r="D415">
        <v>16.850000000000001</v>
      </c>
      <c r="E415">
        <v>17.579999999999998</v>
      </c>
      <c r="F415">
        <v>0.73</v>
      </c>
      <c r="G415">
        <f>ABS(lmsi_v1_v2_comparison[[#This Row],[score_change]])</f>
        <v>0.73</v>
      </c>
      <c r="H415" t="str">
        <f>IF(lmsi_v1_v2_comparison[[#This Row],[score_change]]&gt;0, "v2 Higher","v2 Lower")</f>
        <v>v2 Higher</v>
      </c>
    </row>
    <row r="416" spans="1:8" x14ac:dyDescent="0.2">
      <c r="A416" t="s">
        <v>39</v>
      </c>
      <c r="B416" t="s">
        <v>8</v>
      </c>
      <c r="C416" t="s">
        <v>9</v>
      </c>
      <c r="D416">
        <v>22.37</v>
      </c>
      <c r="E416">
        <v>20.71</v>
      </c>
      <c r="F416">
        <v>-1.66</v>
      </c>
      <c r="G416">
        <f>ABS(lmsi_v1_v2_comparison[[#This Row],[score_change]])</f>
        <v>1.66</v>
      </c>
      <c r="H416" t="str">
        <f>IF(lmsi_v1_v2_comparison[[#This Row],[score_change]]&gt;0, "v2 Higher","v2 Lower")</f>
        <v>v2 Lower</v>
      </c>
    </row>
    <row r="417" spans="1:8" x14ac:dyDescent="0.2">
      <c r="A417" t="s">
        <v>39</v>
      </c>
      <c r="B417" t="s">
        <v>8</v>
      </c>
      <c r="C417" t="s">
        <v>10</v>
      </c>
      <c r="D417">
        <v>11.71</v>
      </c>
      <c r="E417">
        <v>11.8</v>
      </c>
      <c r="F417">
        <v>0.09</v>
      </c>
      <c r="G417">
        <f>ABS(lmsi_v1_v2_comparison[[#This Row],[score_change]])</f>
        <v>0.09</v>
      </c>
      <c r="H417" t="str">
        <f>IF(lmsi_v1_v2_comparison[[#This Row],[score_change]]&gt;0, "v2 Higher","v2 Lower")</f>
        <v>v2 Higher</v>
      </c>
    </row>
    <row r="418" spans="1:8" x14ac:dyDescent="0.2">
      <c r="A418" t="s">
        <v>39</v>
      </c>
      <c r="B418" t="s">
        <v>8</v>
      </c>
      <c r="C418" t="s">
        <v>11</v>
      </c>
      <c r="D418">
        <v>16.88</v>
      </c>
      <c r="E418">
        <v>17.399999999999999</v>
      </c>
      <c r="F418">
        <v>0.52</v>
      </c>
      <c r="G418">
        <f>ABS(lmsi_v1_v2_comparison[[#This Row],[score_change]])</f>
        <v>0.52</v>
      </c>
      <c r="H418" t="str">
        <f>IF(lmsi_v1_v2_comparison[[#This Row],[score_change]]&gt;0, "v2 Higher","v2 Lower")</f>
        <v>v2 Higher</v>
      </c>
    </row>
    <row r="419" spans="1:8" x14ac:dyDescent="0.2">
      <c r="A419" t="s">
        <v>39</v>
      </c>
      <c r="B419" t="s">
        <v>8</v>
      </c>
      <c r="C419" t="s">
        <v>12</v>
      </c>
      <c r="D419">
        <v>17.84</v>
      </c>
      <c r="E419">
        <v>17.86</v>
      </c>
      <c r="F419">
        <v>0.02</v>
      </c>
      <c r="G419">
        <f>ABS(lmsi_v1_v2_comparison[[#This Row],[score_change]])</f>
        <v>0.02</v>
      </c>
      <c r="H419" t="str">
        <f>IF(lmsi_v1_v2_comparison[[#This Row],[score_change]]&gt;0, "v2 Higher","v2 Lower")</f>
        <v>v2 Higher</v>
      </c>
    </row>
    <row r="420" spans="1:8" x14ac:dyDescent="0.2">
      <c r="A420" t="s">
        <v>39</v>
      </c>
      <c r="B420" t="s">
        <v>8</v>
      </c>
      <c r="C420" t="s">
        <v>13</v>
      </c>
      <c r="D420">
        <v>16.739999999999998</v>
      </c>
      <c r="E420">
        <v>16.48</v>
      </c>
      <c r="F420">
        <v>-0.26</v>
      </c>
      <c r="G420">
        <f>ABS(lmsi_v1_v2_comparison[[#This Row],[score_change]])</f>
        <v>0.26</v>
      </c>
      <c r="H420" t="str">
        <f>IF(lmsi_v1_v2_comparison[[#This Row],[score_change]]&gt;0, "v2 Higher","v2 Lower")</f>
        <v>v2 Lower</v>
      </c>
    </row>
    <row r="421" spans="1:8" x14ac:dyDescent="0.2">
      <c r="A421" t="s">
        <v>39</v>
      </c>
      <c r="B421" t="s">
        <v>8</v>
      </c>
      <c r="C421" t="s">
        <v>14</v>
      </c>
      <c r="D421">
        <v>14.4</v>
      </c>
      <c r="E421">
        <v>18.059999999999999</v>
      </c>
      <c r="F421">
        <v>3.66</v>
      </c>
      <c r="G421">
        <f>ABS(lmsi_v1_v2_comparison[[#This Row],[score_change]])</f>
        <v>3.66</v>
      </c>
      <c r="H421" t="str">
        <f>IF(lmsi_v1_v2_comparison[[#This Row],[score_change]]&gt;0, "v2 Higher","v2 Lower")</f>
        <v>v2 Higher</v>
      </c>
    </row>
    <row r="422" spans="1:8" x14ac:dyDescent="0.2">
      <c r="A422" t="s">
        <v>39</v>
      </c>
      <c r="B422" t="s">
        <v>15</v>
      </c>
      <c r="C422" t="s">
        <v>9</v>
      </c>
      <c r="D422">
        <v>29.48</v>
      </c>
      <c r="E422">
        <v>25.35</v>
      </c>
      <c r="F422">
        <v>-4.13</v>
      </c>
      <c r="G422">
        <f>ABS(lmsi_v1_v2_comparison[[#This Row],[score_change]])</f>
        <v>4.13</v>
      </c>
      <c r="H422" t="str">
        <f>IF(lmsi_v1_v2_comparison[[#This Row],[score_change]]&gt;0, "v2 Higher","v2 Lower")</f>
        <v>v2 Lower</v>
      </c>
    </row>
    <row r="423" spans="1:8" x14ac:dyDescent="0.2">
      <c r="A423" t="s">
        <v>39</v>
      </c>
      <c r="B423" t="s">
        <v>15</v>
      </c>
      <c r="C423" t="s">
        <v>10</v>
      </c>
      <c r="D423">
        <v>14.61</v>
      </c>
      <c r="E423">
        <v>14.13</v>
      </c>
      <c r="F423">
        <v>-0.48</v>
      </c>
      <c r="G423">
        <f>ABS(lmsi_v1_v2_comparison[[#This Row],[score_change]])</f>
        <v>0.48</v>
      </c>
      <c r="H423" t="str">
        <f>IF(lmsi_v1_v2_comparison[[#This Row],[score_change]]&gt;0, "v2 Higher","v2 Lower")</f>
        <v>v2 Lower</v>
      </c>
    </row>
    <row r="424" spans="1:8" x14ac:dyDescent="0.2">
      <c r="A424" t="s">
        <v>39</v>
      </c>
      <c r="B424" t="s">
        <v>15</v>
      </c>
      <c r="C424" t="s">
        <v>11</v>
      </c>
      <c r="D424">
        <v>18.16</v>
      </c>
      <c r="E424">
        <v>20.53</v>
      </c>
      <c r="F424">
        <v>2.37</v>
      </c>
      <c r="G424">
        <f>ABS(lmsi_v1_v2_comparison[[#This Row],[score_change]])</f>
        <v>2.37</v>
      </c>
      <c r="H424" t="str">
        <f>IF(lmsi_v1_v2_comparison[[#This Row],[score_change]]&gt;0, "v2 Higher","v2 Lower")</f>
        <v>v2 Higher</v>
      </c>
    </row>
    <row r="425" spans="1:8" x14ac:dyDescent="0.2">
      <c r="A425" t="s">
        <v>39</v>
      </c>
      <c r="B425" t="s">
        <v>15</v>
      </c>
      <c r="C425" t="s">
        <v>12</v>
      </c>
      <c r="D425">
        <v>20.87</v>
      </c>
      <c r="E425">
        <v>24.26</v>
      </c>
      <c r="F425">
        <v>3.39</v>
      </c>
      <c r="G425">
        <f>ABS(lmsi_v1_v2_comparison[[#This Row],[score_change]])</f>
        <v>3.39</v>
      </c>
      <c r="H425" t="str">
        <f>IF(lmsi_v1_v2_comparison[[#This Row],[score_change]]&gt;0, "v2 Higher","v2 Lower")</f>
        <v>v2 Higher</v>
      </c>
    </row>
    <row r="426" spans="1:8" x14ac:dyDescent="0.2">
      <c r="A426" t="s">
        <v>39</v>
      </c>
      <c r="B426" t="s">
        <v>15</v>
      </c>
      <c r="C426" t="s">
        <v>13</v>
      </c>
      <c r="D426">
        <v>19.670000000000002</v>
      </c>
      <c r="E426">
        <v>18.32</v>
      </c>
      <c r="F426">
        <v>-1.35</v>
      </c>
      <c r="G426">
        <f>ABS(lmsi_v1_v2_comparison[[#This Row],[score_change]])</f>
        <v>1.35</v>
      </c>
      <c r="H426" t="str">
        <f>IF(lmsi_v1_v2_comparison[[#This Row],[score_change]]&gt;0, "v2 Higher","v2 Lower")</f>
        <v>v2 Lower</v>
      </c>
    </row>
    <row r="427" spans="1:8" x14ac:dyDescent="0.2">
      <c r="A427" t="s">
        <v>39</v>
      </c>
      <c r="B427" t="s">
        <v>15</v>
      </c>
      <c r="C427" t="s">
        <v>14</v>
      </c>
      <c r="D427">
        <v>22.68</v>
      </c>
      <c r="E427">
        <v>23.5</v>
      </c>
      <c r="F427">
        <v>0.82</v>
      </c>
      <c r="G427">
        <f>ABS(lmsi_v1_v2_comparison[[#This Row],[score_change]])</f>
        <v>0.82</v>
      </c>
      <c r="H427" t="str">
        <f>IF(lmsi_v1_v2_comparison[[#This Row],[score_change]]&gt;0, "v2 Higher","v2 Lower")</f>
        <v>v2 Higher</v>
      </c>
    </row>
    <row r="428" spans="1:8" x14ac:dyDescent="0.2">
      <c r="A428" t="s">
        <v>39</v>
      </c>
      <c r="B428" t="s">
        <v>16</v>
      </c>
      <c r="C428" t="s">
        <v>9</v>
      </c>
      <c r="D428">
        <v>25.35</v>
      </c>
      <c r="E428">
        <v>22.37</v>
      </c>
      <c r="F428">
        <v>-2.98</v>
      </c>
      <c r="G428">
        <f>ABS(lmsi_v1_v2_comparison[[#This Row],[score_change]])</f>
        <v>2.98</v>
      </c>
      <c r="H428" t="str">
        <f>IF(lmsi_v1_v2_comparison[[#This Row],[score_change]]&gt;0, "v2 Higher","v2 Lower")</f>
        <v>v2 Lower</v>
      </c>
    </row>
    <row r="429" spans="1:8" x14ac:dyDescent="0.2">
      <c r="A429" t="s">
        <v>39</v>
      </c>
      <c r="B429" t="s">
        <v>16</v>
      </c>
      <c r="C429" t="s">
        <v>10</v>
      </c>
      <c r="D429">
        <v>12.77</v>
      </c>
      <c r="E429">
        <v>12.92</v>
      </c>
      <c r="F429">
        <v>0.15</v>
      </c>
      <c r="G429">
        <f>ABS(lmsi_v1_v2_comparison[[#This Row],[score_change]])</f>
        <v>0.15</v>
      </c>
      <c r="H429" t="str">
        <f>IF(lmsi_v1_v2_comparison[[#This Row],[score_change]]&gt;0, "v2 Higher","v2 Lower")</f>
        <v>v2 Higher</v>
      </c>
    </row>
    <row r="430" spans="1:8" x14ac:dyDescent="0.2">
      <c r="A430" t="s">
        <v>39</v>
      </c>
      <c r="B430" t="s">
        <v>16</v>
      </c>
      <c r="C430" t="s">
        <v>11</v>
      </c>
      <c r="D430">
        <v>17.25</v>
      </c>
      <c r="E430">
        <v>17.16</v>
      </c>
      <c r="F430">
        <v>-0.09</v>
      </c>
      <c r="G430">
        <f>ABS(lmsi_v1_v2_comparison[[#This Row],[score_change]])</f>
        <v>0.09</v>
      </c>
      <c r="H430" t="str">
        <f>IF(lmsi_v1_v2_comparison[[#This Row],[score_change]]&gt;0, "v2 Higher","v2 Lower")</f>
        <v>v2 Lower</v>
      </c>
    </row>
    <row r="431" spans="1:8" x14ac:dyDescent="0.2">
      <c r="A431" t="s">
        <v>39</v>
      </c>
      <c r="B431" t="s">
        <v>16</v>
      </c>
      <c r="C431" t="s">
        <v>12</v>
      </c>
      <c r="D431">
        <v>19.48</v>
      </c>
      <c r="E431">
        <v>20.260000000000002</v>
      </c>
      <c r="F431">
        <v>0.78</v>
      </c>
      <c r="G431">
        <f>ABS(lmsi_v1_v2_comparison[[#This Row],[score_change]])</f>
        <v>0.78</v>
      </c>
      <c r="H431" t="str">
        <f>IF(lmsi_v1_v2_comparison[[#This Row],[score_change]]&gt;0, "v2 Higher","v2 Lower")</f>
        <v>v2 Higher</v>
      </c>
    </row>
    <row r="432" spans="1:8" x14ac:dyDescent="0.2">
      <c r="A432" t="s">
        <v>39</v>
      </c>
      <c r="B432" t="s">
        <v>16</v>
      </c>
      <c r="C432" t="s">
        <v>13</v>
      </c>
      <c r="D432">
        <v>16.79</v>
      </c>
      <c r="E432">
        <v>16.36</v>
      </c>
      <c r="F432">
        <v>-0.43</v>
      </c>
      <c r="G432">
        <f>ABS(lmsi_v1_v2_comparison[[#This Row],[score_change]])</f>
        <v>0.43</v>
      </c>
      <c r="H432" t="str">
        <f>IF(lmsi_v1_v2_comparison[[#This Row],[score_change]]&gt;0, "v2 Higher","v2 Lower")</f>
        <v>v2 Lower</v>
      </c>
    </row>
    <row r="433" spans="1:8" x14ac:dyDescent="0.2">
      <c r="A433" t="s">
        <v>39</v>
      </c>
      <c r="B433" t="s">
        <v>16</v>
      </c>
      <c r="C433" t="s">
        <v>14</v>
      </c>
      <c r="D433">
        <v>17.600000000000001</v>
      </c>
      <c r="E433">
        <v>20.32</v>
      </c>
      <c r="F433">
        <v>2.72</v>
      </c>
      <c r="G433">
        <f>ABS(lmsi_v1_v2_comparison[[#This Row],[score_change]])</f>
        <v>2.72</v>
      </c>
      <c r="H433" t="str">
        <f>IF(lmsi_v1_v2_comparison[[#This Row],[score_change]]&gt;0, "v2 Higher","v2 Lower")</f>
        <v>v2 Higher</v>
      </c>
    </row>
    <row r="434" spans="1:8" x14ac:dyDescent="0.2">
      <c r="A434" t="s">
        <v>40</v>
      </c>
      <c r="B434" t="s">
        <v>8</v>
      </c>
      <c r="C434" t="s">
        <v>9</v>
      </c>
      <c r="D434">
        <v>25.09</v>
      </c>
      <c r="E434">
        <v>23.67</v>
      </c>
      <c r="F434">
        <v>-1.42</v>
      </c>
      <c r="G434">
        <f>ABS(lmsi_v1_v2_comparison[[#This Row],[score_change]])</f>
        <v>1.42</v>
      </c>
      <c r="H434" t="str">
        <f>IF(lmsi_v1_v2_comparison[[#This Row],[score_change]]&gt;0, "v2 Higher","v2 Lower")</f>
        <v>v2 Lower</v>
      </c>
    </row>
    <row r="435" spans="1:8" x14ac:dyDescent="0.2">
      <c r="A435" t="s">
        <v>40</v>
      </c>
      <c r="B435" t="s">
        <v>8</v>
      </c>
      <c r="C435" t="s">
        <v>10</v>
      </c>
      <c r="D435">
        <v>10.79</v>
      </c>
      <c r="E435">
        <v>11.38</v>
      </c>
      <c r="F435">
        <v>0.59</v>
      </c>
      <c r="G435">
        <f>ABS(lmsi_v1_v2_comparison[[#This Row],[score_change]])</f>
        <v>0.59</v>
      </c>
      <c r="H435" t="str">
        <f>IF(lmsi_v1_v2_comparison[[#This Row],[score_change]]&gt;0, "v2 Higher","v2 Lower")</f>
        <v>v2 Higher</v>
      </c>
    </row>
    <row r="436" spans="1:8" x14ac:dyDescent="0.2">
      <c r="A436" t="s">
        <v>40</v>
      </c>
      <c r="B436" t="s">
        <v>8</v>
      </c>
      <c r="C436" t="s">
        <v>11</v>
      </c>
      <c r="D436">
        <v>14.87</v>
      </c>
      <c r="E436">
        <v>15.13</v>
      </c>
      <c r="F436">
        <v>0.26</v>
      </c>
      <c r="G436">
        <f>ABS(lmsi_v1_v2_comparison[[#This Row],[score_change]])</f>
        <v>0.26</v>
      </c>
      <c r="H436" t="str">
        <f>IF(lmsi_v1_v2_comparison[[#This Row],[score_change]]&gt;0, "v2 Higher","v2 Lower")</f>
        <v>v2 Higher</v>
      </c>
    </row>
    <row r="437" spans="1:8" x14ac:dyDescent="0.2">
      <c r="A437" t="s">
        <v>40</v>
      </c>
      <c r="B437" t="s">
        <v>8</v>
      </c>
      <c r="C437" t="s">
        <v>12</v>
      </c>
      <c r="D437">
        <v>16.149999999999999</v>
      </c>
      <c r="E437">
        <v>16.66</v>
      </c>
      <c r="F437">
        <v>0.51</v>
      </c>
      <c r="G437">
        <f>ABS(lmsi_v1_v2_comparison[[#This Row],[score_change]])</f>
        <v>0.51</v>
      </c>
      <c r="H437" t="str">
        <f>IF(lmsi_v1_v2_comparison[[#This Row],[score_change]]&gt;0, "v2 Higher","v2 Lower")</f>
        <v>v2 Higher</v>
      </c>
    </row>
    <row r="438" spans="1:8" x14ac:dyDescent="0.2">
      <c r="A438" t="s">
        <v>40</v>
      </c>
      <c r="B438" t="s">
        <v>8</v>
      </c>
      <c r="C438" t="s">
        <v>13</v>
      </c>
      <c r="D438">
        <v>17.45</v>
      </c>
      <c r="E438">
        <v>17.28</v>
      </c>
      <c r="F438">
        <v>-0.17</v>
      </c>
      <c r="G438">
        <f>ABS(lmsi_v1_v2_comparison[[#This Row],[score_change]])</f>
        <v>0.17</v>
      </c>
      <c r="H438" t="str">
        <f>IF(lmsi_v1_v2_comparison[[#This Row],[score_change]]&gt;0, "v2 Higher","v2 Lower")</f>
        <v>v2 Lower</v>
      </c>
    </row>
    <row r="439" spans="1:8" x14ac:dyDescent="0.2">
      <c r="A439" t="s">
        <v>40</v>
      </c>
      <c r="B439" t="s">
        <v>8</v>
      </c>
      <c r="C439" t="s">
        <v>14</v>
      </c>
      <c r="D439">
        <v>14.15</v>
      </c>
      <c r="E439">
        <v>17.82</v>
      </c>
      <c r="F439">
        <v>3.67</v>
      </c>
      <c r="G439">
        <f>ABS(lmsi_v1_v2_comparison[[#This Row],[score_change]])</f>
        <v>3.67</v>
      </c>
      <c r="H439" t="str">
        <f>IF(lmsi_v1_v2_comparison[[#This Row],[score_change]]&gt;0, "v2 Higher","v2 Lower")</f>
        <v>v2 Higher</v>
      </c>
    </row>
    <row r="440" spans="1:8" x14ac:dyDescent="0.2">
      <c r="A440" t="s">
        <v>40</v>
      </c>
      <c r="B440" t="s">
        <v>15</v>
      </c>
      <c r="C440" t="s">
        <v>9</v>
      </c>
      <c r="D440">
        <v>32.47</v>
      </c>
      <c r="E440">
        <v>28.09</v>
      </c>
      <c r="F440">
        <v>-4.38</v>
      </c>
      <c r="G440">
        <f>ABS(lmsi_v1_v2_comparison[[#This Row],[score_change]])</f>
        <v>4.38</v>
      </c>
      <c r="H440" t="str">
        <f>IF(lmsi_v1_v2_comparison[[#This Row],[score_change]]&gt;0, "v2 Higher","v2 Lower")</f>
        <v>v2 Lower</v>
      </c>
    </row>
    <row r="441" spans="1:8" x14ac:dyDescent="0.2">
      <c r="A441" t="s">
        <v>40</v>
      </c>
      <c r="B441" t="s">
        <v>15</v>
      </c>
      <c r="C441" t="s">
        <v>10</v>
      </c>
      <c r="D441">
        <v>13.24</v>
      </c>
      <c r="E441">
        <v>13.4</v>
      </c>
      <c r="F441">
        <v>0.16</v>
      </c>
      <c r="G441">
        <f>ABS(lmsi_v1_v2_comparison[[#This Row],[score_change]])</f>
        <v>0.16</v>
      </c>
      <c r="H441" t="str">
        <f>IF(lmsi_v1_v2_comparison[[#This Row],[score_change]]&gt;0, "v2 Higher","v2 Lower")</f>
        <v>v2 Higher</v>
      </c>
    </row>
    <row r="442" spans="1:8" x14ac:dyDescent="0.2">
      <c r="A442" t="s">
        <v>40</v>
      </c>
      <c r="B442" t="s">
        <v>15</v>
      </c>
      <c r="C442" t="s">
        <v>11</v>
      </c>
      <c r="D442">
        <v>16.18</v>
      </c>
      <c r="E442">
        <v>22.61</v>
      </c>
      <c r="F442">
        <v>6.43</v>
      </c>
      <c r="G442">
        <f>ABS(lmsi_v1_v2_comparison[[#This Row],[score_change]])</f>
        <v>6.43</v>
      </c>
      <c r="H442" t="str">
        <f>IF(lmsi_v1_v2_comparison[[#This Row],[score_change]]&gt;0, "v2 Higher","v2 Lower")</f>
        <v>v2 Higher</v>
      </c>
    </row>
    <row r="443" spans="1:8" x14ac:dyDescent="0.2">
      <c r="A443" t="s">
        <v>40</v>
      </c>
      <c r="B443" t="s">
        <v>15</v>
      </c>
      <c r="C443" t="s">
        <v>12</v>
      </c>
      <c r="D443">
        <v>18.940000000000001</v>
      </c>
      <c r="E443">
        <v>20.34</v>
      </c>
      <c r="F443">
        <v>1.4</v>
      </c>
      <c r="G443">
        <f>ABS(lmsi_v1_v2_comparison[[#This Row],[score_change]])</f>
        <v>1.4</v>
      </c>
      <c r="H443" t="str">
        <f>IF(lmsi_v1_v2_comparison[[#This Row],[score_change]]&gt;0, "v2 Higher","v2 Lower")</f>
        <v>v2 Higher</v>
      </c>
    </row>
    <row r="444" spans="1:8" x14ac:dyDescent="0.2">
      <c r="A444" t="s">
        <v>40</v>
      </c>
      <c r="B444" t="s">
        <v>15</v>
      </c>
      <c r="C444" t="s">
        <v>13</v>
      </c>
      <c r="D444">
        <v>20.010000000000002</v>
      </c>
      <c r="E444">
        <v>19.149999999999999</v>
      </c>
      <c r="F444">
        <v>-0.86</v>
      </c>
      <c r="G444">
        <f>ABS(lmsi_v1_v2_comparison[[#This Row],[score_change]])</f>
        <v>0.86</v>
      </c>
      <c r="H444" t="str">
        <f>IF(lmsi_v1_v2_comparison[[#This Row],[score_change]]&gt;0, "v2 Higher","v2 Lower")</f>
        <v>v2 Lower</v>
      </c>
    </row>
    <row r="445" spans="1:8" x14ac:dyDescent="0.2">
      <c r="A445" t="s">
        <v>40</v>
      </c>
      <c r="B445" t="s">
        <v>15</v>
      </c>
      <c r="C445" t="s">
        <v>14</v>
      </c>
      <c r="D445">
        <v>23.01</v>
      </c>
      <c r="E445">
        <v>24.25</v>
      </c>
      <c r="F445">
        <v>1.24</v>
      </c>
      <c r="G445">
        <f>ABS(lmsi_v1_v2_comparison[[#This Row],[score_change]])</f>
        <v>1.24</v>
      </c>
      <c r="H445" t="str">
        <f>IF(lmsi_v1_v2_comparison[[#This Row],[score_change]]&gt;0, "v2 Higher","v2 Lower")</f>
        <v>v2 Higher</v>
      </c>
    </row>
    <row r="446" spans="1:8" x14ac:dyDescent="0.2">
      <c r="A446" t="s">
        <v>40</v>
      </c>
      <c r="B446" t="s">
        <v>16</v>
      </c>
      <c r="C446" t="s">
        <v>9</v>
      </c>
      <c r="D446">
        <v>28.77</v>
      </c>
      <c r="E446">
        <v>24.72</v>
      </c>
      <c r="F446">
        <v>-4.05</v>
      </c>
      <c r="G446">
        <f>ABS(lmsi_v1_v2_comparison[[#This Row],[score_change]])</f>
        <v>4.05</v>
      </c>
      <c r="H446" t="str">
        <f>IF(lmsi_v1_v2_comparison[[#This Row],[score_change]]&gt;0, "v2 Higher","v2 Lower")</f>
        <v>v2 Lower</v>
      </c>
    </row>
    <row r="447" spans="1:8" x14ac:dyDescent="0.2">
      <c r="A447" t="s">
        <v>40</v>
      </c>
      <c r="B447" t="s">
        <v>16</v>
      </c>
      <c r="C447" t="s">
        <v>10</v>
      </c>
      <c r="D447">
        <v>11.51</v>
      </c>
      <c r="E447">
        <v>11.75</v>
      </c>
      <c r="F447">
        <v>0.24</v>
      </c>
      <c r="G447">
        <f>ABS(lmsi_v1_v2_comparison[[#This Row],[score_change]])</f>
        <v>0.24</v>
      </c>
      <c r="H447" t="str">
        <f>IF(lmsi_v1_v2_comparison[[#This Row],[score_change]]&gt;0, "v2 Higher","v2 Lower")</f>
        <v>v2 Higher</v>
      </c>
    </row>
    <row r="448" spans="1:8" x14ac:dyDescent="0.2">
      <c r="A448" t="s">
        <v>40</v>
      </c>
      <c r="B448" t="s">
        <v>16</v>
      </c>
      <c r="C448" t="s">
        <v>11</v>
      </c>
      <c r="D448">
        <v>15.71</v>
      </c>
      <c r="E448">
        <v>16.66</v>
      </c>
      <c r="F448">
        <v>0.95</v>
      </c>
      <c r="G448">
        <f>ABS(lmsi_v1_v2_comparison[[#This Row],[score_change]])</f>
        <v>0.95</v>
      </c>
      <c r="H448" t="str">
        <f>IF(lmsi_v1_v2_comparison[[#This Row],[score_change]]&gt;0, "v2 Higher","v2 Lower")</f>
        <v>v2 Higher</v>
      </c>
    </row>
    <row r="449" spans="1:8" x14ac:dyDescent="0.2">
      <c r="A449" t="s">
        <v>40</v>
      </c>
      <c r="B449" t="s">
        <v>16</v>
      </c>
      <c r="C449" t="s">
        <v>12</v>
      </c>
      <c r="D449">
        <v>17.84</v>
      </c>
      <c r="E449">
        <v>18.690000000000001</v>
      </c>
      <c r="F449">
        <v>0.85</v>
      </c>
      <c r="G449">
        <f>ABS(lmsi_v1_v2_comparison[[#This Row],[score_change]])</f>
        <v>0.85</v>
      </c>
      <c r="H449" t="str">
        <f>IF(lmsi_v1_v2_comparison[[#This Row],[score_change]]&gt;0, "v2 Higher","v2 Lower")</f>
        <v>v2 Higher</v>
      </c>
    </row>
    <row r="450" spans="1:8" x14ac:dyDescent="0.2">
      <c r="A450" t="s">
        <v>40</v>
      </c>
      <c r="B450" t="s">
        <v>16</v>
      </c>
      <c r="C450" t="s">
        <v>13</v>
      </c>
      <c r="D450">
        <v>17.010000000000002</v>
      </c>
      <c r="E450">
        <v>16.62</v>
      </c>
      <c r="F450">
        <v>-0.39</v>
      </c>
      <c r="G450">
        <f>ABS(lmsi_v1_v2_comparison[[#This Row],[score_change]])</f>
        <v>0.39</v>
      </c>
      <c r="H450" t="str">
        <f>IF(lmsi_v1_v2_comparison[[#This Row],[score_change]]&gt;0, "v2 Higher","v2 Lower")</f>
        <v>v2 Lower</v>
      </c>
    </row>
    <row r="451" spans="1:8" x14ac:dyDescent="0.2">
      <c r="A451" t="s">
        <v>40</v>
      </c>
      <c r="B451" t="s">
        <v>16</v>
      </c>
      <c r="C451" t="s">
        <v>14</v>
      </c>
      <c r="D451">
        <v>17.59</v>
      </c>
      <c r="E451">
        <v>18.93</v>
      </c>
      <c r="F451">
        <v>1.34</v>
      </c>
      <c r="G451">
        <f>ABS(lmsi_v1_v2_comparison[[#This Row],[score_change]])</f>
        <v>1.34</v>
      </c>
      <c r="H451" t="str">
        <f>IF(lmsi_v1_v2_comparison[[#This Row],[score_change]]&gt;0, "v2 Higher","v2 Lower")</f>
        <v>v2 Higher</v>
      </c>
    </row>
    <row r="452" spans="1:8" x14ac:dyDescent="0.2">
      <c r="A452" t="s">
        <v>41</v>
      </c>
      <c r="B452" t="s">
        <v>8</v>
      </c>
      <c r="C452" t="s">
        <v>9</v>
      </c>
      <c r="D452">
        <v>25.53</v>
      </c>
      <c r="E452">
        <v>22.35</v>
      </c>
      <c r="F452">
        <v>-3.18</v>
      </c>
      <c r="G452">
        <f>ABS(lmsi_v1_v2_comparison[[#This Row],[score_change]])</f>
        <v>3.18</v>
      </c>
      <c r="H452" t="str">
        <f>IF(lmsi_v1_v2_comparison[[#This Row],[score_change]]&gt;0, "v2 Higher","v2 Lower")</f>
        <v>v2 Lower</v>
      </c>
    </row>
    <row r="453" spans="1:8" x14ac:dyDescent="0.2">
      <c r="A453" t="s">
        <v>41</v>
      </c>
      <c r="B453" t="s">
        <v>8</v>
      </c>
      <c r="C453" t="s">
        <v>10</v>
      </c>
      <c r="D453">
        <v>11.9</v>
      </c>
      <c r="E453">
        <v>12.53</v>
      </c>
      <c r="F453">
        <v>0.63</v>
      </c>
      <c r="G453">
        <f>ABS(lmsi_v1_v2_comparison[[#This Row],[score_change]])</f>
        <v>0.63</v>
      </c>
      <c r="H453" t="str">
        <f>IF(lmsi_v1_v2_comparison[[#This Row],[score_change]]&gt;0, "v2 Higher","v2 Lower")</f>
        <v>v2 Higher</v>
      </c>
    </row>
    <row r="454" spans="1:8" x14ac:dyDescent="0.2">
      <c r="A454" t="s">
        <v>41</v>
      </c>
      <c r="B454" t="s">
        <v>8</v>
      </c>
      <c r="C454" t="s">
        <v>11</v>
      </c>
      <c r="D454">
        <v>15.61</v>
      </c>
      <c r="E454">
        <v>15.61</v>
      </c>
      <c r="F454">
        <v>0</v>
      </c>
      <c r="G454">
        <f>ABS(lmsi_v1_v2_comparison[[#This Row],[score_change]])</f>
        <v>0</v>
      </c>
      <c r="H454" t="str">
        <f>IF(lmsi_v1_v2_comparison[[#This Row],[score_change]]&gt;0, "v2 Higher","v2 Lower")</f>
        <v>v2 Lower</v>
      </c>
    </row>
    <row r="455" spans="1:8" x14ac:dyDescent="0.2">
      <c r="A455" t="s">
        <v>41</v>
      </c>
      <c r="B455" t="s">
        <v>8</v>
      </c>
      <c r="C455" t="s">
        <v>12</v>
      </c>
      <c r="D455">
        <v>17.48</v>
      </c>
      <c r="E455">
        <v>18.63</v>
      </c>
      <c r="F455">
        <v>1.1499999999999999</v>
      </c>
      <c r="G455">
        <f>ABS(lmsi_v1_v2_comparison[[#This Row],[score_change]])</f>
        <v>1.1499999999999999</v>
      </c>
      <c r="H455" t="str">
        <f>IF(lmsi_v1_v2_comparison[[#This Row],[score_change]]&gt;0, "v2 Higher","v2 Lower")</f>
        <v>v2 Higher</v>
      </c>
    </row>
    <row r="456" spans="1:8" x14ac:dyDescent="0.2">
      <c r="A456" t="s">
        <v>41</v>
      </c>
      <c r="B456" t="s">
        <v>8</v>
      </c>
      <c r="C456" t="s">
        <v>13</v>
      </c>
      <c r="D456">
        <v>14.99</v>
      </c>
      <c r="E456">
        <v>15.44</v>
      </c>
      <c r="F456">
        <v>0.45</v>
      </c>
      <c r="G456">
        <f>ABS(lmsi_v1_v2_comparison[[#This Row],[score_change]])</f>
        <v>0.45</v>
      </c>
      <c r="H456" t="str">
        <f>IF(lmsi_v1_v2_comparison[[#This Row],[score_change]]&gt;0, "v2 Higher","v2 Lower")</f>
        <v>v2 Higher</v>
      </c>
    </row>
    <row r="457" spans="1:8" x14ac:dyDescent="0.2">
      <c r="A457" t="s">
        <v>41</v>
      </c>
      <c r="B457" t="s">
        <v>8</v>
      </c>
      <c r="C457" t="s">
        <v>14</v>
      </c>
      <c r="D457">
        <v>14.05</v>
      </c>
      <c r="E457">
        <v>14.66</v>
      </c>
      <c r="F457">
        <v>0.61</v>
      </c>
      <c r="G457">
        <f>ABS(lmsi_v1_v2_comparison[[#This Row],[score_change]])</f>
        <v>0.61</v>
      </c>
      <c r="H457" t="str">
        <f>IF(lmsi_v1_v2_comparison[[#This Row],[score_change]]&gt;0, "v2 Higher","v2 Lower")</f>
        <v>v2 Higher</v>
      </c>
    </row>
    <row r="458" spans="1:8" x14ac:dyDescent="0.2">
      <c r="A458" t="s">
        <v>41</v>
      </c>
      <c r="B458" t="s">
        <v>15</v>
      </c>
      <c r="C458" t="s">
        <v>9</v>
      </c>
      <c r="D458">
        <v>33.15</v>
      </c>
      <c r="E458">
        <v>28.35</v>
      </c>
      <c r="F458">
        <v>-4.8</v>
      </c>
      <c r="G458">
        <f>ABS(lmsi_v1_v2_comparison[[#This Row],[score_change]])</f>
        <v>4.8</v>
      </c>
      <c r="H458" t="str">
        <f>IF(lmsi_v1_v2_comparison[[#This Row],[score_change]]&gt;0, "v2 Higher","v2 Lower")</f>
        <v>v2 Lower</v>
      </c>
    </row>
    <row r="459" spans="1:8" x14ac:dyDescent="0.2">
      <c r="A459" t="s">
        <v>41</v>
      </c>
      <c r="B459" t="s">
        <v>15</v>
      </c>
      <c r="C459" t="s">
        <v>10</v>
      </c>
      <c r="D459">
        <v>14.12</v>
      </c>
      <c r="E459">
        <v>14.23</v>
      </c>
      <c r="F459">
        <v>0.11</v>
      </c>
      <c r="G459">
        <f>ABS(lmsi_v1_v2_comparison[[#This Row],[score_change]])</f>
        <v>0.11</v>
      </c>
      <c r="H459" t="str">
        <f>IF(lmsi_v1_v2_comparison[[#This Row],[score_change]]&gt;0, "v2 Higher","v2 Lower")</f>
        <v>v2 Higher</v>
      </c>
    </row>
    <row r="460" spans="1:8" x14ac:dyDescent="0.2">
      <c r="A460" t="s">
        <v>41</v>
      </c>
      <c r="B460" t="s">
        <v>15</v>
      </c>
      <c r="C460" t="s">
        <v>11</v>
      </c>
      <c r="D460">
        <v>17.32</v>
      </c>
      <c r="E460">
        <v>16.95</v>
      </c>
      <c r="F460">
        <v>-0.37</v>
      </c>
      <c r="G460">
        <f>ABS(lmsi_v1_v2_comparison[[#This Row],[score_change]])</f>
        <v>0.37</v>
      </c>
      <c r="H460" t="str">
        <f>IF(lmsi_v1_v2_comparison[[#This Row],[score_change]]&gt;0, "v2 Higher","v2 Lower")</f>
        <v>v2 Lower</v>
      </c>
    </row>
    <row r="461" spans="1:8" x14ac:dyDescent="0.2">
      <c r="A461" t="s">
        <v>41</v>
      </c>
      <c r="B461" t="s">
        <v>15</v>
      </c>
      <c r="C461" t="s">
        <v>12</v>
      </c>
      <c r="D461">
        <v>20.91</v>
      </c>
      <c r="E461">
        <v>22.53</v>
      </c>
      <c r="F461">
        <v>1.62</v>
      </c>
      <c r="G461">
        <f>ABS(lmsi_v1_v2_comparison[[#This Row],[score_change]])</f>
        <v>1.62</v>
      </c>
      <c r="H461" t="str">
        <f>IF(lmsi_v1_v2_comparison[[#This Row],[score_change]]&gt;0, "v2 Higher","v2 Lower")</f>
        <v>v2 Higher</v>
      </c>
    </row>
    <row r="462" spans="1:8" x14ac:dyDescent="0.2">
      <c r="A462" t="s">
        <v>41</v>
      </c>
      <c r="B462" t="s">
        <v>15</v>
      </c>
      <c r="C462" t="s">
        <v>13</v>
      </c>
      <c r="D462">
        <v>18.149999999999999</v>
      </c>
      <c r="E462">
        <v>17.63</v>
      </c>
      <c r="F462">
        <v>-0.52</v>
      </c>
      <c r="G462">
        <f>ABS(lmsi_v1_v2_comparison[[#This Row],[score_change]])</f>
        <v>0.52</v>
      </c>
      <c r="H462" t="str">
        <f>IF(lmsi_v1_v2_comparison[[#This Row],[score_change]]&gt;0, "v2 Higher","v2 Lower")</f>
        <v>v2 Lower</v>
      </c>
    </row>
    <row r="463" spans="1:8" x14ac:dyDescent="0.2">
      <c r="A463" t="s">
        <v>41</v>
      </c>
      <c r="B463" t="s">
        <v>15</v>
      </c>
      <c r="C463" t="s">
        <v>14</v>
      </c>
      <c r="D463">
        <v>21.36</v>
      </c>
      <c r="E463">
        <v>22.42</v>
      </c>
      <c r="F463">
        <v>1.06</v>
      </c>
      <c r="G463">
        <f>ABS(lmsi_v1_v2_comparison[[#This Row],[score_change]])</f>
        <v>1.06</v>
      </c>
      <c r="H463" t="str">
        <f>IF(lmsi_v1_v2_comparison[[#This Row],[score_change]]&gt;0, "v2 Higher","v2 Lower")</f>
        <v>v2 Higher</v>
      </c>
    </row>
    <row r="464" spans="1:8" x14ac:dyDescent="0.2">
      <c r="A464" t="s">
        <v>41</v>
      </c>
      <c r="B464" t="s">
        <v>16</v>
      </c>
      <c r="C464" t="s">
        <v>9</v>
      </c>
      <c r="D464">
        <v>28.67</v>
      </c>
      <c r="E464">
        <v>25.22</v>
      </c>
      <c r="F464">
        <v>-3.45</v>
      </c>
      <c r="G464">
        <f>ABS(lmsi_v1_v2_comparison[[#This Row],[score_change]])</f>
        <v>3.45</v>
      </c>
      <c r="H464" t="str">
        <f>IF(lmsi_v1_v2_comparison[[#This Row],[score_change]]&gt;0, "v2 Higher","v2 Lower")</f>
        <v>v2 Lower</v>
      </c>
    </row>
    <row r="465" spans="1:8" x14ac:dyDescent="0.2">
      <c r="A465" t="s">
        <v>41</v>
      </c>
      <c r="B465" t="s">
        <v>16</v>
      </c>
      <c r="C465" t="s">
        <v>10</v>
      </c>
      <c r="D465">
        <v>12.16</v>
      </c>
      <c r="E465">
        <v>12.91</v>
      </c>
      <c r="F465">
        <v>0.75</v>
      </c>
      <c r="G465">
        <f>ABS(lmsi_v1_v2_comparison[[#This Row],[score_change]])</f>
        <v>0.75</v>
      </c>
      <c r="H465" t="str">
        <f>IF(lmsi_v1_v2_comparison[[#This Row],[score_change]]&gt;0, "v2 Higher","v2 Lower")</f>
        <v>v2 Higher</v>
      </c>
    </row>
    <row r="466" spans="1:8" x14ac:dyDescent="0.2">
      <c r="A466" t="s">
        <v>41</v>
      </c>
      <c r="B466" t="s">
        <v>16</v>
      </c>
      <c r="C466" t="s">
        <v>11</v>
      </c>
      <c r="D466">
        <v>16.41</v>
      </c>
      <c r="E466">
        <v>16.420000000000002</v>
      </c>
      <c r="F466">
        <v>0.01</v>
      </c>
      <c r="G466">
        <f>ABS(lmsi_v1_v2_comparison[[#This Row],[score_change]])</f>
        <v>0.01</v>
      </c>
      <c r="H466" t="str">
        <f>IF(lmsi_v1_v2_comparison[[#This Row],[score_change]]&gt;0, "v2 Higher","v2 Lower")</f>
        <v>v2 Higher</v>
      </c>
    </row>
    <row r="467" spans="1:8" x14ac:dyDescent="0.2">
      <c r="A467" t="s">
        <v>41</v>
      </c>
      <c r="B467" t="s">
        <v>16</v>
      </c>
      <c r="C467" t="s">
        <v>12</v>
      </c>
      <c r="D467">
        <v>18.91</v>
      </c>
      <c r="E467">
        <v>19.05</v>
      </c>
      <c r="F467">
        <v>0.14000000000000001</v>
      </c>
      <c r="G467">
        <f>ABS(lmsi_v1_v2_comparison[[#This Row],[score_change]])</f>
        <v>0.14000000000000001</v>
      </c>
      <c r="H467" t="str">
        <f>IF(lmsi_v1_v2_comparison[[#This Row],[score_change]]&gt;0, "v2 Higher","v2 Lower")</f>
        <v>v2 Higher</v>
      </c>
    </row>
    <row r="468" spans="1:8" x14ac:dyDescent="0.2">
      <c r="A468" t="s">
        <v>41</v>
      </c>
      <c r="B468" t="s">
        <v>16</v>
      </c>
      <c r="C468" t="s">
        <v>13</v>
      </c>
      <c r="D468">
        <v>15.13</v>
      </c>
      <c r="E468">
        <v>14.78</v>
      </c>
      <c r="F468">
        <v>-0.35</v>
      </c>
      <c r="G468">
        <f>ABS(lmsi_v1_v2_comparison[[#This Row],[score_change]])</f>
        <v>0.35</v>
      </c>
      <c r="H468" t="str">
        <f>IF(lmsi_v1_v2_comparison[[#This Row],[score_change]]&gt;0, "v2 Higher","v2 Lower")</f>
        <v>v2 Lower</v>
      </c>
    </row>
    <row r="469" spans="1:8" x14ac:dyDescent="0.2">
      <c r="A469" t="s">
        <v>41</v>
      </c>
      <c r="B469" t="s">
        <v>16</v>
      </c>
      <c r="C469" t="s">
        <v>14</v>
      </c>
      <c r="D469">
        <v>17.260000000000002</v>
      </c>
      <c r="E469">
        <v>19.34</v>
      </c>
      <c r="F469">
        <v>2.08</v>
      </c>
      <c r="G469">
        <f>ABS(lmsi_v1_v2_comparison[[#This Row],[score_change]])</f>
        <v>2.08</v>
      </c>
      <c r="H469" t="str">
        <f>IF(lmsi_v1_v2_comparison[[#This Row],[score_change]]&gt;0, "v2 Higher","v2 Lower")</f>
        <v>v2 Higher</v>
      </c>
    </row>
    <row r="470" spans="1:8" x14ac:dyDescent="0.2">
      <c r="A470" t="s">
        <v>42</v>
      </c>
      <c r="B470" t="s">
        <v>8</v>
      </c>
      <c r="C470" t="s">
        <v>9</v>
      </c>
      <c r="D470">
        <v>20.079999999999998</v>
      </c>
      <c r="E470">
        <v>18.43</v>
      </c>
      <c r="F470">
        <v>-1.65</v>
      </c>
      <c r="G470">
        <f>ABS(lmsi_v1_v2_comparison[[#This Row],[score_change]])</f>
        <v>1.65</v>
      </c>
      <c r="H470" t="str">
        <f>IF(lmsi_v1_v2_comparison[[#This Row],[score_change]]&gt;0, "v2 Higher","v2 Lower")</f>
        <v>v2 Lower</v>
      </c>
    </row>
    <row r="471" spans="1:8" x14ac:dyDescent="0.2">
      <c r="A471" t="s">
        <v>42</v>
      </c>
      <c r="B471" t="s">
        <v>8</v>
      </c>
      <c r="C471" t="s">
        <v>10</v>
      </c>
      <c r="D471">
        <v>9.9600000000000009</v>
      </c>
      <c r="E471">
        <v>10.35</v>
      </c>
      <c r="F471">
        <v>0.39</v>
      </c>
      <c r="G471">
        <f>ABS(lmsi_v1_v2_comparison[[#This Row],[score_change]])</f>
        <v>0.39</v>
      </c>
      <c r="H471" t="str">
        <f>IF(lmsi_v1_v2_comparison[[#This Row],[score_change]]&gt;0, "v2 Higher","v2 Lower")</f>
        <v>v2 Higher</v>
      </c>
    </row>
    <row r="472" spans="1:8" x14ac:dyDescent="0.2">
      <c r="A472" t="s">
        <v>42</v>
      </c>
      <c r="B472" t="s">
        <v>8</v>
      </c>
      <c r="C472" t="s">
        <v>11</v>
      </c>
      <c r="D472">
        <v>14.94</v>
      </c>
      <c r="E472">
        <v>16.309999999999999</v>
      </c>
      <c r="F472">
        <v>1.37</v>
      </c>
      <c r="G472">
        <f>ABS(lmsi_v1_v2_comparison[[#This Row],[score_change]])</f>
        <v>1.37</v>
      </c>
      <c r="H472" t="str">
        <f>IF(lmsi_v1_v2_comparison[[#This Row],[score_change]]&gt;0, "v2 Higher","v2 Lower")</f>
        <v>v2 Higher</v>
      </c>
    </row>
    <row r="473" spans="1:8" x14ac:dyDescent="0.2">
      <c r="A473" t="s">
        <v>42</v>
      </c>
      <c r="B473" t="s">
        <v>8</v>
      </c>
      <c r="C473" t="s">
        <v>12</v>
      </c>
      <c r="D473">
        <v>16.16</v>
      </c>
      <c r="E473">
        <v>17.25</v>
      </c>
      <c r="F473">
        <v>1.0900000000000001</v>
      </c>
      <c r="G473">
        <f>ABS(lmsi_v1_v2_comparison[[#This Row],[score_change]])</f>
        <v>1.0900000000000001</v>
      </c>
      <c r="H473" t="str">
        <f>IF(lmsi_v1_v2_comparison[[#This Row],[score_change]]&gt;0, "v2 Higher","v2 Lower")</f>
        <v>v2 Higher</v>
      </c>
    </row>
    <row r="474" spans="1:8" x14ac:dyDescent="0.2">
      <c r="A474" t="s">
        <v>42</v>
      </c>
      <c r="B474" t="s">
        <v>8</v>
      </c>
      <c r="C474" t="s">
        <v>13</v>
      </c>
      <c r="D474">
        <v>16.34</v>
      </c>
      <c r="E474">
        <v>16.16</v>
      </c>
      <c r="F474">
        <v>-0.18</v>
      </c>
      <c r="G474">
        <f>ABS(lmsi_v1_v2_comparison[[#This Row],[score_change]])</f>
        <v>0.18</v>
      </c>
      <c r="H474" t="str">
        <f>IF(lmsi_v1_v2_comparison[[#This Row],[score_change]]&gt;0, "v2 Higher","v2 Lower")</f>
        <v>v2 Lower</v>
      </c>
    </row>
    <row r="475" spans="1:8" x14ac:dyDescent="0.2">
      <c r="A475" t="s">
        <v>42</v>
      </c>
      <c r="B475" t="s">
        <v>8</v>
      </c>
      <c r="C475" t="s">
        <v>14</v>
      </c>
      <c r="D475">
        <v>14.01</v>
      </c>
      <c r="E475">
        <v>16.47</v>
      </c>
      <c r="F475">
        <v>2.46</v>
      </c>
      <c r="G475">
        <f>ABS(lmsi_v1_v2_comparison[[#This Row],[score_change]])</f>
        <v>2.46</v>
      </c>
      <c r="H475" t="str">
        <f>IF(lmsi_v1_v2_comparison[[#This Row],[score_change]]&gt;0, "v2 Higher","v2 Lower")</f>
        <v>v2 Higher</v>
      </c>
    </row>
    <row r="476" spans="1:8" x14ac:dyDescent="0.2">
      <c r="A476" t="s">
        <v>42</v>
      </c>
      <c r="B476" t="s">
        <v>15</v>
      </c>
      <c r="C476" t="s">
        <v>9</v>
      </c>
      <c r="D476">
        <v>25.89</v>
      </c>
      <c r="E476">
        <v>22.69</v>
      </c>
      <c r="F476">
        <v>-3.2</v>
      </c>
      <c r="G476">
        <f>ABS(lmsi_v1_v2_comparison[[#This Row],[score_change]])</f>
        <v>3.2</v>
      </c>
      <c r="H476" t="str">
        <f>IF(lmsi_v1_v2_comparison[[#This Row],[score_change]]&gt;0, "v2 Higher","v2 Lower")</f>
        <v>v2 Lower</v>
      </c>
    </row>
    <row r="477" spans="1:8" x14ac:dyDescent="0.2">
      <c r="A477" t="s">
        <v>42</v>
      </c>
      <c r="B477" t="s">
        <v>15</v>
      </c>
      <c r="C477" t="s">
        <v>10</v>
      </c>
      <c r="D477">
        <v>12.3</v>
      </c>
      <c r="E477">
        <v>12.9</v>
      </c>
      <c r="F477">
        <v>0.6</v>
      </c>
      <c r="G477">
        <f>ABS(lmsi_v1_v2_comparison[[#This Row],[score_change]])</f>
        <v>0.6</v>
      </c>
      <c r="H477" t="str">
        <f>IF(lmsi_v1_v2_comparison[[#This Row],[score_change]]&gt;0, "v2 Higher","v2 Lower")</f>
        <v>v2 Higher</v>
      </c>
    </row>
    <row r="478" spans="1:8" x14ac:dyDescent="0.2">
      <c r="A478" t="s">
        <v>42</v>
      </c>
      <c r="B478" t="s">
        <v>15</v>
      </c>
      <c r="C478" t="s">
        <v>11</v>
      </c>
      <c r="D478">
        <v>17.100000000000001</v>
      </c>
      <c r="E478">
        <v>18.13</v>
      </c>
      <c r="F478">
        <v>1.03</v>
      </c>
      <c r="G478">
        <f>ABS(lmsi_v1_v2_comparison[[#This Row],[score_change]])</f>
        <v>1.03</v>
      </c>
      <c r="H478" t="str">
        <f>IF(lmsi_v1_v2_comparison[[#This Row],[score_change]]&gt;0, "v2 Higher","v2 Lower")</f>
        <v>v2 Higher</v>
      </c>
    </row>
    <row r="479" spans="1:8" x14ac:dyDescent="0.2">
      <c r="A479" t="s">
        <v>42</v>
      </c>
      <c r="B479" t="s">
        <v>15</v>
      </c>
      <c r="C479" t="s">
        <v>12</v>
      </c>
      <c r="D479">
        <v>19.45</v>
      </c>
      <c r="E479">
        <v>21.33</v>
      </c>
      <c r="F479">
        <v>1.88</v>
      </c>
      <c r="G479">
        <f>ABS(lmsi_v1_v2_comparison[[#This Row],[score_change]])</f>
        <v>1.88</v>
      </c>
      <c r="H479" t="str">
        <f>IF(lmsi_v1_v2_comparison[[#This Row],[score_change]]&gt;0, "v2 Higher","v2 Lower")</f>
        <v>v2 Higher</v>
      </c>
    </row>
    <row r="480" spans="1:8" x14ac:dyDescent="0.2">
      <c r="A480" t="s">
        <v>42</v>
      </c>
      <c r="B480" t="s">
        <v>15</v>
      </c>
      <c r="C480" t="s">
        <v>13</v>
      </c>
      <c r="D480">
        <v>20.43</v>
      </c>
      <c r="E480">
        <v>19.21</v>
      </c>
      <c r="F480">
        <v>-1.22</v>
      </c>
      <c r="G480">
        <f>ABS(lmsi_v1_v2_comparison[[#This Row],[score_change]])</f>
        <v>1.22</v>
      </c>
      <c r="H480" t="str">
        <f>IF(lmsi_v1_v2_comparison[[#This Row],[score_change]]&gt;0, "v2 Higher","v2 Lower")</f>
        <v>v2 Lower</v>
      </c>
    </row>
    <row r="481" spans="1:8" x14ac:dyDescent="0.2">
      <c r="A481" t="s">
        <v>42</v>
      </c>
      <c r="B481" t="s">
        <v>15</v>
      </c>
      <c r="C481" t="s">
        <v>14</v>
      </c>
      <c r="D481">
        <v>22.82</v>
      </c>
      <c r="E481">
        <v>22.99</v>
      </c>
      <c r="F481">
        <v>0.17</v>
      </c>
      <c r="G481">
        <f>ABS(lmsi_v1_v2_comparison[[#This Row],[score_change]])</f>
        <v>0.17</v>
      </c>
      <c r="H481" t="str">
        <f>IF(lmsi_v1_v2_comparison[[#This Row],[score_change]]&gt;0, "v2 Higher","v2 Lower")</f>
        <v>v2 Higher</v>
      </c>
    </row>
    <row r="482" spans="1:8" x14ac:dyDescent="0.2">
      <c r="A482" t="s">
        <v>42</v>
      </c>
      <c r="B482" t="s">
        <v>16</v>
      </c>
      <c r="C482" t="s">
        <v>9</v>
      </c>
      <c r="D482">
        <v>21.88</v>
      </c>
      <c r="E482">
        <v>20.09</v>
      </c>
      <c r="F482">
        <v>-1.79</v>
      </c>
      <c r="G482">
        <f>ABS(lmsi_v1_v2_comparison[[#This Row],[score_change]])</f>
        <v>1.79</v>
      </c>
      <c r="H482" t="str">
        <f>IF(lmsi_v1_v2_comparison[[#This Row],[score_change]]&gt;0, "v2 Higher","v2 Lower")</f>
        <v>v2 Lower</v>
      </c>
    </row>
    <row r="483" spans="1:8" x14ac:dyDescent="0.2">
      <c r="A483" t="s">
        <v>42</v>
      </c>
      <c r="B483" t="s">
        <v>16</v>
      </c>
      <c r="C483" t="s">
        <v>10</v>
      </c>
      <c r="D483">
        <v>10.96</v>
      </c>
      <c r="E483">
        <v>11.78</v>
      </c>
      <c r="F483">
        <v>0.82</v>
      </c>
      <c r="G483">
        <f>ABS(lmsi_v1_v2_comparison[[#This Row],[score_change]])</f>
        <v>0.82</v>
      </c>
      <c r="H483" t="str">
        <f>IF(lmsi_v1_v2_comparison[[#This Row],[score_change]]&gt;0, "v2 Higher","v2 Lower")</f>
        <v>v2 Higher</v>
      </c>
    </row>
    <row r="484" spans="1:8" x14ac:dyDescent="0.2">
      <c r="A484" t="s">
        <v>42</v>
      </c>
      <c r="B484" t="s">
        <v>16</v>
      </c>
      <c r="C484" t="s">
        <v>11</v>
      </c>
      <c r="D484">
        <v>16</v>
      </c>
      <c r="E484">
        <v>16.48</v>
      </c>
      <c r="F484">
        <v>0.48</v>
      </c>
      <c r="G484">
        <f>ABS(lmsi_v1_v2_comparison[[#This Row],[score_change]])</f>
        <v>0.48</v>
      </c>
      <c r="H484" t="str">
        <f>IF(lmsi_v1_v2_comparison[[#This Row],[score_change]]&gt;0, "v2 Higher","v2 Lower")</f>
        <v>v2 Higher</v>
      </c>
    </row>
    <row r="485" spans="1:8" x14ac:dyDescent="0.2">
      <c r="A485" t="s">
        <v>42</v>
      </c>
      <c r="B485" t="s">
        <v>16</v>
      </c>
      <c r="C485" t="s">
        <v>12</v>
      </c>
      <c r="D485">
        <v>17.5</v>
      </c>
      <c r="E485">
        <v>19.03</v>
      </c>
      <c r="F485">
        <v>1.53</v>
      </c>
      <c r="G485">
        <f>ABS(lmsi_v1_v2_comparison[[#This Row],[score_change]])</f>
        <v>1.53</v>
      </c>
      <c r="H485" t="str">
        <f>IF(lmsi_v1_v2_comparison[[#This Row],[score_change]]&gt;0, "v2 Higher","v2 Lower")</f>
        <v>v2 Higher</v>
      </c>
    </row>
    <row r="486" spans="1:8" x14ac:dyDescent="0.2">
      <c r="A486" t="s">
        <v>42</v>
      </c>
      <c r="B486" t="s">
        <v>16</v>
      </c>
      <c r="C486" t="s">
        <v>13</v>
      </c>
      <c r="D486">
        <v>15.98</v>
      </c>
      <c r="E486">
        <v>15.64</v>
      </c>
      <c r="F486">
        <v>-0.34</v>
      </c>
      <c r="G486">
        <f>ABS(lmsi_v1_v2_comparison[[#This Row],[score_change]])</f>
        <v>0.34</v>
      </c>
      <c r="H486" t="str">
        <f>IF(lmsi_v1_v2_comparison[[#This Row],[score_change]]&gt;0, "v2 Higher","v2 Lower")</f>
        <v>v2 Lower</v>
      </c>
    </row>
    <row r="487" spans="1:8" x14ac:dyDescent="0.2">
      <c r="A487" t="s">
        <v>42</v>
      </c>
      <c r="B487" t="s">
        <v>16</v>
      </c>
      <c r="C487" t="s">
        <v>14</v>
      </c>
      <c r="D487">
        <v>16.239999999999998</v>
      </c>
      <c r="E487">
        <v>18.2</v>
      </c>
      <c r="F487">
        <v>1.96</v>
      </c>
      <c r="G487">
        <f>ABS(lmsi_v1_v2_comparison[[#This Row],[score_change]])</f>
        <v>1.96</v>
      </c>
      <c r="H487" t="str">
        <f>IF(lmsi_v1_v2_comparison[[#This Row],[score_change]]&gt;0, "v2 Higher","v2 Lower")</f>
        <v>v2 Higher</v>
      </c>
    </row>
    <row r="488" spans="1:8" x14ac:dyDescent="0.2">
      <c r="A488" t="s">
        <v>43</v>
      </c>
      <c r="B488" t="s">
        <v>8</v>
      </c>
      <c r="C488" t="s">
        <v>9</v>
      </c>
      <c r="D488">
        <v>23.85</v>
      </c>
      <c r="E488">
        <v>20.95</v>
      </c>
      <c r="F488">
        <v>-2.9</v>
      </c>
      <c r="G488">
        <f>ABS(lmsi_v1_v2_comparison[[#This Row],[score_change]])</f>
        <v>2.9</v>
      </c>
      <c r="H488" t="str">
        <f>IF(lmsi_v1_v2_comparison[[#This Row],[score_change]]&gt;0, "v2 Higher","v2 Lower")</f>
        <v>v2 Lower</v>
      </c>
    </row>
    <row r="489" spans="1:8" x14ac:dyDescent="0.2">
      <c r="A489" t="s">
        <v>43</v>
      </c>
      <c r="B489" t="s">
        <v>8</v>
      </c>
      <c r="C489" t="s">
        <v>10</v>
      </c>
      <c r="D489">
        <v>11.59</v>
      </c>
      <c r="E489">
        <v>11.87</v>
      </c>
      <c r="F489">
        <v>0.28000000000000003</v>
      </c>
      <c r="G489">
        <f>ABS(lmsi_v1_v2_comparison[[#This Row],[score_change]])</f>
        <v>0.28000000000000003</v>
      </c>
      <c r="H489" t="str">
        <f>IF(lmsi_v1_v2_comparison[[#This Row],[score_change]]&gt;0, "v2 Higher","v2 Lower")</f>
        <v>v2 Higher</v>
      </c>
    </row>
    <row r="490" spans="1:8" x14ac:dyDescent="0.2">
      <c r="A490" t="s">
        <v>43</v>
      </c>
      <c r="B490" t="s">
        <v>8</v>
      </c>
      <c r="C490" t="s">
        <v>11</v>
      </c>
      <c r="D490">
        <v>13.83</v>
      </c>
      <c r="E490">
        <v>15.68</v>
      </c>
      <c r="F490">
        <v>1.85</v>
      </c>
      <c r="G490">
        <f>ABS(lmsi_v1_v2_comparison[[#This Row],[score_change]])</f>
        <v>1.85</v>
      </c>
      <c r="H490" t="str">
        <f>IF(lmsi_v1_v2_comparison[[#This Row],[score_change]]&gt;0, "v2 Higher","v2 Lower")</f>
        <v>v2 Higher</v>
      </c>
    </row>
    <row r="491" spans="1:8" x14ac:dyDescent="0.2">
      <c r="A491" t="s">
        <v>43</v>
      </c>
      <c r="B491" t="s">
        <v>8</v>
      </c>
      <c r="C491" t="s">
        <v>12</v>
      </c>
      <c r="D491">
        <v>17.84</v>
      </c>
      <c r="E491">
        <v>19.45</v>
      </c>
      <c r="F491">
        <v>1.61</v>
      </c>
      <c r="G491">
        <f>ABS(lmsi_v1_v2_comparison[[#This Row],[score_change]])</f>
        <v>1.61</v>
      </c>
      <c r="H491" t="str">
        <f>IF(lmsi_v1_v2_comparison[[#This Row],[score_change]]&gt;0, "v2 Higher","v2 Lower")</f>
        <v>v2 Higher</v>
      </c>
    </row>
    <row r="492" spans="1:8" x14ac:dyDescent="0.2">
      <c r="A492" t="s">
        <v>43</v>
      </c>
      <c r="B492" t="s">
        <v>8</v>
      </c>
      <c r="C492" t="s">
        <v>13</v>
      </c>
      <c r="D492">
        <v>13.46</v>
      </c>
      <c r="E492">
        <v>13.4</v>
      </c>
      <c r="F492">
        <v>-0.06</v>
      </c>
      <c r="G492">
        <f>ABS(lmsi_v1_v2_comparison[[#This Row],[score_change]])</f>
        <v>0.06</v>
      </c>
      <c r="H492" t="str">
        <f>IF(lmsi_v1_v2_comparison[[#This Row],[score_change]]&gt;0, "v2 Higher","v2 Lower")</f>
        <v>v2 Lower</v>
      </c>
    </row>
    <row r="493" spans="1:8" x14ac:dyDescent="0.2">
      <c r="A493" t="s">
        <v>43</v>
      </c>
      <c r="B493" t="s">
        <v>8</v>
      </c>
      <c r="C493" t="s">
        <v>14</v>
      </c>
      <c r="D493">
        <v>14.78</v>
      </c>
      <c r="E493">
        <v>16.03</v>
      </c>
      <c r="F493">
        <v>1.25</v>
      </c>
      <c r="G493">
        <f>ABS(lmsi_v1_v2_comparison[[#This Row],[score_change]])</f>
        <v>1.25</v>
      </c>
      <c r="H493" t="str">
        <f>IF(lmsi_v1_v2_comparison[[#This Row],[score_change]]&gt;0, "v2 Higher","v2 Lower")</f>
        <v>v2 Higher</v>
      </c>
    </row>
    <row r="494" spans="1:8" x14ac:dyDescent="0.2">
      <c r="A494" t="s">
        <v>43</v>
      </c>
      <c r="B494" t="s">
        <v>15</v>
      </c>
      <c r="C494" t="s">
        <v>9</v>
      </c>
      <c r="D494">
        <v>29.59</v>
      </c>
      <c r="E494">
        <v>25.89</v>
      </c>
      <c r="F494">
        <v>-3.7</v>
      </c>
      <c r="G494">
        <f>ABS(lmsi_v1_v2_comparison[[#This Row],[score_change]])</f>
        <v>3.7</v>
      </c>
      <c r="H494" t="str">
        <f>IF(lmsi_v1_v2_comparison[[#This Row],[score_change]]&gt;0, "v2 Higher","v2 Lower")</f>
        <v>v2 Lower</v>
      </c>
    </row>
    <row r="495" spans="1:8" x14ac:dyDescent="0.2">
      <c r="A495" t="s">
        <v>43</v>
      </c>
      <c r="B495" t="s">
        <v>15</v>
      </c>
      <c r="C495" t="s">
        <v>10</v>
      </c>
      <c r="D495">
        <v>14.37</v>
      </c>
      <c r="E495">
        <v>13.92</v>
      </c>
      <c r="F495">
        <v>-0.45</v>
      </c>
      <c r="G495">
        <f>ABS(lmsi_v1_v2_comparison[[#This Row],[score_change]])</f>
        <v>0.45</v>
      </c>
      <c r="H495" t="str">
        <f>IF(lmsi_v1_v2_comparison[[#This Row],[score_change]]&gt;0, "v2 Higher","v2 Lower")</f>
        <v>v2 Lower</v>
      </c>
    </row>
    <row r="496" spans="1:8" x14ac:dyDescent="0.2">
      <c r="A496" t="s">
        <v>43</v>
      </c>
      <c r="B496" t="s">
        <v>15</v>
      </c>
      <c r="C496" t="s">
        <v>11</v>
      </c>
      <c r="D496">
        <v>15.81</v>
      </c>
      <c r="E496">
        <v>18.18</v>
      </c>
      <c r="F496">
        <v>2.37</v>
      </c>
      <c r="G496">
        <f>ABS(lmsi_v1_v2_comparison[[#This Row],[score_change]])</f>
        <v>2.37</v>
      </c>
      <c r="H496" t="str">
        <f>IF(lmsi_v1_v2_comparison[[#This Row],[score_change]]&gt;0, "v2 Higher","v2 Lower")</f>
        <v>v2 Higher</v>
      </c>
    </row>
    <row r="497" spans="1:8" x14ac:dyDescent="0.2">
      <c r="A497" t="s">
        <v>43</v>
      </c>
      <c r="B497" t="s">
        <v>15</v>
      </c>
      <c r="C497" t="s">
        <v>12</v>
      </c>
      <c r="D497">
        <v>22.04</v>
      </c>
      <c r="E497">
        <v>23.36</v>
      </c>
      <c r="F497">
        <v>1.32</v>
      </c>
      <c r="G497">
        <f>ABS(lmsi_v1_v2_comparison[[#This Row],[score_change]])</f>
        <v>1.32</v>
      </c>
      <c r="H497" t="str">
        <f>IF(lmsi_v1_v2_comparison[[#This Row],[score_change]]&gt;0, "v2 Higher","v2 Lower")</f>
        <v>v2 Higher</v>
      </c>
    </row>
    <row r="498" spans="1:8" x14ac:dyDescent="0.2">
      <c r="A498" t="s">
        <v>43</v>
      </c>
      <c r="B498" t="s">
        <v>15</v>
      </c>
      <c r="C498" t="s">
        <v>13</v>
      </c>
      <c r="D498">
        <v>16.27</v>
      </c>
      <c r="E498">
        <v>15.82</v>
      </c>
      <c r="F498">
        <v>-0.45</v>
      </c>
      <c r="G498">
        <f>ABS(lmsi_v1_v2_comparison[[#This Row],[score_change]])</f>
        <v>0.45</v>
      </c>
      <c r="H498" t="str">
        <f>IF(lmsi_v1_v2_comparison[[#This Row],[score_change]]&gt;0, "v2 Higher","v2 Lower")</f>
        <v>v2 Lower</v>
      </c>
    </row>
    <row r="499" spans="1:8" x14ac:dyDescent="0.2">
      <c r="A499" t="s">
        <v>43</v>
      </c>
      <c r="B499" t="s">
        <v>15</v>
      </c>
      <c r="C499" t="s">
        <v>14</v>
      </c>
      <c r="D499">
        <v>23.72</v>
      </c>
      <c r="E499">
        <v>23.88</v>
      </c>
      <c r="F499">
        <v>0.16</v>
      </c>
      <c r="G499">
        <f>ABS(lmsi_v1_v2_comparison[[#This Row],[score_change]])</f>
        <v>0.16</v>
      </c>
      <c r="H499" t="str">
        <f>IF(lmsi_v1_v2_comparison[[#This Row],[score_change]]&gt;0, "v2 Higher","v2 Lower")</f>
        <v>v2 Higher</v>
      </c>
    </row>
    <row r="500" spans="1:8" x14ac:dyDescent="0.2">
      <c r="A500" t="s">
        <v>43</v>
      </c>
      <c r="B500" t="s">
        <v>16</v>
      </c>
      <c r="C500" t="s">
        <v>9</v>
      </c>
      <c r="D500">
        <v>25.09</v>
      </c>
      <c r="E500">
        <v>22.69</v>
      </c>
      <c r="F500">
        <v>-2.4</v>
      </c>
      <c r="G500">
        <f>ABS(lmsi_v1_v2_comparison[[#This Row],[score_change]])</f>
        <v>2.4</v>
      </c>
      <c r="H500" t="str">
        <f>IF(lmsi_v1_v2_comparison[[#This Row],[score_change]]&gt;0, "v2 Higher","v2 Lower")</f>
        <v>v2 Lower</v>
      </c>
    </row>
    <row r="501" spans="1:8" x14ac:dyDescent="0.2">
      <c r="A501" t="s">
        <v>43</v>
      </c>
      <c r="B501" t="s">
        <v>16</v>
      </c>
      <c r="C501" t="s">
        <v>10</v>
      </c>
      <c r="D501">
        <v>13.05</v>
      </c>
      <c r="E501">
        <v>13.75</v>
      </c>
      <c r="F501">
        <v>0.7</v>
      </c>
      <c r="G501">
        <f>ABS(lmsi_v1_v2_comparison[[#This Row],[score_change]])</f>
        <v>0.7</v>
      </c>
      <c r="H501" t="str">
        <f>IF(lmsi_v1_v2_comparison[[#This Row],[score_change]]&gt;0, "v2 Higher","v2 Lower")</f>
        <v>v2 Higher</v>
      </c>
    </row>
    <row r="502" spans="1:8" x14ac:dyDescent="0.2">
      <c r="A502" t="s">
        <v>43</v>
      </c>
      <c r="B502" t="s">
        <v>16</v>
      </c>
      <c r="C502" t="s">
        <v>11</v>
      </c>
      <c r="D502">
        <v>14.43</v>
      </c>
      <c r="E502">
        <v>15.37</v>
      </c>
      <c r="F502">
        <v>0.94</v>
      </c>
      <c r="G502">
        <f>ABS(lmsi_v1_v2_comparison[[#This Row],[score_change]])</f>
        <v>0.94</v>
      </c>
      <c r="H502" t="str">
        <f>IF(lmsi_v1_v2_comparison[[#This Row],[score_change]]&gt;0, "v2 Higher","v2 Lower")</f>
        <v>v2 Higher</v>
      </c>
    </row>
    <row r="503" spans="1:8" x14ac:dyDescent="0.2">
      <c r="A503" t="s">
        <v>43</v>
      </c>
      <c r="B503" t="s">
        <v>16</v>
      </c>
      <c r="C503" t="s">
        <v>12</v>
      </c>
      <c r="D503">
        <v>19.54</v>
      </c>
      <c r="E503">
        <v>22.47</v>
      </c>
      <c r="F503">
        <v>2.93</v>
      </c>
      <c r="G503">
        <f>ABS(lmsi_v1_v2_comparison[[#This Row],[score_change]])</f>
        <v>2.93</v>
      </c>
      <c r="H503" t="str">
        <f>IF(lmsi_v1_v2_comparison[[#This Row],[score_change]]&gt;0, "v2 Higher","v2 Lower")</f>
        <v>v2 Higher</v>
      </c>
    </row>
    <row r="504" spans="1:8" x14ac:dyDescent="0.2">
      <c r="A504" t="s">
        <v>43</v>
      </c>
      <c r="B504" t="s">
        <v>16</v>
      </c>
      <c r="C504" t="s">
        <v>13</v>
      </c>
      <c r="D504">
        <v>12.96</v>
      </c>
      <c r="E504">
        <v>12.88</v>
      </c>
      <c r="F504">
        <v>-0.08</v>
      </c>
      <c r="G504">
        <f>ABS(lmsi_v1_v2_comparison[[#This Row],[score_change]])</f>
        <v>0.08</v>
      </c>
      <c r="H504" t="str">
        <f>IF(lmsi_v1_v2_comparison[[#This Row],[score_change]]&gt;0, "v2 Higher","v2 Lower")</f>
        <v>v2 Lower</v>
      </c>
    </row>
    <row r="505" spans="1:8" x14ac:dyDescent="0.2">
      <c r="A505" t="s">
        <v>43</v>
      </c>
      <c r="B505" t="s">
        <v>16</v>
      </c>
      <c r="C505" t="s">
        <v>14</v>
      </c>
      <c r="D505">
        <v>17.63</v>
      </c>
      <c r="E505">
        <v>20.309999999999999</v>
      </c>
      <c r="F505">
        <v>2.68</v>
      </c>
      <c r="G505">
        <f>ABS(lmsi_v1_v2_comparison[[#This Row],[score_change]])</f>
        <v>2.68</v>
      </c>
      <c r="H505" t="str">
        <f>IF(lmsi_v1_v2_comparison[[#This Row],[score_change]]&gt;0, "v2 Higher","v2 Lower")</f>
        <v>v2 Higher</v>
      </c>
    </row>
    <row r="506" spans="1:8" x14ac:dyDescent="0.2">
      <c r="A506" t="s">
        <v>44</v>
      </c>
      <c r="B506" t="s">
        <v>8</v>
      </c>
      <c r="C506" t="s">
        <v>9</v>
      </c>
      <c r="D506">
        <v>22.23</v>
      </c>
      <c r="E506">
        <v>20.34</v>
      </c>
      <c r="F506">
        <v>-1.89</v>
      </c>
      <c r="G506">
        <f>ABS(lmsi_v1_v2_comparison[[#This Row],[score_change]])</f>
        <v>1.89</v>
      </c>
      <c r="H506" t="str">
        <f>IF(lmsi_v1_v2_comparison[[#This Row],[score_change]]&gt;0, "v2 Higher","v2 Lower")</f>
        <v>v2 Lower</v>
      </c>
    </row>
    <row r="507" spans="1:8" x14ac:dyDescent="0.2">
      <c r="A507" t="s">
        <v>44</v>
      </c>
      <c r="B507" t="s">
        <v>8</v>
      </c>
      <c r="C507" t="s">
        <v>10</v>
      </c>
      <c r="D507">
        <v>11.86</v>
      </c>
      <c r="E507">
        <v>12.82</v>
      </c>
      <c r="F507">
        <v>0.96</v>
      </c>
      <c r="G507">
        <f>ABS(lmsi_v1_v2_comparison[[#This Row],[score_change]])</f>
        <v>0.96</v>
      </c>
      <c r="H507" t="str">
        <f>IF(lmsi_v1_v2_comparison[[#This Row],[score_change]]&gt;0, "v2 Higher","v2 Lower")</f>
        <v>v2 Higher</v>
      </c>
    </row>
    <row r="508" spans="1:8" x14ac:dyDescent="0.2">
      <c r="A508" t="s">
        <v>44</v>
      </c>
      <c r="B508" t="s">
        <v>8</v>
      </c>
      <c r="C508" t="s">
        <v>11</v>
      </c>
      <c r="D508">
        <v>14.05</v>
      </c>
      <c r="E508">
        <v>14.9</v>
      </c>
      <c r="F508">
        <v>0.85</v>
      </c>
      <c r="G508">
        <f>ABS(lmsi_v1_v2_comparison[[#This Row],[score_change]])</f>
        <v>0.85</v>
      </c>
      <c r="H508" t="str">
        <f>IF(lmsi_v1_v2_comparison[[#This Row],[score_change]]&gt;0, "v2 Higher","v2 Lower")</f>
        <v>v2 Higher</v>
      </c>
    </row>
    <row r="509" spans="1:8" x14ac:dyDescent="0.2">
      <c r="A509" t="s">
        <v>44</v>
      </c>
      <c r="B509" t="s">
        <v>8</v>
      </c>
      <c r="C509" t="s">
        <v>12</v>
      </c>
      <c r="D509">
        <v>17.510000000000002</v>
      </c>
      <c r="E509">
        <v>20.78</v>
      </c>
      <c r="F509">
        <v>3.27</v>
      </c>
      <c r="G509">
        <f>ABS(lmsi_v1_v2_comparison[[#This Row],[score_change]])</f>
        <v>3.27</v>
      </c>
      <c r="H509" t="str">
        <f>IF(lmsi_v1_v2_comparison[[#This Row],[score_change]]&gt;0, "v2 Higher","v2 Lower")</f>
        <v>v2 Higher</v>
      </c>
    </row>
    <row r="510" spans="1:8" x14ac:dyDescent="0.2">
      <c r="A510" t="s">
        <v>44</v>
      </c>
      <c r="B510" t="s">
        <v>8</v>
      </c>
      <c r="C510" t="s">
        <v>13</v>
      </c>
      <c r="D510">
        <v>12.07</v>
      </c>
      <c r="E510">
        <v>12.62</v>
      </c>
      <c r="F510">
        <v>0.55000000000000004</v>
      </c>
      <c r="G510">
        <f>ABS(lmsi_v1_v2_comparison[[#This Row],[score_change]])</f>
        <v>0.55000000000000004</v>
      </c>
      <c r="H510" t="str">
        <f>IF(lmsi_v1_v2_comparison[[#This Row],[score_change]]&gt;0, "v2 Higher","v2 Lower")</f>
        <v>v2 Higher</v>
      </c>
    </row>
    <row r="511" spans="1:8" x14ac:dyDescent="0.2">
      <c r="A511" t="s">
        <v>44</v>
      </c>
      <c r="B511" t="s">
        <v>8</v>
      </c>
      <c r="C511" t="s">
        <v>14</v>
      </c>
      <c r="D511">
        <v>12.34</v>
      </c>
      <c r="E511">
        <v>13.64</v>
      </c>
      <c r="F511">
        <v>1.3</v>
      </c>
      <c r="G511">
        <f>ABS(lmsi_v1_v2_comparison[[#This Row],[score_change]])</f>
        <v>1.3</v>
      </c>
      <c r="H511" t="str">
        <f>IF(lmsi_v1_v2_comparison[[#This Row],[score_change]]&gt;0, "v2 Higher","v2 Lower")</f>
        <v>v2 Higher</v>
      </c>
    </row>
    <row r="512" spans="1:8" x14ac:dyDescent="0.2">
      <c r="A512" t="s">
        <v>44</v>
      </c>
      <c r="B512" t="s">
        <v>15</v>
      </c>
      <c r="C512" t="s">
        <v>9</v>
      </c>
      <c r="D512">
        <v>27.5</v>
      </c>
      <c r="E512">
        <v>24.43</v>
      </c>
      <c r="F512">
        <v>-3.07</v>
      </c>
      <c r="G512">
        <f>ABS(lmsi_v1_v2_comparison[[#This Row],[score_change]])</f>
        <v>3.07</v>
      </c>
      <c r="H512" t="str">
        <f>IF(lmsi_v1_v2_comparison[[#This Row],[score_change]]&gt;0, "v2 Higher","v2 Lower")</f>
        <v>v2 Lower</v>
      </c>
    </row>
    <row r="513" spans="1:8" x14ac:dyDescent="0.2">
      <c r="A513" t="s">
        <v>44</v>
      </c>
      <c r="B513" t="s">
        <v>15</v>
      </c>
      <c r="C513" t="s">
        <v>10</v>
      </c>
      <c r="D513">
        <v>14.34</v>
      </c>
      <c r="E513">
        <v>14.39</v>
      </c>
      <c r="F513">
        <v>0.05</v>
      </c>
      <c r="G513">
        <f>ABS(lmsi_v1_v2_comparison[[#This Row],[score_change]])</f>
        <v>0.05</v>
      </c>
      <c r="H513" t="str">
        <f>IF(lmsi_v1_v2_comparison[[#This Row],[score_change]]&gt;0, "v2 Higher","v2 Lower")</f>
        <v>v2 Higher</v>
      </c>
    </row>
    <row r="514" spans="1:8" x14ac:dyDescent="0.2">
      <c r="A514" t="s">
        <v>44</v>
      </c>
      <c r="B514" t="s">
        <v>15</v>
      </c>
      <c r="C514" t="s">
        <v>11</v>
      </c>
      <c r="D514">
        <v>16.14</v>
      </c>
      <c r="E514">
        <v>17.29</v>
      </c>
      <c r="F514">
        <v>1.1499999999999999</v>
      </c>
      <c r="G514">
        <f>ABS(lmsi_v1_v2_comparison[[#This Row],[score_change]])</f>
        <v>1.1499999999999999</v>
      </c>
      <c r="H514" t="str">
        <f>IF(lmsi_v1_v2_comparison[[#This Row],[score_change]]&gt;0, "v2 Higher","v2 Lower")</f>
        <v>v2 Higher</v>
      </c>
    </row>
    <row r="515" spans="1:8" x14ac:dyDescent="0.2">
      <c r="A515" t="s">
        <v>44</v>
      </c>
      <c r="B515" t="s">
        <v>15</v>
      </c>
      <c r="C515" t="s">
        <v>12</v>
      </c>
      <c r="D515">
        <v>21.27</v>
      </c>
      <c r="E515">
        <v>21.59</v>
      </c>
      <c r="F515">
        <v>0.32</v>
      </c>
      <c r="G515">
        <f>ABS(lmsi_v1_v2_comparison[[#This Row],[score_change]])</f>
        <v>0.32</v>
      </c>
      <c r="H515" t="str">
        <f>IF(lmsi_v1_v2_comparison[[#This Row],[score_change]]&gt;0, "v2 Higher","v2 Lower")</f>
        <v>v2 Higher</v>
      </c>
    </row>
    <row r="516" spans="1:8" x14ac:dyDescent="0.2">
      <c r="A516" t="s">
        <v>44</v>
      </c>
      <c r="B516" t="s">
        <v>15</v>
      </c>
      <c r="C516" t="s">
        <v>13</v>
      </c>
      <c r="D516">
        <v>15.12</v>
      </c>
      <c r="E516">
        <v>16.600000000000001</v>
      </c>
      <c r="F516">
        <v>1.48</v>
      </c>
      <c r="G516">
        <f>ABS(lmsi_v1_v2_comparison[[#This Row],[score_change]])</f>
        <v>1.48</v>
      </c>
      <c r="H516" t="str">
        <f>IF(lmsi_v1_v2_comparison[[#This Row],[score_change]]&gt;0, "v2 Higher","v2 Lower")</f>
        <v>v2 Higher</v>
      </c>
    </row>
    <row r="517" spans="1:8" x14ac:dyDescent="0.2">
      <c r="A517" t="s">
        <v>44</v>
      </c>
      <c r="B517" t="s">
        <v>15</v>
      </c>
      <c r="C517" t="s">
        <v>14</v>
      </c>
      <c r="D517">
        <v>21.16</v>
      </c>
      <c r="E517">
        <v>25.33</v>
      </c>
      <c r="F517">
        <v>4.17</v>
      </c>
      <c r="G517">
        <f>ABS(lmsi_v1_v2_comparison[[#This Row],[score_change]])</f>
        <v>4.17</v>
      </c>
      <c r="H517" t="str">
        <f>IF(lmsi_v1_v2_comparison[[#This Row],[score_change]]&gt;0, "v2 Higher","v2 Lower")</f>
        <v>v2 Higher</v>
      </c>
    </row>
    <row r="518" spans="1:8" x14ac:dyDescent="0.2">
      <c r="A518" t="s">
        <v>44</v>
      </c>
      <c r="B518" t="s">
        <v>16</v>
      </c>
      <c r="C518" t="s">
        <v>9</v>
      </c>
      <c r="D518">
        <v>23.04</v>
      </c>
      <c r="E518">
        <v>20.69</v>
      </c>
      <c r="F518">
        <v>-2.35</v>
      </c>
      <c r="G518">
        <f>ABS(lmsi_v1_v2_comparison[[#This Row],[score_change]])</f>
        <v>2.35</v>
      </c>
      <c r="H518" t="str">
        <f>IF(lmsi_v1_v2_comparison[[#This Row],[score_change]]&gt;0, "v2 Higher","v2 Lower")</f>
        <v>v2 Lower</v>
      </c>
    </row>
    <row r="519" spans="1:8" x14ac:dyDescent="0.2">
      <c r="A519" t="s">
        <v>44</v>
      </c>
      <c r="B519" t="s">
        <v>16</v>
      </c>
      <c r="C519" t="s">
        <v>10</v>
      </c>
      <c r="D519">
        <v>13.47</v>
      </c>
      <c r="E519">
        <v>13.72</v>
      </c>
      <c r="F519">
        <v>0.25</v>
      </c>
      <c r="G519">
        <f>ABS(lmsi_v1_v2_comparison[[#This Row],[score_change]])</f>
        <v>0.25</v>
      </c>
      <c r="H519" t="str">
        <f>IF(lmsi_v1_v2_comparison[[#This Row],[score_change]]&gt;0, "v2 Higher","v2 Lower")</f>
        <v>v2 Higher</v>
      </c>
    </row>
    <row r="520" spans="1:8" x14ac:dyDescent="0.2">
      <c r="A520" t="s">
        <v>44</v>
      </c>
      <c r="B520" t="s">
        <v>16</v>
      </c>
      <c r="C520" t="s">
        <v>11</v>
      </c>
      <c r="D520">
        <v>14.61</v>
      </c>
      <c r="E520">
        <v>14.89</v>
      </c>
      <c r="F520">
        <v>0.28000000000000003</v>
      </c>
      <c r="G520">
        <f>ABS(lmsi_v1_v2_comparison[[#This Row],[score_change]])</f>
        <v>0.28000000000000003</v>
      </c>
      <c r="H520" t="str">
        <f>IF(lmsi_v1_v2_comparison[[#This Row],[score_change]]&gt;0, "v2 Higher","v2 Lower")</f>
        <v>v2 Higher</v>
      </c>
    </row>
    <row r="521" spans="1:8" x14ac:dyDescent="0.2">
      <c r="A521" t="s">
        <v>44</v>
      </c>
      <c r="B521" t="s">
        <v>16</v>
      </c>
      <c r="C521" t="s">
        <v>12</v>
      </c>
      <c r="D521">
        <v>18.899999999999999</v>
      </c>
      <c r="E521">
        <v>20.22</v>
      </c>
      <c r="F521">
        <v>1.32</v>
      </c>
      <c r="G521">
        <f>ABS(lmsi_v1_v2_comparison[[#This Row],[score_change]])</f>
        <v>1.32</v>
      </c>
      <c r="H521" t="str">
        <f>IF(lmsi_v1_v2_comparison[[#This Row],[score_change]]&gt;0, "v2 Higher","v2 Lower")</f>
        <v>v2 Higher</v>
      </c>
    </row>
    <row r="522" spans="1:8" x14ac:dyDescent="0.2">
      <c r="A522" t="s">
        <v>44</v>
      </c>
      <c r="B522" t="s">
        <v>16</v>
      </c>
      <c r="C522" t="s">
        <v>13</v>
      </c>
      <c r="D522">
        <v>11.74</v>
      </c>
      <c r="E522">
        <v>11.72</v>
      </c>
      <c r="F522">
        <v>-0.02</v>
      </c>
      <c r="G522">
        <f>ABS(lmsi_v1_v2_comparison[[#This Row],[score_change]])</f>
        <v>0.02</v>
      </c>
      <c r="H522" t="str">
        <f>IF(lmsi_v1_v2_comparison[[#This Row],[score_change]]&gt;0, "v2 Higher","v2 Lower")</f>
        <v>v2 Lower</v>
      </c>
    </row>
    <row r="523" spans="1:8" x14ac:dyDescent="0.2">
      <c r="A523" t="s">
        <v>44</v>
      </c>
      <c r="B523" t="s">
        <v>16</v>
      </c>
      <c r="C523" t="s">
        <v>14</v>
      </c>
      <c r="D523">
        <v>15.6</v>
      </c>
      <c r="E523">
        <v>17.75</v>
      </c>
      <c r="F523">
        <v>2.15</v>
      </c>
      <c r="G523">
        <f>ABS(lmsi_v1_v2_comparison[[#This Row],[score_change]])</f>
        <v>2.15</v>
      </c>
      <c r="H523" t="str">
        <f>IF(lmsi_v1_v2_comparison[[#This Row],[score_change]]&gt;0, "v2 Higher","v2 Lower")</f>
        <v>v2 Higher</v>
      </c>
    </row>
    <row r="524" spans="1:8" x14ac:dyDescent="0.2">
      <c r="A524" t="s">
        <v>45</v>
      </c>
      <c r="B524" t="s">
        <v>8</v>
      </c>
      <c r="C524" t="s">
        <v>9</v>
      </c>
      <c r="D524">
        <v>23.22</v>
      </c>
      <c r="E524">
        <v>20.74</v>
      </c>
      <c r="F524">
        <v>-2.48</v>
      </c>
      <c r="G524">
        <f>ABS(lmsi_v1_v2_comparison[[#This Row],[score_change]])</f>
        <v>2.48</v>
      </c>
      <c r="H524" t="str">
        <f>IF(lmsi_v1_v2_comparison[[#This Row],[score_change]]&gt;0, "v2 Higher","v2 Lower")</f>
        <v>v2 Lower</v>
      </c>
    </row>
    <row r="525" spans="1:8" x14ac:dyDescent="0.2">
      <c r="A525" t="s">
        <v>45</v>
      </c>
      <c r="B525" t="s">
        <v>8</v>
      </c>
      <c r="C525" t="s">
        <v>10</v>
      </c>
      <c r="D525">
        <v>12.71</v>
      </c>
      <c r="E525">
        <v>13.22</v>
      </c>
      <c r="F525">
        <v>0.51</v>
      </c>
      <c r="G525">
        <f>ABS(lmsi_v1_v2_comparison[[#This Row],[score_change]])</f>
        <v>0.51</v>
      </c>
      <c r="H525" t="str">
        <f>IF(lmsi_v1_v2_comparison[[#This Row],[score_change]]&gt;0, "v2 Higher","v2 Lower")</f>
        <v>v2 Higher</v>
      </c>
    </row>
    <row r="526" spans="1:8" x14ac:dyDescent="0.2">
      <c r="A526" t="s">
        <v>45</v>
      </c>
      <c r="B526" t="s">
        <v>8</v>
      </c>
      <c r="C526" t="s">
        <v>11</v>
      </c>
      <c r="D526">
        <v>13.64</v>
      </c>
      <c r="E526">
        <v>13.58</v>
      </c>
      <c r="F526">
        <v>-0.06</v>
      </c>
      <c r="G526">
        <f>ABS(lmsi_v1_v2_comparison[[#This Row],[score_change]])</f>
        <v>0.06</v>
      </c>
      <c r="H526" t="str">
        <f>IF(lmsi_v1_v2_comparison[[#This Row],[score_change]]&gt;0, "v2 Higher","v2 Lower")</f>
        <v>v2 Lower</v>
      </c>
    </row>
    <row r="527" spans="1:8" x14ac:dyDescent="0.2">
      <c r="A527" t="s">
        <v>45</v>
      </c>
      <c r="B527" t="s">
        <v>8</v>
      </c>
      <c r="C527" t="s">
        <v>12</v>
      </c>
      <c r="D527">
        <v>17.32</v>
      </c>
      <c r="E527">
        <v>19.059999999999999</v>
      </c>
      <c r="F527">
        <v>1.74</v>
      </c>
      <c r="G527">
        <f>ABS(lmsi_v1_v2_comparison[[#This Row],[score_change]])</f>
        <v>1.74</v>
      </c>
      <c r="H527" t="str">
        <f>IF(lmsi_v1_v2_comparison[[#This Row],[score_change]]&gt;0, "v2 Higher","v2 Lower")</f>
        <v>v2 Higher</v>
      </c>
    </row>
    <row r="528" spans="1:8" x14ac:dyDescent="0.2">
      <c r="A528" t="s">
        <v>45</v>
      </c>
      <c r="B528" t="s">
        <v>8</v>
      </c>
      <c r="C528" t="s">
        <v>13</v>
      </c>
      <c r="D528">
        <v>14.69</v>
      </c>
      <c r="E528">
        <v>14.86</v>
      </c>
      <c r="F528">
        <v>0.17</v>
      </c>
      <c r="G528">
        <f>ABS(lmsi_v1_v2_comparison[[#This Row],[score_change]])</f>
        <v>0.17</v>
      </c>
      <c r="H528" t="str">
        <f>IF(lmsi_v1_v2_comparison[[#This Row],[score_change]]&gt;0, "v2 Higher","v2 Lower")</f>
        <v>v2 Higher</v>
      </c>
    </row>
    <row r="529" spans="1:8" x14ac:dyDescent="0.2">
      <c r="A529" t="s">
        <v>45</v>
      </c>
      <c r="B529" t="s">
        <v>8</v>
      </c>
      <c r="C529" t="s">
        <v>14</v>
      </c>
      <c r="D529">
        <v>14.67</v>
      </c>
      <c r="E529">
        <v>16.27</v>
      </c>
      <c r="F529">
        <v>1.6</v>
      </c>
      <c r="G529">
        <f>ABS(lmsi_v1_v2_comparison[[#This Row],[score_change]])</f>
        <v>1.6</v>
      </c>
      <c r="H529" t="str">
        <f>IF(lmsi_v1_v2_comparison[[#This Row],[score_change]]&gt;0, "v2 Higher","v2 Lower")</f>
        <v>v2 Higher</v>
      </c>
    </row>
    <row r="530" spans="1:8" x14ac:dyDescent="0.2">
      <c r="A530" t="s">
        <v>45</v>
      </c>
      <c r="B530" t="s">
        <v>15</v>
      </c>
      <c r="C530" t="s">
        <v>9</v>
      </c>
      <c r="D530">
        <v>30.11</v>
      </c>
      <c r="E530">
        <v>25.73</v>
      </c>
      <c r="F530">
        <v>-4.38</v>
      </c>
      <c r="G530">
        <f>ABS(lmsi_v1_v2_comparison[[#This Row],[score_change]])</f>
        <v>4.38</v>
      </c>
      <c r="H530" t="str">
        <f>IF(lmsi_v1_v2_comparison[[#This Row],[score_change]]&gt;0, "v2 Higher","v2 Lower")</f>
        <v>v2 Lower</v>
      </c>
    </row>
    <row r="531" spans="1:8" x14ac:dyDescent="0.2">
      <c r="A531" t="s">
        <v>45</v>
      </c>
      <c r="B531" t="s">
        <v>15</v>
      </c>
      <c r="C531" t="s">
        <v>10</v>
      </c>
      <c r="D531">
        <v>15.83</v>
      </c>
      <c r="E531">
        <v>16.02</v>
      </c>
      <c r="F531">
        <v>0.19</v>
      </c>
      <c r="G531">
        <f>ABS(lmsi_v1_v2_comparison[[#This Row],[score_change]])</f>
        <v>0.19</v>
      </c>
      <c r="H531" t="str">
        <f>IF(lmsi_v1_v2_comparison[[#This Row],[score_change]]&gt;0, "v2 Higher","v2 Lower")</f>
        <v>v2 Higher</v>
      </c>
    </row>
    <row r="532" spans="1:8" x14ac:dyDescent="0.2">
      <c r="A532" t="s">
        <v>45</v>
      </c>
      <c r="B532" t="s">
        <v>15</v>
      </c>
      <c r="C532" t="s">
        <v>11</v>
      </c>
      <c r="D532">
        <v>15.87</v>
      </c>
      <c r="E532">
        <v>15.28</v>
      </c>
      <c r="F532">
        <v>-0.59</v>
      </c>
      <c r="G532">
        <f>ABS(lmsi_v1_v2_comparison[[#This Row],[score_change]])</f>
        <v>0.59</v>
      </c>
      <c r="H532" t="str">
        <f>IF(lmsi_v1_v2_comparison[[#This Row],[score_change]]&gt;0, "v2 Higher","v2 Lower")</f>
        <v>v2 Lower</v>
      </c>
    </row>
    <row r="533" spans="1:8" x14ac:dyDescent="0.2">
      <c r="A533" t="s">
        <v>45</v>
      </c>
      <c r="B533" t="s">
        <v>15</v>
      </c>
      <c r="C533" t="s">
        <v>12</v>
      </c>
      <c r="D533">
        <v>21.84</v>
      </c>
      <c r="E533">
        <v>22.74</v>
      </c>
      <c r="F533">
        <v>0.9</v>
      </c>
      <c r="G533">
        <f>ABS(lmsi_v1_v2_comparison[[#This Row],[score_change]])</f>
        <v>0.9</v>
      </c>
      <c r="H533" t="str">
        <f>IF(lmsi_v1_v2_comparison[[#This Row],[score_change]]&gt;0, "v2 Higher","v2 Lower")</f>
        <v>v2 Higher</v>
      </c>
    </row>
    <row r="534" spans="1:8" x14ac:dyDescent="0.2">
      <c r="A534" t="s">
        <v>45</v>
      </c>
      <c r="B534" t="s">
        <v>15</v>
      </c>
      <c r="C534" t="s">
        <v>13</v>
      </c>
      <c r="D534">
        <v>18.34</v>
      </c>
      <c r="E534">
        <v>17.29</v>
      </c>
      <c r="F534">
        <v>-1.05</v>
      </c>
      <c r="G534">
        <f>ABS(lmsi_v1_v2_comparison[[#This Row],[score_change]])</f>
        <v>1.05</v>
      </c>
      <c r="H534" t="str">
        <f>IF(lmsi_v1_v2_comparison[[#This Row],[score_change]]&gt;0, "v2 Higher","v2 Lower")</f>
        <v>v2 Lower</v>
      </c>
    </row>
    <row r="535" spans="1:8" x14ac:dyDescent="0.2">
      <c r="A535" t="s">
        <v>45</v>
      </c>
      <c r="B535" t="s">
        <v>15</v>
      </c>
      <c r="C535" t="s">
        <v>14</v>
      </c>
      <c r="D535">
        <v>24.65</v>
      </c>
      <c r="E535">
        <v>23.38</v>
      </c>
      <c r="F535">
        <v>-1.27</v>
      </c>
      <c r="G535">
        <f>ABS(lmsi_v1_v2_comparison[[#This Row],[score_change]])</f>
        <v>1.27</v>
      </c>
      <c r="H535" t="str">
        <f>IF(lmsi_v1_v2_comparison[[#This Row],[score_change]]&gt;0, "v2 Higher","v2 Lower")</f>
        <v>v2 Lower</v>
      </c>
    </row>
    <row r="536" spans="1:8" x14ac:dyDescent="0.2">
      <c r="A536" t="s">
        <v>45</v>
      </c>
      <c r="B536" t="s">
        <v>16</v>
      </c>
      <c r="C536" t="s">
        <v>9</v>
      </c>
      <c r="D536">
        <v>25.04</v>
      </c>
      <c r="E536">
        <v>21.97</v>
      </c>
      <c r="F536">
        <v>-3.07</v>
      </c>
      <c r="G536">
        <f>ABS(lmsi_v1_v2_comparison[[#This Row],[score_change]])</f>
        <v>3.07</v>
      </c>
      <c r="H536" t="str">
        <f>IF(lmsi_v1_v2_comparison[[#This Row],[score_change]]&gt;0, "v2 Higher","v2 Lower")</f>
        <v>v2 Lower</v>
      </c>
    </row>
    <row r="537" spans="1:8" x14ac:dyDescent="0.2">
      <c r="A537" t="s">
        <v>45</v>
      </c>
      <c r="B537" t="s">
        <v>16</v>
      </c>
      <c r="C537" t="s">
        <v>10</v>
      </c>
      <c r="D537">
        <v>14.68</v>
      </c>
      <c r="E537">
        <v>14.75</v>
      </c>
      <c r="F537">
        <v>7.0000000000000007E-2</v>
      </c>
      <c r="G537">
        <f>ABS(lmsi_v1_v2_comparison[[#This Row],[score_change]])</f>
        <v>7.0000000000000007E-2</v>
      </c>
      <c r="H537" t="str">
        <f>IF(lmsi_v1_v2_comparison[[#This Row],[score_change]]&gt;0, "v2 Higher","v2 Lower")</f>
        <v>v2 Higher</v>
      </c>
    </row>
    <row r="538" spans="1:8" x14ac:dyDescent="0.2">
      <c r="A538" t="s">
        <v>45</v>
      </c>
      <c r="B538" t="s">
        <v>16</v>
      </c>
      <c r="C538" t="s">
        <v>11</v>
      </c>
      <c r="D538">
        <v>14.18</v>
      </c>
      <c r="E538">
        <v>14.02</v>
      </c>
      <c r="F538">
        <v>-0.16</v>
      </c>
      <c r="G538">
        <f>ABS(lmsi_v1_v2_comparison[[#This Row],[score_change]])</f>
        <v>0.16</v>
      </c>
      <c r="H538" t="str">
        <f>IF(lmsi_v1_v2_comparison[[#This Row],[score_change]]&gt;0, "v2 Higher","v2 Lower")</f>
        <v>v2 Lower</v>
      </c>
    </row>
    <row r="539" spans="1:8" x14ac:dyDescent="0.2">
      <c r="A539" t="s">
        <v>45</v>
      </c>
      <c r="B539" t="s">
        <v>16</v>
      </c>
      <c r="C539" t="s">
        <v>12</v>
      </c>
      <c r="D539">
        <v>18.309999999999999</v>
      </c>
      <c r="E539">
        <v>18.29</v>
      </c>
      <c r="F539">
        <v>-0.02</v>
      </c>
      <c r="G539">
        <f>ABS(lmsi_v1_v2_comparison[[#This Row],[score_change]])</f>
        <v>0.02</v>
      </c>
      <c r="H539" t="str">
        <f>IF(lmsi_v1_v2_comparison[[#This Row],[score_change]]&gt;0, "v2 Higher","v2 Lower")</f>
        <v>v2 Lower</v>
      </c>
    </row>
    <row r="540" spans="1:8" x14ac:dyDescent="0.2">
      <c r="A540" t="s">
        <v>45</v>
      </c>
      <c r="B540" t="s">
        <v>16</v>
      </c>
      <c r="C540" t="s">
        <v>13</v>
      </c>
      <c r="D540">
        <v>14.51</v>
      </c>
      <c r="E540">
        <v>14.57</v>
      </c>
      <c r="F540">
        <v>0.06</v>
      </c>
      <c r="G540">
        <f>ABS(lmsi_v1_v2_comparison[[#This Row],[score_change]])</f>
        <v>0.06</v>
      </c>
      <c r="H540" t="str">
        <f>IF(lmsi_v1_v2_comparison[[#This Row],[score_change]]&gt;0, "v2 Higher","v2 Lower")</f>
        <v>v2 Higher</v>
      </c>
    </row>
    <row r="541" spans="1:8" x14ac:dyDescent="0.2">
      <c r="A541" t="s">
        <v>45</v>
      </c>
      <c r="B541" t="s">
        <v>16</v>
      </c>
      <c r="C541" t="s">
        <v>14</v>
      </c>
      <c r="D541">
        <v>17.48</v>
      </c>
      <c r="E541">
        <v>17.52</v>
      </c>
      <c r="F541">
        <v>0.04</v>
      </c>
      <c r="G541">
        <f>ABS(lmsi_v1_v2_comparison[[#This Row],[score_change]])</f>
        <v>0.04</v>
      </c>
      <c r="H541" t="str">
        <f>IF(lmsi_v1_v2_comparison[[#This Row],[score_change]]&gt;0, "v2 Higher","v2 Lower")</f>
        <v>v2 Higher</v>
      </c>
    </row>
    <row r="542" spans="1:8" x14ac:dyDescent="0.2">
      <c r="A542" t="s">
        <v>46</v>
      </c>
      <c r="B542" t="s">
        <v>8</v>
      </c>
      <c r="C542" t="s">
        <v>9</v>
      </c>
      <c r="D542">
        <v>18.52</v>
      </c>
      <c r="E542">
        <v>17.600000000000001</v>
      </c>
      <c r="F542">
        <v>-0.92</v>
      </c>
      <c r="G542">
        <f>ABS(lmsi_v1_v2_comparison[[#This Row],[score_change]])</f>
        <v>0.92</v>
      </c>
      <c r="H542" t="str">
        <f>IF(lmsi_v1_v2_comparison[[#This Row],[score_change]]&gt;0, "v2 Higher","v2 Lower")</f>
        <v>v2 Lower</v>
      </c>
    </row>
    <row r="543" spans="1:8" x14ac:dyDescent="0.2">
      <c r="A543" t="s">
        <v>46</v>
      </c>
      <c r="B543" t="s">
        <v>8</v>
      </c>
      <c r="C543" t="s">
        <v>10</v>
      </c>
      <c r="D543">
        <v>12.82</v>
      </c>
      <c r="E543">
        <v>13.51</v>
      </c>
      <c r="F543">
        <v>0.69</v>
      </c>
      <c r="G543">
        <f>ABS(lmsi_v1_v2_comparison[[#This Row],[score_change]])</f>
        <v>0.69</v>
      </c>
      <c r="H543" t="str">
        <f>IF(lmsi_v1_v2_comparison[[#This Row],[score_change]]&gt;0, "v2 Higher","v2 Lower")</f>
        <v>v2 Higher</v>
      </c>
    </row>
    <row r="544" spans="1:8" x14ac:dyDescent="0.2">
      <c r="A544" t="s">
        <v>46</v>
      </c>
      <c r="B544" t="s">
        <v>8</v>
      </c>
      <c r="C544" t="s">
        <v>11</v>
      </c>
      <c r="D544">
        <v>14.2</v>
      </c>
      <c r="E544">
        <v>14.71</v>
      </c>
      <c r="F544">
        <v>0.51</v>
      </c>
      <c r="G544">
        <f>ABS(lmsi_v1_v2_comparison[[#This Row],[score_change]])</f>
        <v>0.51</v>
      </c>
      <c r="H544" t="str">
        <f>IF(lmsi_v1_v2_comparison[[#This Row],[score_change]]&gt;0, "v2 Higher","v2 Lower")</f>
        <v>v2 Higher</v>
      </c>
    </row>
    <row r="545" spans="1:8" x14ac:dyDescent="0.2">
      <c r="A545" t="s">
        <v>46</v>
      </c>
      <c r="B545" t="s">
        <v>8</v>
      </c>
      <c r="C545" t="s">
        <v>12</v>
      </c>
      <c r="D545">
        <v>19.04</v>
      </c>
      <c r="E545">
        <v>21.99</v>
      </c>
      <c r="F545">
        <v>2.95</v>
      </c>
      <c r="G545">
        <f>ABS(lmsi_v1_v2_comparison[[#This Row],[score_change]])</f>
        <v>2.95</v>
      </c>
      <c r="H545" t="str">
        <f>IF(lmsi_v1_v2_comparison[[#This Row],[score_change]]&gt;0, "v2 Higher","v2 Lower")</f>
        <v>v2 Higher</v>
      </c>
    </row>
    <row r="546" spans="1:8" x14ac:dyDescent="0.2">
      <c r="A546" t="s">
        <v>46</v>
      </c>
      <c r="B546" t="s">
        <v>8</v>
      </c>
      <c r="C546" t="s">
        <v>13</v>
      </c>
      <c r="D546">
        <v>13.83</v>
      </c>
      <c r="E546">
        <v>14.77</v>
      </c>
      <c r="F546">
        <v>0.94</v>
      </c>
      <c r="G546">
        <f>ABS(lmsi_v1_v2_comparison[[#This Row],[score_change]])</f>
        <v>0.94</v>
      </c>
      <c r="H546" t="str">
        <f>IF(lmsi_v1_v2_comparison[[#This Row],[score_change]]&gt;0, "v2 Higher","v2 Lower")</f>
        <v>v2 Higher</v>
      </c>
    </row>
    <row r="547" spans="1:8" x14ac:dyDescent="0.2">
      <c r="A547" t="s">
        <v>46</v>
      </c>
      <c r="B547" t="s">
        <v>8</v>
      </c>
      <c r="C547" t="s">
        <v>14</v>
      </c>
      <c r="D547">
        <v>12.63</v>
      </c>
      <c r="E547">
        <v>14.67</v>
      </c>
      <c r="F547">
        <v>2.04</v>
      </c>
      <c r="G547">
        <f>ABS(lmsi_v1_v2_comparison[[#This Row],[score_change]])</f>
        <v>2.04</v>
      </c>
      <c r="H547" t="str">
        <f>IF(lmsi_v1_v2_comparison[[#This Row],[score_change]]&gt;0, "v2 Higher","v2 Lower")</f>
        <v>v2 Higher</v>
      </c>
    </row>
    <row r="548" spans="1:8" x14ac:dyDescent="0.2">
      <c r="A548" t="s">
        <v>46</v>
      </c>
      <c r="B548" t="s">
        <v>15</v>
      </c>
      <c r="C548" t="s">
        <v>9</v>
      </c>
      <c r="D548">
        <v>24.07</v>
      </c>
      <c r="E548">
        <v>21.32</v>
      </c>
      <c r="F548">
        <v>-2.75</v>
      </c>
      <c r="G548">
        <f>ABS(lmsi_v1_v2_comparison[[#This Row],[score_change]])</f>
        <v>2.75</v>
      </c>
      <c r="H548" t="str">
        <f>IF(lmsi_v1_v2_comparison[[#This Row],[score_change]]&gt;0, "v2 Higher","v2 Lower")</f>
        <v>v2 Lower</v>
      </c>
    </row>
    <row r="549" spans="1:8" x14ac:dyDescent="0.2">
      <c r="A549" t="s">
        <v>46</v>
      </c>
      <c r="B549" t="s">
        <v>15</v>
      </c>
      <c r="C549" t="s">
        <v>10</v>
      </c>
      <c r="D549">
        <v>14.62</v>
      </c>
      <c r="E549">
        <v>15.05</v>
      </c>
      <c r="F549">
        <v>0.43</v>
      </c>
      <c r="G549">
        <f>ABS(lmsi_v1_v2_comparison[[#This Row],[score_change]])</f>
        <v>0.43</v>
      </c>
      <c r="H549" t="str">
        <f>IF(lmsi_v1_v2_comparison[[#This Row],[score_change]]&gt;0, "v2 Higher","v2 Lower")</f>
        <v>v2 Higher</v>
      </c>
    </row>
    <row r="550" spans="1:8" x14ac:dyDescent="0.2">
      <c r="A550" t="s">
        <v>46</v>
      </c>
      <c r="B550" t="s">
        <v>15</v>
      </c>
      <c r="C550" t="s">
        <v>11</v>
      </c>
      <c r="D550">
        <v>16.010000000000002</v>
      </c>
      <c r="E550">
        <v>15.8</v>
      </c>
      <c r="F550">
        <v>-0.21</v>
      </c>
      <c r="G550">
        <f>ABS(lmsi_v1_v2_comparison[[#This Row],[score_change]])</f>
        <v>0.21</v>
      </c>
      <c r="H550" t="str">
        <f>IF(lmsi_v1_v2_comparison[[#This Row],[score_change]]&gt;0, "v2 Higher","v2 Lower")</f>
        <v>v2 Lower</v>
      </c>
    </row>
    <row r="551" spans="1:8" x14ac:dyDescent="0.2">
      <c r="A551" t="s">
        <v>46</v>
      </c>
      <c r="B551" t="s">
        <v>15</v>
      </c>
      <c r="C551" t="s">
        <v>12</v>
      </c>
      <c r="D551">
        <v>22.18</v>
      </c>
      <c r="E551">
        <v>24.13</v>
      </c>
      <c r="F551">
        <v>1.95</v>
      </c>
      <c r="G551">
        <f>ABS(lmsi_v1_v2_comparison[[#This Row],[score_change]])</f>
        <v>1.95</v>
      </c>
      <c r="H551" t="str">
        <f>IF(lmsi_v1_v2_comparison[[#This Row],[score_change]]&gt;0, "v2 Higher","v2 Lower")</f>
        <v>v2 Higher</v>
      </c>
    </row>
    <row r="552" spans="1:8" x14ac:dyDescent="0.2">
      <c r="A552" t="s">
        <v>46</v>
      </c>
      <c r="B552" t="s">
        <v>15</v>
      </c>
      <c r="C552" t="s">
        <v>13</v>
      </c>
      <c r="D552">
        <v>17.86</v>
      </c>
      <c r="E552">
        <v>18.29</v>
      </c>
      <c r="F552">
        <v>0.43</v>
      </c>
      <c r="G552">
        <f>ABS(lmsi_v1_v2_comparison[[#This Row],[score_change]])</f>
        <v>0.43</v>
      </c>
      <c r="H552" t="str">
        <f>IF(lmsi_v1_v2_comparison[[#This Row],[score_change]]&gt;0, "v2 Higher","v2 Lower")</f>
        <v>v2 Higher</v>
      </c>
    </row>
    <row r="553" spans="1:8" x14ac:dyDescent="0.2">
      <c r="A553" t="s">
        <v>46</v>
      </c>
      <c r="B553" t="s">
        <v>15</v>
      </c>
      <c r="C553" t="s">
        <v>14</v>
      </c>
      <c r="D553">
        <v>23.05</v>
      </c>
      <c r="E553">
        <v>23.27</v>
      </c>
      <c r="F553">
        <v>0.22</v>
      </c>
      <c r="G553">
        <f>ABS(lmsi_v1_v2_comparison[[#This Row],[score_change]])</f>
        <v>0.22</v>
      </c>
      <c r="H553" t="str">
        <f>IF(lmsi_v1_v2_comparison[[#This Row],[score_change]]&gt;0, "v2 Higher","v2 Lower")</f>
        <v>v2 Higher</v>
      </c>
    </row>
    <row r="554" spans="1:8" x14ac:dyDescent="0.2">
      <c r="A554" t="s">
        <v>46</v>
      </c>
      <c r="B554" t="s">
        <v>16</v>
      </c>
      <c r="C554" t="s">
        <v>9</v>
      </c>
      <c r="D554">
        <v>21.1</v>
      </c>
      <c r="E554">
        <v>18.84</v>
      </c>
      <c r="F554">
        <v>-2.2599999999999998</v>
      </c>
      <c r="G554">
        <f>ABS(lmsi_v1_v2_comparison[[#This Row],[score_change]])</f>
        <v>2.2599999999999998</v>
      </c>
      <c r="H554" t="str">
        <f>IF(lmsi_v1_v2_comparison[[#This Row],[score_change]]&gt;0, "v2 Higher","v2 Lower")</f>
        <v>v2 Lower</v>
      </c>
    </row>
    <row r="555" spans="1:8" x14ac:dyDescent="0.2">
      <c r="A555" t="s">
        <v>46</v>
      </c>
      <c r="B555" t="s">
        <v>16</v>
      </c>
      <c r="C555" t="s">
        <v>10</v>
      </c>
      <c r="D555">
        <v>13.91</v>
      </c>
      <c r="E555">
        <v>15.38</v>
      </c>
      <c r="F555">
        <v>1.47</v>
      </c>
      <c r="G555">
        <f>ABS(lmsi_v1_v2_comparison[[#This Row],[score_change]])</f>
        <v>1.47</v>
      </c>
      <c r="H555" t="str">
        <f>IF(lmsi_v1_v2_comparison[[#This Row],[score_change]]&gt;0, "v2 Higher","v2 Lower")</f>
        <v>v2 Higher</v>
      </c>
    </row>
    <row r="556" spans="1:8" x14ac:dyDescent="0.2">
      <c r="A556" t="s">
        <v>46</v>
      </c>
      <c r="B556" t="s">
        <v>16</v>
      </c>
      <c r="C556" t="s">
        <v>11</v>
      </c>
      <c r="D556">
        <v>14.42</v>
      </c>
      <c r="E556">
        <v>14.61</v>
      </c>
      <c r="F556">
        <v>0.19</v>
      </c>
      <c r="G556">
        <f>ABS(lmsi_v1_v2_comparison[[#This Row],[score_change]])</f>
        <v>0.19</v>
      </c>
      <c r="H556" t="str">
        <f>IF(lmsi_v1_v2_comparison[[#This Row],[score_change]]&gt;0, "v2 Higher","v2 Lower")</f>
        <v>v2 Higher</v>
      </c>
    </row>
    <row r="557" spans="1:8" x14ac:dyDescent="0.2">
      <c r="A557" t="s">
        <v>46</v>
      </c>
      <c r="B557" t="s">
        <v>16</v>
      </c>
      <c r="C557" t="s">
        <v>12</v>
      </c>
      <c r="D557">
        <v>20.16</v>
      </c>
      <c r="E557">
        <v>22.17</v>
      </c>
      <c r="F557">
        <v>2.0099999999999998</v>
      </c>
      <c r="G557">
        <f>ABS(lmsi_v1_v2_comparison[[#This Row],[score_change]])</f>
        <v>2.0099999999999998</v>
      </c>
      <c r="H557" t="str">
        <f>IF(lmsi_v1_v2_comparison[[#This Row],[score_change]]&gt;0, "v2 Higher","v2 Lower")</f>
        <v>v2 Higher</v>
      </c>
    </row>
    <row r="558" spans="1:8" x14ac:dyDescent="0.2">
      <c r="A558" t="s">
        <v>46</v>
      </c>
      <c r="B558" t="s">
        <v>16</v>
      </c>
      <c r="C558" t="s">
        <v>13</v>
      </c>
      <c r="D558">
        <v>13.75</v>
      </c>
      <c r="E558">
        <v>13.94</v>
      </c>
      <c r="F558">
        <v>0.19</v>
      </c>
      <c r="G558">
        <f>ABS(lmsi_v1_v2_comparison[[#This Row],[score_change]])</f>
        <v>0.19</v>
      </c>
      <c r="H558" t="str">
        <f>IF(lmsi_v1_v2_comparison[[#This Row],[score_change]]&gt;0, "v2 Higher","v2 Lower")</f>
        <v>v2 Higher</v>
      </c>
    </row>
    <row r="559" spans="1:8" x14ac:dyDescent="0.2">
      <c r="A559" t="s">
        <v>46</v>
      </c>
      <c r="B559" t="s">
        <v>16</v>
      </c>
      <c r="C559" t="s">
        <v>14</v>
      </c>
      <c r="D559">
        <v>16.14</v>
      </c>
      <c r="E559">
        <v>17.329999999999998</v>
      </c>
      <c r="F559">
        <v>1.19</v>
      </c>
      <c r="G559">
        <f>ABS(lmsi_v1_v2_comparison[[#This Row],[score_change]])</f>
        <v>1.19</v>
      </c>
      <c r="H559" t="str">
        <f>IF(lmsi_v1_v2_comparison[[#This Row],[score_change]]&gt;0, "v2 Higher","v2 Lower")</f>
        <v>v2 Higher</v>
      </c>
    </row>
    <row r="560" spans="1:8" x14ac:dyDescent="0.2">
      <c r="A560" t="s">
        <v>47</v>
      </c>
      <c r="B560" t="s">
        <v>8</v>
      </c>
      <c r="C560" t="s">
        <v>9</v>
      </c>
      <c r="D560">
        <v>22.95</v>
      </c>
      <c r="E560">
        <v>20.6</v>
      </c>
      <c r="F560">
        <v>-2.35</v>
      </c>
      <c r="G560">
        <f>ABS(lmsi_v1_v2_comparison[[#This Row],[score_change]])</f>
        <v>2.35</v>
      </c>
      <c r="H560" t="str">
        <f>IF(lmsi_v1_v2_comparison[[#This Row],[score_change]]&gt;0, "v2 Higher","v2 Lower")</f>
        <v>v2 Lower</v>
      </c>
    </row>
    <row r="561" spans="1:8" x14ac:dyDescent="0.2">
      <c r="A561" t="s">
        <v>47</v>
      </c>
      <c r="B561" t="s">
        <v>8</v>
      </c>
      <c r="C561" t="s">
        <v>10</v>
      </c>
      <c r="D561">
        <v>13.18</v>
      </c>
      <c r="E561">
        <v>13.44</v>
      </c>
      <c r="F561">
        <v>0.26</v>
      </c>
      <c r="G561">
        <f>ABS(lmsi_v1_v2_comparison[[#This Row],[score_change]])</f>
        <v>0.26</v>
      </c>
      <c r="H561" t="str">
        <f>IF(lmsi_v1_v2_comparison[[#This Row],[score_change]]&gt;0, "v2 Higher","v2 Lower")</f>
        <v>v2 Higher</v>
      </c>
    </row>
    <row r="562" spans="1:8" x14ac:dyDescent="0.2">
      <c r="A562" t="s">
        <v>47</v>
      </c>
      <c r="B562" t="s">
        <v>8</v>
      </c>
      <c r="C562" t="s">
        <v>11</v>
      </c>
      <c r="D562">
        <v>14.55</v>
      </c>
      <c r="E562">
        <v>15.67</v>
      </c>
      <c r="F562">
        <v>1.1200000000000001</v>
      </c>
      <c r="G562">
        <f>ABS(lmsi_v1_v2_comparison[[#This Row],[score_change]])</f>
        <v>1.1200000000000001</v>
      </c>
      <c r="H562" t="str">
        <f>IF(lmsi_v1_v2_comparison[[#This Row],[score_change]]&gt;0, "v2 Higher","v2 Lower")</f>
        <v>v2 Higher</v>
      </c>
    </row>
    <row r="563" spans="1:8" x14ac:dyDescent="0.2">
      <c r="A563" t="s">
        <v>47</v>
      </c>
      <c r="B563" t="s">
        <v>8</v>
      </c>
      <c r="C563" t="s">
        <v>12</v>
      </c>
      <c r="D563">
        <v>20.62</v>
      </c>
      <c r="E563">
        <v>23.25</v>
      </c>
      <c r="F563">
        <v>2.63</v>
      </c>
      <c r="G563">
        <f>ABS(lmsi_v1_v2_comparison[[#This Row],[score_change]])</f>
        <v>2.63</v>
      </c>
      <c r="H563" t="str">
        <f>IF(lmsi_v1_v2_comparison[[#This Row],[score_change]]&gt;0, "v2 Higher","v2 Lower")</f>
        <v>v2 Higher</v>
      </c>
    </row>
    <row r="564" spans="1:8" x14ac:dyDescent="0.2">
      <c r="A564" t="s">
        <v>47</v>
      </c>
      <c r="B564" t="s">
        <v>8</v>
      </c>
      <c r="C564" t="s">
        <v>13</v>
      </c>
      <c r="D564">
        <v>16.600000000000001</v>
      </c>
      <c r="E564">
        <v>17.37</v>
      </c>
      <c r="F564">
        <v>0.77</v>
      </c>
      <c r="G564">
        <f>ABS(lmsi_v1_v2_comparison[[#This Row],[score_change]])</f>
        <v>0.77</v>
      </c>
      <c r="H564" t="str">
        <f>IF(lmsi_v1_v2_comparison[[#This Row],[score_change]]&gt;0, "v2 Higher","v2 Lower")</f>
        <v>v2 Higher</v>
      </c>
    </row>
    <row r="565" spans="1:8" x14ac:dyDescent="0.2">
      <c r="A565" t="s">
        <v>47</v>
      </c>
      <c r="B565" t="s">
        <v>8</v>
      </c>
      <c r="C565" t="s">
        <v>14</v>
      </c>
      <c r="D565">
        <v>14.95</v>
      </c>
      <c r="E565">
        <v>17.07</v>
      </c>
      <c r="F565">
        <v>2.12</v>
      </c>
      <c r="G565">
        <f>ABS(lmsi_v1_v2_comparison[[#This Row],[score_change]])</f>
        <v>2.12</v>
      </c>
      <c r="H565" t="str">
        <f>IF(lmsi_v1_v2_comparison[[#This Row],[score_change]]&gt;0, "v2 Higher","v2 Lower")</f>
        <v>v2 Higher</v>
      </c>
    </row>
    <row r="566" spans="1:8" x14ac:dyDescent="0.2">
      <c r="A566" t="s">
        <v>47</v>
      </c>
      <c r="B566" t="s">
        <v>15</v>
      </c>
      <c r="C566" t="s">
        <v>9</v>
      </c>
      <c r="D566">
        <v>28.26</v>
      </c>
      <c r="E566">
        <v>26.13</v>
      </c>
      <c r="F566">
        <v>-2.13</v>
      </c>
      <c r="G566">
        <f>ABS(lmsi_v1_v2_comparison[[#This Row],[score_change]])</f>
        <v>2.13</v>
      </c>
      <c r="H566" t="str">
        <f>IF(lmsi_v1_v2_comparison[[#This Row],[score_change]]&gt;0, "v2 Higher","v2 Lower")</f>
        <v>v2 Lower</v>
      </c>
    </row>
    <row r="567" spans="1:8" x14ac:dyDescent="0.2">
      <c r="A567" t="s">
        <v>47</v>
      </c>
      <c r="B567" t="s">
        <v>15</v>
      </c>
      <c r="C567" t="s">
        <v>10</v>
      </c>
      <c r="D567">
        <v>15.88</v>
      </c>
      <c r="E567">
        <v>16.420000000000002</v>
      </c>
      <c r="F567">
        <v>0.54</v>
      </c>
      <c r="G567">
        <f>ABS(lmsi_v1_v2_comparison[[#This Row],[score_change]])</f>
        <v>0.54</v>
      </c>
      <c r="H567" t="str">
        <f>IF(lmsi_v1_v2_comparison[[#This Row],[score_change]]&gt;0, "v2 Higher","v2 Lower")</f>
        <v>v2 Higher</v>
      </c>
    </row>
    <row r="568" spans="1:8" x14ac:dyDescent="0.2">
      <c r="A568" t="s">
        <v>47</v>
      </c>
      <c r="B568" t="s">
        <v>15</v>
      </c>
      <c r="C568" t="s">
        <v>11</v>
      </c>
      <c r="D568">
        <v>16.489999999999998</v>
      </c>
      <c r="E568">
        <v>16.84</v>
      </c>
      <c r="F568">
        <v>0.35</v>
      </c>
      <c r="G568">
        <f>ABS(lmsi_v1_v2_comparison[[#This Row],[score_change]])</f>
        <v>0.35</v>
      </c>
      <c r="H568" t="str">
        <f>IF(lmsi_v1_v2_comparison[[#This Row],[score_change]]&gt;0, "v2 Higher","v2 Lower")</f>
        <v>v2 Higher</v>
      </c>
    </row>
    <row r="569" spans="1:8" x14ac:dyDescent="0.2">
      <c r="A569" t="s">
        <v>47</v>
      </c>
      <c r="B569" t="s">
        <v>15</v>
      </c>
      <c r="C569" t="s">
        <v>12</v>
      </c>
      <c r="D569">
        <v>24.55</v>
      </c>
      <c r="E569">
        <v>24.47</v>
      </c>
      <c r="F569">
        <v>-0.08</v>
      </c>
      <c r="G569">
        <f>ABS(lmsi_v1_v2_comparison[[#This Row],[score_change]])</f>
        <v>0.08</v>
      </c>
      <c r="H569" t="str">
        <f>IF(lmsi_v1_v2_comparison[[#This Row],[score_change]]&gt;0, "v2 Higher","v2 Lower")</f>
        <v>v2 Lower</v>
      </c>
    </row>
    <row r="570" spans="1:8" x14ac:dyDescent="0.2">
      <c r="A570" t="s">
        <v>47</v>
      </c>
      <c r="B570" t="s">
        <v>15</v>
      </c>
      <c r="C570" t="s">
        <v>13</v>
      </c>
      <c r="D570">
        <v>21.08</v>
      </c>
      <c r="E570">
        <v>22.85</v>
      </c>
      <c r="F570">
        <v>1.77</v>
      </c>
      <c r="G570">
        <f>ABS(lmsi_v1_v2_comparison[[#This Row],[score_change]])</f>
        <v>1.77</v>
      </c>
      <c r="H570" t="str">
        <f>IF(lmsi_v1_v2_comparison[[#This Row],[score_change]]&gt;0, "v2 Higher","v2 Lower")</f>
        <v>v2 Higher</v>
      </c>
    </row>
    <row r="571" spans="1:8" x14ac:dyDescent="0.2">
      <c r="A571" t="s">
        <v>47</v>
      </c>
      <c r="B571" t="s">
        <v>15</v>
      </c>
      <c r="C571" t="s">
        <v>14</v>
      </c>
      <c r="D571">
        <v>26.34</v>
      </c>
      <c r="E571">
        <v>29.66</v>
      </c>
      <c r="F571">
        <v>3.32</v>
      </c>
      <c r="G571">
        <f>ABS(lmsi_v1_v2_comparison[[#This Row],[score_change]])</f>
        <v>3.32</v>
      </c>
      <c r="H571" t="str">
        <f>IF(lmsi_v1_v2_comparison[[#This Row],[score_change]]&gt;0, "v2 Higher","v2 Lower")</f>
        <v>v2 Higher</v>
      </c>
    </row>
    <row r="572" spans="1:8" x14ac:dyDescent="0.2">
      <c r="A572" t="s">
        <v>47</v>
      </c>
      <c r="B572" t="s">
        <v>16</v>
      </c>
      <c r="C572" t="s">
        <v>9</v>
      </c>
      <c r="D572">
        <v>25.1</v>
      </c>
      <c r="E572">
        <v>22.41</v>
      </c>
      <c r="F572">
        <v>-2.69</v>
      </c>
      <c r="G572">
        <f>ABS(lmsi_v1_v2_comparison[[#This Row],[score_change]])</f>
        <v>2.69</v>
      </c>
      <c r="H572" t="str">
        <f>IF(lmsi_v1_v2_comparison[[#This Row],[score_change]]&gt;0, "v2 Higher","v2 Lower")</f>
        <v>v2 Lower</v>
      </c>
    </row>
    <row r="573" spans="1:8" x14ac:dyDescent="0.2">
      <c r="A573" t="s">
        <v>47</v>
      </c>
      <c r="B573" t="s">
        <v>16</v>
      </c>
      <c r="C573" t="s">
        <v>10</v>
      </c>
      <c r="D573">
        <v>14.65</v>
      </c>
      <c r="E573">
        <v>15.33</v>
      </c>
      <c r="F573">
        <v>0.68</v>
      </c>
      <c r="G573">
        <f>ABS(lmsi_v1_v2_comparison[[#This Row],[score_change]])</f>
        <v>0.68</v>
      </c>
      <c r="H573" t="str">
        <f>IF(lmsi_v1_v2_comparison[[#This Row],[score_change]]&gt;0, "v2 Higher","v2 Lower")</f>
        <v>v2 Higher</v>
      </c>
    </row>
    <row r="574" spans="1:8" x14ac:dyDescent="0.2">
      <c r="A574" t="s">
        <v>47</v>
      </c>
      <c r="B574" t="s">
        <v>16</v>
      </c>
      <c r="C574" t="s">
        <v>11</v>
      </c>
      <c r="D574">
        <v>15.47</v>
      </c>
      <c r="E574">
        <v>15.89</v>
      </c>
      <c r="F574">
        <v>0.42</v>
      </c>
      <c r="G574">
        <f>ABS(lmsi_v1_v2_comparison[[#This Row],[score_change]])</f>
        <v>0.42</v>
      </c>
      <c r="H574" t="str">
        <f>IF(lmsi_v1_v2_comparison[[#This Row],[score_change]]&gt;0, "v2 Higher","v2 Lower")</f>
        <v>v2 Higher</v>
      </c>
    </row>
    <row r="575" spans="1:8" x14ac:dyDescent="0.2">
      <c r="A575" t="s">
        <v>47</v>
      </c>
      <c r="B575" t="s">
        <v>16</v>
      </c>
      <c r="C575" t="s">
        <v>12</v>
      </c>
      <c r="D575">
        <v>22.3</v>
      </c>
      <c r="E575">
        <v>25.01</v>
      </c>
      <c r="F575">
        <v>2.71</v>
      </c>
      <c r="G575">
        <f>ABS(lmsi_v1_v2_comparison[[#This Row],[score_change]])</f>
        <v>2.71</v>
      </c>
      <c r="H575" t="str">
        <f>IF(lmsi_v1_v2_comparison[[#This Row],[score_change]]&gt;0, "v2 Higher","v2 Lower")</f>
        <v>v2 Higher</v>
      </c>
    </row>
    <row r="576" spans="1:8" x14ac:dyDescent="0.2">
      <c r="A576" t="s">
        <v>47</v>
      </c>
      <c r="B576" t="s">
        <v>16</v>
      </c>
      <c r="C576" t="s">
        <v>13</v>
      </c>
      <c r="D576">
        <v>16.059999999999999</v>
      </c>
      <c r="E576">
        <v>15.71</v>
      </c>
      <c r="F576">
        <v>-0.35</v>
      </c>
      <c r="G576">
        <f>ABS(lmsi_v1_v2_comparison[[#This Row],[score_change]])</f>
        <v>0.35</v>
      </c>
      <c r="H576" t="str">
        <f>IF(lmsi_v1_v2_comparison[[#This Row],[score_change]]&gt;0, "v2 Higher","v2 Lower")</f>
        <v>v2 Lower</v>
      </c>
    </row>
    <row r="577" spans="1:8" x14ac:dyDescent="0.2">
      <c r="A577" t="s">
        <v>47</v>
      </c>
      <c r="B577" t="s">
        <v>16</v>
      </c>
      <c r="C577" t="s">
        <v>14</v>
      </c>
      <c r="D577">
        <v>18.149999999999999</v>
      </c>
      <c r="E577">
        <v>19.2</v>
      </c>
      <c r="F577">
        <v>1.05</v>
      </c>
      <c r="G577">
        <f>ABS(lmsi_v1_v2_comparison[[#This Row],[score_change]])</f>
        <v>1.05</v>
      </c>
      <c r="H577" t="str">
        <f>IF(lmsi_v1_v2_comparison[[#This Row],[score_change]]&gt;0, "v2 Higher","v2 Lower")</f>
        <v>v2 Higher</v>
      </c>
    </row>
    <row r="578" spans="1:8" x14ac:dyDescent="0.2">
      <c r="A578" t="s">
        <v>48</v>
      </c>
      <c r="B578" t="s">
        <v>8</v>
      </c>
      <c r="C578" t="s">
        <v>9</v>
      </c>
      <c r="D578">
        <v>22.38</v>
      </c>
      <c r="E578">
        <v>20.56</v>
      </c>
      <c r="F578">
        <v>-1.82</v>
      </c>
      <c r="G578">
        <f>ABS(lmsi_v1_v2_comparison[[#This Row],[score_change]])</f>
        <v>1.82</v>
      </c>
      <c r="H578" t="str">
        <f>IF(lmsi_v1_v2_comparison[[#This Row],[score_change]]&gt;0, "v2 Higher","v2 Lower")</f>
        <v>v2 Lower</v>
      </c>
    </row>
    <row r="579" spans="1:8" x14ac:dyDescent="0.2">
      <c r="A579" t="s">
        <v>48</v>
      </c>
      <c r="B579" t="s">
        <v>8</v>
      </c>
      <c r="C579" t="s">
        <v>10</v>
      </c>
      <c r="D579">
        <v>13.66</v>
      </c>
      <c r="E579">
        <v>13.99</v>
      </c>
      <c r="F579">
        <v>0.33</v>
      </c>
      <c r="G579">
        <f>ABS(lmsi_v1_v2_comparison[[#This Row],[score_change]])</f>
        <v>0.33</v>
      </c>
      <c r="H579" t="str">
        <f>IF(lmsi_v1_v2_comparison[[#This Row],[score_change]]&gt;0, "v2 Higher","v2 Lower")</f>
        <v>v2 Higher</v>
      </c>
    </row>
    <row r="580" spans="1:8" x14ac:dyDescent="0.2">
      <c r="A580" t="s">
        <v>48</v>
      </c>
      <c r="B580" t="s">
        <v>8</v>
      </c>
      <c r="C580" t="s">
        <v>11</v>
      </c>
      <c r="D580">
        <v>13.76</v>
      </c>
      <c r="E580">
        <v>14.65</v>
      </c>
      <c r="F580">
        <v>0.89</v>
      </c>
      <c r="G580">
        <f>ABS(lmsi_v1_v2_comparison[[#This Row],[score_change]])</f>
        <v>0.89</v>
      </c>
      <c r="H580" t="str">
        <f>IF(lmsi_v1_v2_comparison[[#This Row],[score_change]]&gt;0, "v2 Higher","v2 Lower")</f>
        <v>v2 Higher</v>
      </c>
    </row>
    <row r="581" spans="1:8" x14ac:dyDescent="0.2">
      <c r="A581" t="s">
        <v>48</v>
      </c>
      <c r="B581" t="s">
        <v>8</v>
      </c>
      <c r="C581" t="s">
        <v>12</v>
      </c>
      <c r="D581">
        <v>20.75</v>
      </c>
      <c r="E581">
        <v>23.77</v>
      </c>
      <c r="F581">
        <v>3.02</v>
      </c>
      <c r="G581">
        <f>ABS(lmsi_v1_v2_comparison[[#This Row],[score_change]])</f>
        <v>3.02</v>
      </c>
      <c r="H581" t="str">
        <f>IF(lmsi_v1_v2_comparison[[#This Row],[score_change]]&gt;0, "v2 Higher","v2 Lower")</f>
        <v>v2 Higher</v>
      </c>
    </row>
    <row r="582" spans="1:8" x14ac:dyDescent="0.2">
      <c r="A582" t="s">
        <v>48</v>
      </c>
      <c r="B582" t="s">
        <v>8</v>
      </c>
      <c r="C582" t="s">
        <v>13</v>
      </c>
      <c r="D582">
        <v>18.170000000000002</v>
      </c>
      <c r="E582">
        <v>18.48</v>
      </c>
      <c r="F582">
        <v>0.31</v>
      </c>
      <c r="G582">
        <f>ABS(lmsi_v1_v2_comparison[[#This Row],[score_change]])</f>
        <v>0.31</v>
      </c>
      <c r="H582" t="str">
        <f>IF(lmsi_v1_v2_comparison[[#This Row],[score_change]]&gt;0, "v2 Higher","v2 Lower")</f>
        <v>v2 Higher</v>
      </c>
    </row>
    <row r="583" spans="1:8" x14ac:dyDescent="0.2">
      <c r="A583" t="s">
        <v>48</v>
      </c>
      <c r="B583" t="s">
        <v>8</v>
      </c>
      <c r="C583" t="s">
        <v>14</v>
      </c>
      <c r="D583">
        <v>17.399999999999999</v>
      </c>
      <c r="E583">
        <v>19.62</v>
      </c>
      <c r="F583">
        <v>2.2200000000000002</v>
      </c>
      <c r="G583">
        <f>ABS(lmsi_v1_v2_comparison[[#This Row],[score_change]])</f>
        <v>2.2200000000000002</v>
      </c>
      <c r="H583" t="str">
        <f>IF(lmsi_v1_v2_comparison[[#This Row],[score_change]]&gt;0, "v2 Higher","v2 Lower")</f>
        <v>v2 Higher</v>
      </c>
    </row>
    <row r="584" spans="1:8" x14ac:dyDescent="0.2">
      <c r="A584" t="s">
        <v>48</v>
      </c>
      <c r="B584" t="s">
        <v>15</v>
      </c>
      <c r="C584" t="s">
        <v>9</v>
      </c>
      <c r="D584">
        <v>27.69</v>
      </c>
      <c r="E584">
        <v>24.89</v>
      </c>
      <c r="F584">
        <v>-2.8</v>
      </c>
      <c r="G584">
        <f>ABS(lmsi_v1_v2_comparison[[#This Row],[score_change]])</f>
        <v>2.8</v>
      </c>
      <c r="H584" t="str">
        <f>IF(lmsi_v1_v2_comparison[[#This Row],[score_change]]&gt;0, "v2 Higher","v2 Lower")</f>
        <v>v2 Lower</v>
      </c>
    </row>
    <row r="585" spans="1:8" x14ac:dyDescent="0.2">
      <c r="A585" t="s">
        <v>48</v>
      </c>
      <c r="B585" t="s">
        <v>15</v>
      </c>
      <c r="C585" t="s">
        <v>10</v>
      </c>
      <c r="D585">
        <v>17.059999999999999</v>
      </c>
      <c r="E585">
        <v>17.11</v>
      </c>
      <c r="F585">
        <v>0.05</v>
      </c>
      <c r="G585">
        <f>ABS(lmsi_v1_v2_comparison[[#This Row],[score_change]])</f>
        <v>0.05</v>
      </c>
      <c r="H585" t="str">
        <f>IF(lmsi_v1_v2_comparison[[#This Row],[score_change]]&gt;0, "v2 Higher","v2 Lower")</f>
        <v>v2 Higher</v>
      </c>
    </row>
    <row r="586" spans="1:8" x14ac:dyDescent="0.2">
      <c r="A586" t="s">
        <v>48</v>
      </c>
      <c r="B586" t="s">
        <v>15</v>
      </c>
      <c r="C586" t="s">
        <v>11</v>
      </c>
      <c r="D586">
        <v>15.68</v>
      </c>
      <c r="E586">
        <v>16.2</v>
      </c>
      <c r="F586">
        <v>0.52</v>
      </c>
      <c r="G586">
        <f>ABS(lmsi_v1_v2_comparison[[#This Row],[score_change]])</f>
        <v>0.52</v>
      </c>
      <c r="H586" t="str">
        <f>IF(lmsi_v1_v2_comparison[[#This Row],[score_change]]&gt;0, "v2 Higher","v2 Lower")</f>
        <v>v2 Higher</v>
      </c>
    </row>
    <row r="587" spans="1:8" x14ac:dyDescent="0.2">
      <c r="A587" t="s">
        <v>48</v>
      </c>
      <c r="B587" t="s">
        <v>15</v>
      </c>
      <c r="C587" t="s">
        <v>12</v>
      </c>
      <c r="D587">
        <v>24.88</v>
      </c>
      <c r="E587">
        <v>25.87</v>
      </c>
      <c r="F587">
        <v>0.99</v>
      </c>
      <c r="G587">
        <f>ABS(lmsi_v1_v2_comparison[[#This Row],[score_change]])</f>
        <v>0.99</v>
      </c>
      <c r="H587" t="str">
        <f>IF(lmsi_v1_v2_comparison[[#This Row],[score_change]]&gt;0, "v2 Higher","v2 Lower")</f>
        <v>v2 Higher</v>
      </c>
    </row>
    <row r="588" spans="1:8" x14ac:dyDescent="0.2">
      <c r="A588" t="s">
        <v>48</v>
      </c>
      <c r="B588" t="s">
        <v>15</v>
      </c>
      <c r="C588" t="s">
        <v>13</v>
      </c>
      <c r="D588">
        <v>23.21</v>
      </c>
      <c r="E588">
        <v>23.42</v>
      </c>
      <c r="F588">
        <v>0.21</v>
      </c>
      <c r="G588">
        <f>ABS(lmsi_v1_v2_comparison[[#This Row],[score_change]])</f>
        <v>0.21</v>
      </c>
      <c r="H588" t="str">
        <f>IF(lmsi_v1_v2_comparison[[#This Row],[score_change]]&gt;0, "v2 Higher","v2 Lower")</f>
        <v>v2 Higher</v>
      </c>
    </row>
    <row r="589" spans="1:8" x14ac:dyDescent="0.2">
      <c r="A589" t="s">
        <v>48</v>
      </c>
      <c r="B589" t="s">
        <v>15</v>
      </c>
      <c r="C589" t="s">
        <v>14</v>
      </c>
      <c r="D589">
        <v>28.38</v>
      </c>
      <c r="E589">
        <v>38.090000000000003</v>
      </c>
      <c r="F589">
        <v>9.7100000000000009</v>
      </c>
      <c r="G589">
        <f>ABS(lmsi_v1_v2_comparison[[#This Row],[score_change]])</f>
        <v>9.7100000000000009</v>
      </c>
      <c r="H589" t="str">
        <f>IF(lmsi_v1_v2_comparison[[#This Row],[score_change]]&gt;0, "v2 Higher","v2 Lower")</f>
        <v>v2 Higher</v>
      </c>
    </row>
    <row r="590" spans="1:8" x14ac:dyDescent="0.2">
      <c r="A590" t="s">
        <v>48</v>
      </c>
      <c r="B590" t="s">
        <v>16</v>
      </c>
      <c r="C590" t="s">
        <v>9</v>
      </c>
      <c r="D590">
        <v>23.27</v>
      </c>
      <c r="E590">
        <v>21.34</v>
      </c>
      <c r="F590">
        <v>-1.93</v>
      </c>
      <c r="G590">
        <f>ABS(lmsi_v1_v2_comparison[[#This Row],[score_change]])</f>
        <v>1.93</v>
      </c>
      <c r="H590" t="str">
        <f>IF(lmsi_v1_v2_comparison[[#This Row],[score_change]]&gt;0, "v2 Higher","v2 Lower")</f>
        <v>v2 Lower</v>
      </c>
    </row>
    <row r="591" spans="1:8" x14ac:dyDescent="0.2">
      <c r="A591" t="s">
        <v>48</v>
      </c>
      <c r="B591" t="s">
        <v>16</v>
      </c>
      <c r="C591" t="s">
        <v>10</v>
      </c>
      <c r="D591">
        <v>15.41</v>
      </c>
      <c r="E591">
        <v>17.28</v>
      </c>
      <c r="F591">
        <v>1.87</v>
      </c>
      <c r="G591">
        <f>ABS(lmsi_v1_v2_comparison[[#This Row],[score_change]])</f>
        <v>1.87</v>
      </c>
      <c r="H591" t="str">
        <f>IF(lmsi_v1_v2_comparison[[#This Row],[score_change]]&gt;0, "v2 Higher","v2 Lower")</f>
        <v>v2 Higher</v>
      </c>
    </row>
    <row r="592" spans="1:8" x14ac:dyDescent="0.2">
      <c r="A592" t="s">
        <v>48</v>
      </c>
      <c r="B592" t="s">
        <v>16</v>
      </c>
      <c r="C592" t="s">
        <v>11</v>
      </c>
      <c r="D592">
        <v>14.39</v>
      </c>
      <c r="E592">
        <v>17.079999999999998</v>
      </c>
      <c r="F592">
        <v>2.69</v>
      </c>
      <c r="G592">
        <f>ABS(lmsi_v1_v2_comparison[[#This Row],[score_change]])</f>
        <v>2.69</v>
      </c>
      <c r="H592" t="str">
        <f>IF(lmsi_v1_v2_comparison[[#This Row],[score_change]]&gt;0, "v2 Higher","v2 Lower")</f>
        <v>v2 Higher</v>
      </c>
    </row>
    <row r="593" spans="1:8" x14ac:dyDescent="0.2">
      <c r="A593" t="s">
        <v>48</v>
      </c>
      <c r="B593" t="s">
        <v>16</v>
      </c>
      <c r="C593" t="s">
        <v>12</v>
      </c>
      <c r="D593">
        <v>23.23</v>
      </c>
      <c r="E593">
        <v>24.39</v>
      </c>
      <c r="F593">
        <v>1.1599999999999999</v>
      </c>
      <c r="G593">
        <f>ABS(lmsi_v1_v2_comparison[[#This Row],[score_change]])</f>
        <v>1.1599999999999999</v>
      </c>
      <c r="H593" t="str">
        <f>IF(lmsi_v1_v2_comparison[[#This Row],[score_change]]&gt;0, "v2 Higher","v2 Lower")</f>
        <v>v2 Higher</v>
      </c>
    </row>
    <row r="594" spans="1:8" x14ac:dyDescent="0.2">
      <c r="A594" t="s">
        <v>48</v>
      </c>
      <c r="B594" t="s">
        <v>16</v>
      </c>
      <c r="C594" t="s">
        <v>13</v>
      </c>
      <c r="D594">
        <v>17.670000000000002</v>
      </c>
      <c r="E594">
        <v>17.28</v>
      </c>
      <c r="F594">
        <v>-0.39</v>
      </c>
      <c r="G594">
        <f>ABS(lmsi_v1_v2_comparison[[#This Row],[score_change]])</f>
        <v>0.39</v>
      </c>
      <c r="H594" t="str">
        <f>IF(lmsi_v1_v2_comparison[[#This Row],[score_change]]&gt;0, "v2 Higher","v2 Lower")</f>
        <v>v2 Lower</v>
      </c>
    </row>
    <row r="595" spans="1:8" x14ac:dyDescent="0.2">
      <c r="A595" t="s">
        <v>48</v>
      </c>
      <c r="B595" t="s">
        <v>16</v>
      </c>
      <c r="C595" t="s">
        <v>14</v>
      </c>
      <c r="D595">
        <v>18.89</v>
      </c>
      <c r="E595">
        <v>19.510000000000002</v>
      </c>
      <c r="F595">
        <v>0.62</v>
      </c>
      <c r="G595">
        <f>ABS(lmsi_v1_v2_comparison[[#This Row],[score_change]])</f>
        <v>0.62</v>
      </c>
      <c r="H595" t="str">
        <f>IF(lmsi_v1_v2_comparison[[#This Row],[score_change]]&gt;0, "v2 Higher","v2 Lower")</f>
        <v>v2 Higher</v>
      </c>
    </row>
    <row r="596" spans="1:8" x14ac:dyDescent="0.2">
      <c r="A596" t="s">
        <v>49</v>
      </c>
      <c r="B596" t="s">
        <v>8</v>
      </c>
      <c r="C596" t="s">
        <v>9</v>
      </c>
      <c r="D596">
        <v>21.74</v>
      </c>
      <c r="E596">
        <v>19.649999999999999</v>
      </c>
      <c r="F596">
        <v>-2.09</v>
      </c>
      <c r="G596">
        <f>ABS(lmsi_v1_v2_comparison[[#This Row],[score_change]])</f>
        <v>2.09</v>
      </c>
      <c r="H596" t="str">
        <f>IF(lmsi_v1_v2_comparison[[#This Row],[score_change]]&gt;0, "v2 Higher","v2 Lower")</f>
        <v>v2 Lower</v>
      </c>
    </row>
    <row r="597" spans="1:8" x14ac:dyDescent="0.2">
      <c r="A597" t="s">
        <v>49</v>
      </c>
      <c r="B597" t="s">
        <v>8</v>
      </c>
      <c r="C597" t="s">
        <v>10</v>
      </c>
      <c r="D597">
        <v>13.17</v>
      </c>
      <c r="E597">
        <v>13.42</v>
      </c>
      <c r="F597">
        <v>0.25</v>
      </c>
      <c r="G597">
        <f>ABS(lmsi_v1_v2_comparison[[#This Row],[score_change]])</f>
        <v>0.25</v>
      </c>
      <c r="H597" t="str">
        <f>IF(lmsi_v1_v2_comparison[[#This Row],[score_change]]&gt;0, "v2 Higher","v2 Lower")</f>
        <v>v2 Higher</v>
      </c>
    </row>
    <row r="598" spans="1:8" x14ac:dyDescent="0.2">
      <c r="A598" t="s">
        <v>49</v>
      </c>
      <c r="B598" t="s">
        <v>8</v>
      </c>
      <c r="C598" t="s">
        <v>11</v>
      </c>
      <c r="D598">
        <v>14.38</v>
      </c>
      <c r="E598">
        <v>14.41</v>
      </c>
      <c r="F598">
        <v>0.03</v>
      </c>
      <c r="G598">
        <f>ABS(lmsi_v1_v2_comparison[[#This Row],[score_change]])</f>
        <v>0.03</v>
      </c>
      <c r="H598" t="str">
        <f>IF(lmsi_v1_v2_comparison[[#This Row],[score_change]]&gt;0, "v2 Higher","v2 Lower")</f>
        <v>v2 Higher</v>
      </c>
    </row>
    <row r="599" spans="1:8" x14ac:dyDescent="0.2">
      <c r="A599" t="s">
        <v>49</v>
      </c>
      <c r="B599" t="s">
        <v>8</v>
      </c>
      <c r="C599" t="s">
        <v>12</v>
      </c>
      <c r="D599">
        <v>20.350000000000001</v>
      </c>
      <c r="E599">
        <v>22.11</v>
      </c>
      <c r="F599">
        <v>1.76</v>
      </c>
      <c r="G599">
        <f>ABS(lmsi_v1_v2_comparison[[#This Row],[score_change]])</f>
        <v>1.76</v>
      </c>
      <c r="H599" t="str">
        <f>IF(lmsi_v1_v2_comparison[[#This Row],[score_change]]&gt;0, "v2 Higher","v2 Lower")</f>
        <v>v2 Higher</v>
      </c>
    </row>
    <row r="600" spans="1:8" x14ac:dyDescent="0.2">
      <c r="A600" t="s">
        <v>49</v>
      </c>
      <c r="B600" t="s">
        <v>8</v>
      </c>
      <c r="C600" t="s">
        <v>13</v>
      </c>
      <c r="D600">
        <v>17.22</v>
      </c>
      <c r="E600">
        <v>19.690000000000001</v>
      </c>
      <c r="F600">
        <v>2.4700000000000002</v>
      </c>
      <c r="G600">
        <f>ABS(lmsi_v1_v2_comparison[[#This Row],[score_change]])</f>
        <v>2.4700000000000002</v>
      </c>
      <c r="H600" t="str">
        <f>IF(lmsi_v1_v2_comparison[[#This Row],[score_change]]&gt;0, "v2 Higher","v2 Lower")</f>
        <v>v2 Higher</v>
      </c>
    </row>
    <row r="601" spans="1:8" x14ac:dyDescent="0.2">
      <c r="A601" t="s">
        <v>49</v>
      </c>
      <c r="B601" t="s">
        <v>8</v>
      </c>
      <c r="C601" t="s">
        <v>14</v>
      </c>
      <c r="D601">
        <v>17.14</v>
      </c>
      <c r="E601">
        <v>18.64</v>
      </c>
      <c r="F601">
        <v>1.5</v>
      </c>
      <c r="G601">
        <f>ABS(lmsi_v1_v2_comparison[[#This Row],[score_change]])</f>
        <v>1.5</v>
      </c>
      <c r="H601" t="str">
        <f>IF(lmsi_v1_v2_comparison[[#This Row],[score_change]]&gt;0, "v2 Higher","v2 Lower")</f>
        <v>v2 Higher</v>
      </c>
    </row>
    <row r="602" spans="1:8" x14ac:dyDescent="0.2">
      <c r="A602" t="s">
        <v>49</v>
      </c>
      <c r="B602" t="s">
        <v>15</v>
      </c>
      <c r="C602" t="s">
        <v>9</v>
      </c>
      <c r="D602">
        <v>27.87</v>
      </c>
      <c r="E602">
        <v>24.09</v>
      </c>
      <c r="F602">
        <v>-3.78</v>
      </c>
      <c r="G602">
        <f>ABS(lmsi_v1_v2_comparison[[#This Row],[score_change]])</f>
        <v>3.78</v>
      </c>
      <c r="H602" t="str">
        <f>IF(lmsi_v1_v2_comparison[[#This Row],[score_change]]&gt;0, "v2 Higher","v2 Lower")</f>
        <v>v2 Lower</v>
      </c>
    </row>
    <row r="603" spans="1:8" x14ac:dyDescent="0.2">
      <c r="A603" t="s">
        <v>49</v>
      </c>
      <c r="B603" t="s">
        <v>15</v>
      </c>
      <c r="C603" t="s">
        <v>10</v>
      </c>
      <c r="D603">
        <v>16.739999999999998</v>
      </c>
      <c r="E603">
        <v>16.45</v>
      </c>
      <c r="F603">
        <v>-0.28999999999999998</v>
      </c>
      <c r="G603">
        <f>ABS(lmsi_v1_v2_comparison[[#This Row],[score_change]])</f>
        <v>0.28999999999999998</v>
      </c>
      <c r="H603" t="str">
        <f>IF(lmsi_v1_v2_comparison[[#This Row],[score_change]]&gt;0, "v2 Higher","v2 Lower")</f>
        <v>v2 Lower</v>
      </c>
    </row>
    <row r="604" spans="1:8" x14ac:dyDescent="0.2">
      <c r="A604" t="s">
        <v>49</v>
      </c>
      <c r="B604" t="s">
        <v>15</v>
      </c>
      <c r="C604" t="s">
        <v>11</v>
      </c>
      <c r="D604">
        <v>16.63</v>
      </c>
      <c r="E604">
        <v>16.010000000000002</v>
      </c>
      <c r="F604">
        <v>-0.62</v>
      </c>
      <c r="G604">
        <f>ABS(lmsi_v1_v2_comparison[[#This Row],[score_change]])</f>
        <v>0.62</v>
      </c>
      <c r="H604" t="str">
        <f>IF(lmsi_v1_v2_comparison[[#This Row],[score_change]]&gt;0, "v2 Higher","v2 Lower")</f>
        <v>v2 Lower</v>
      </c>
    </row>
    <row r="605" spans="1:8" x14ac:dyDescent="0.2">
      <c r="A605" t="s">
        <v>49</v>
      </c>
      <c r="B605" t="s">
        <v>15</v>
      </c>
      <c r="C605" t="s">
        <v>12</v>
      </c>
      <c r="D605">
        <v>23.82</v>
      </c>
      <c r="E605">
        <v>24.18</v>
      </c>
      <c r="F605">
        <v>0.36</v>
      </c>
      <c r="G605">
        <f>ABS(lmsi_v1_v2_comparison[[#This Row],[score_change]])</f>
        <v>0.36</v>
      </c>
      <c r="H605" t="str">
        <f>IF(lmsi_v1_v2_comparison[[#This Row],[score_change]]&gt;0, "v2 Higher","v2 Lower")</f>
        <v>v2 Higher</v>
      </c>
    </row>
    <row r="606" spans="1:8" x14ac:dyDescent="0.2">
      <c r="A606" t="s">
        <v>49</v>
      </c>
      <c r="B606" t="s">
        <v>15</v>
      </c>
      <c r="C606" t="s">
        <v>13</v>
      </c>
      <c r="D606">
        <v>20.72</v>
      </c>
      <c r="E606">
        <v>21.21</v>
      </c>
      <c r="F606">
        <v>0.49</v>
      </c>
      <c r="G606">
        <f>ABS(lmsi_v1_v2_comparison[[#This Row],[score_change]])</f>
        <v>0.49</v>
      </c>
      <c r="H606" t="str">
        <f>IF(lmsi_v1_v2_comparison[[#This Row],[score_change]]&gt;0, "v2 Higher","v2 Lower")</f>
        <v>v2 Higher</v>
      </c>
    </row>
    <row r="607" spans="1:8" x14ac:dyDescent="0.2">
      <c r="A607" t="s">
        <v>49</v>
      </c>
      <c r="B607" t="s">
        <v>15</v>
      </c>
      <c r="C607" t="s">
        <v>14</v>
      </c>
      <c r="D607">
        <v>28.97</v>
      </c>
      <c r="E607">
        <v>33.01</v>
      </c>
      <c r="F607">
        <v>4.04</v>
      </c>
      <c r="G607">
        <f>ABS(lmsi_v1_v2_comparison[[#This Row],[score_change]])</f>
        <v>4.04</v>
      </c>
      <c r="H607" t="str">
        <f>IF(lmsi_v1_v2_comparison[[#This Row],[score_change]]&gt;0, "v2 Higher","v2 Lower")</f>
        <v>v2 Higher</v>
      </c>
    </row>
    <row r="608" spans="1:8" x14ac:dyDescent="0.2">
      <c r="A608" t="s">
        <v>49</v>
      </c>
      <c r="B608" t="s">
        <v>16</v>
      </c>
      <c r="C608" t="s">
        <v>9</v>
      </c>
      <c r="D608">
        <v>22.89</v>
      </c>
      <c r="E608">
        <v>20.52</v>
      </c>
      <c r="F608">
        <v>-2.37</v>
      </c>
      <c r="G608">
        <f>ABS(lmsi_v1_v2_comparison[[#This Row],[score_change]])</f>
        <v>2.37</v>
      </c>
      <c r="H608" t="str">
        <f>IF(lmsi_v1_v2_comparison[[#This Row],[score_change]]&gt;0, "v2 Higher","v2 Lower")</f>
        <v>v2 Lower</v>
      </c>
    </row>
    <row r="609" spans="1:8" x14ac:dyDescent="0.2">
      <c r="A609" t="s">
        <v>49</v>
      </c>
      <c r="B609" t="s">
        <v>16</v>
      </c>
      <c r="C609" t="s">
        <v>10</v>
      </c>
      <c r="D609">
        <v>14.72</v>
      </c>
      <c r="E609">
        <v>15.46</v>
      </c>
      <c r="F609">
        <v>0.74</v>
      </c>
      <c r="G609">
        <f>ABS(lmsi_v1_v2_comparison[[#This Row],[score_change]])</f>
        <v>0.74</v>
      </c>
      <c r="H609" t="str">
        <f>IF(lmsi_v1_v2_comparison[[#This Row],[score_change]]&gt;0, "v2 Higher","v2 Lower")</f>
        <v>v2 Higher</v>
      </c>
    </row>
    <row r="610" spans="1:8" x14ac:dyDescent="0.2">
      <c r="A610" t="s">
        <v>49</v>
      </c>
      <c r="B610" t="s">
        <v>16</v>
      </c>
      <c r="C610" t="s">
        <v>11</v>
      </c>
      <c r="D610">
        <v>15.26</v>
      </c>
      <c r="E610">
        <v>15.2</v>
      </c>
      <c r="F610">
        <v>-0.06</v>
      </c>
      <c r="G610">
        <f>ABS(lmsi_v1_v2_comparison[[#This Row],[score_change]])</f>
        <v>0.06</v>
      </c>
      <c r="H610" t="str">
        <f>IF(lmsi_v1_v2_comparison[[#This Row],[score_change]]&gt;0, "v2 Higher","v2 Lower")</f>
        <v>v2 Lower</v>
      </c>
    </row>
    <row r="611" spans="1:8" x14ac:dyDescent="0.2">
      <c r="A611" t="s">
        <v>49</v>
      </c>
      <c r="B611" t="s">
        <v>16</v>
      </c>
      <c r="C611" t="s">
        <v>12</v>
      </c>
      <c r="D611">
        <v>22.82</v>
      </c>
      <c r="E611">
        <v>22.92</v>
      </c>
      <c r="F611">
        <v>0.1</v>
      </c>
      <c r="G611">
        <f>ABS(lmsi_v1_v2_comparison[[#This Row],[score_change]])</f>
        <v>0.1</v>
      </c>
      <c r="H611" t="str">
        <f>IF(lmsi_v1_v2_comparison[[#This Row],[score_change]]&gt;0, "v2 Higher","v2 Lower")</f>
        <v>v2 Higher</v>
      </c>
    </row>
    <row r="612" spans="1:8" x14ac:dyDescent="0.2">
      <c r="A612" t="s">
        <v>49</v>
      </c>
      <c r="B612" t="s">
        <v>16</v>
      </c>
      <c r="C612" t="s">
        <v>13</v>
      </c>
      <c r="D612">
        <v>16.8</v>
      </c>
      <c r="E612">
        <v>16.190000000000001</v>
      </c>
      <c r="F612">
        <v>-0.61</v>
      </c>
      <c r="G612">
        <f>ABS(lmsi_v1_v2_comparison[[#This Row],[score_change]])</f>
        <v>0.61</v>
      </c>
      <c r="H612" t="str">
        <f>IF(lmsi_v1_v2_comparison[[#This Row],[score_change]]&gt;0, "v2 Higher","v2 Lower")</f>
        <v>v2 Lower</v>
      </c>
    </row>
    <row r="613" spans="1:8" x14ac:dyDescent="0.2">
      <c r="A613" t="s">
        <v>49</v>
      </c>
      <c r="B613" t="s">
        <v>16</v>
      </c>
      <c r="C613" t="s">
        <v>14</v>
      </c>
      <c r="D613">
        <v>19.34</v>
      </c>
      <c r="E613">
        <v>20.37</v>
      </c>
      <c r="F613">
        <v>1.03</v>
      </c>
      <c r="G613">
        <f>ABS(lmsi_v1_v2_comparison[[#This Row],[score_change]])</f>
        <v>1.03</v>
      </c>
      <c r="H613" t="str">
        <f>IF(lmsi_v1_v2_comparison[[#This Row],[score_change]]&gt;0, "v2 Higher","v2 Lower")</f>
        <v>v2 Higher</v>
      </c>
    </row>
    <row r="614" spans="1:8" x14ac:dyDescent="0.2">
      <c r="A614" t="s">
        <v>50</v>
      </c>
      <c r="B614" t="s">
        <v>8</v>
      </c>
      <c r="C614" t="s">
        <v>9</v>
      </c>
      <c r="D614">
        <v>20.420000000000002</v>
      </c>
      <c r="E614">
        <v>18.57</v>
      </c>
      <c r="F614">
        <v>-1.85</v>
      </c>
      <c r="G614">
        <f>ABS(lmsi_v1_v2_comparison[[#This Row],[score_change]])</f>
        <v>1.85</v>
      </c>
      <c r="H614" t="str">
        <f>IF(lmsi_v1_v2_comparison[[#This Row],[score_change]]&gt;0, "v2 Higher","v2 Lower")</f>
        <v>v2 Lower</v>
      </c>
    </row>
    <row r="615" spans="1:8" x14ac:dyDescent="0.2">
      <c r="A615" t="s">
        <v>50</v>
      </c>
      <c r="B615" t="s">
        <v>8</v>
      </c>
      <c r="C615" t="s">
        <v>10</v>
      </c>
      <c r="D615">
        <v>15.08</v>
      </c>
      <c r="E615">
        <v>15.39</v>
      </c>
      <c r="F615">
        <v>0.31</v>
      </c>
      <c r="G615">
        <f>ABS(lmsi_v1_v2_comparison[[#This Row],[score_change]])</f>
        <v>0.31</v>
      </c>
      <c r="H615" t="str">
        <f>IF(lmsi_v1_v2_comparison[[#This Row],[score_change]]&gt;0, "v2 Higher","v2 Lower")</f>
        <v>v2 Higher</v>
      </c>
    </row>
    <row r="616" spans="1:8" x14ac:dyDescent="0.2">
      <c r="A616" t="s">
        <v>50</v>
      </c>
      <c r="B616" t="s">
        <v>8</v>
      </c>
      <c r="C616" t="s">
        <v>11</v>
      </c>
      <c r="D616">
        <v>15.01</v>
      </c>
      <c r="E616">
        <v>15.3</v>
      </c>
      <c r="F616">
        <v>0.28999999999999998</v>
      </c>
      <c r="G616">
        <f>ABS(lmsi_v1_v2_comparison[[#This Row],[score_change]])</f>
        <v>0.28999999999999998</v>
      </c>
      <c r="H616" t="str">
        <f>IF(lmsi_v1_v2_comparison[[#This Row],[score_change]]&gt;0, "v2 Higher","v2 Lower")</f>
        <v>v2 Higher</v>
      </c>
    </row>
    <row r="617" spans="1:8" x14ac:dyDescent="0.2">
      <c r="A617" t="s">
        <v>50</v>
      </c>
      <c r="B617" t="s">
        <v>8</v>
      </c>
      <c r="C617" t="s">
        <v>12</v>
      </c>
      <c r="D617">
        <v>20.62</v>
      </c>
      <c r="E617">
        <v>21.26</v>
      </c>
      <c r="F617">
        <v>0.64</v>
      </c>
      <c r="G617">
        <f>ABS(lmsi_v1_v2_comparison[[#This Row],[score_change]])</f>
        <v>0.64</v>
      </c>
      <c r="H617" t="str">
        <f>IF(lmsi_v1_v2_comparison[[#This Row],[score_change]]&gt;0, "v2 Higher","v2 Lower")</f>
        <v>v2 Higher</v>
      </c>
    </row>
    <row r="618" spans="1:8" x14ac:dyDescent="0.2">
      <c r="A618" t="s">
        <v>50</v>
      </c>
      <c r="B618" t="s">
        <v>8</v>
      </c>
      <c r="C618" t="s">
        <v>13</v>
      </c>
      <c r="D618">
        <v>15.51</v>
      </c>
      <c r="E618">
        <v>15.52</v>
      </c>
      <c r="F618">
        <v>0.01</v>
      </c>
      <c r="G618">
        <f>ABS(lmsi_v1_v2_comparison[[#This Row],[score_change]])</f>
        <v>0.01</v>
      </c>
      <c r="H618" t="str">
        <f>IF(lmsi_v1_v2_comparison[[#This Row],[score_change]]&gt;0, "v2 Higher","v2 Lower")</f>
        <v>v2 Higher</v>
      </c>
    </row>
    <row r="619" spans="1:8" x14ac:dyDescent="0.2">
      <c r="A619" t="s">
        <v>50</v>
      </c>
      <c r="B619" t="s">
        <v>8</v>
      </c>
      <c r="C619" t="s">
        <v>14</v>
      </c>
      <c r="D619">
        <v>18.13</v>
      </c>
      <c r="E619">
        <v>19.45</v>
      </c>
      <c r="F619">
        <v>1.32</v>
      </c>
      <c r="G619">
        <f>ABS(lmsi_v1_v2_comparison[[#This Row],[score_change]])</f>
        <v>1.32</v>
      </c>
      <c r="H619" t="str">
        <f>IF(lmsi_v1_v2_comparison[[#This Row],[score_change]]&gt;0, "v2 Higher","v2 Lower")</f>
        <v>v2 Higher</v>
      </c>
    </row>
    <row r="620" spans="1:8" x14ac:dyDescent="0.2">
      <c r="A620" t="s">
        <v>50</v>
      </c>
      <c r="B620" t="s">
        <v>15</v>
      </c>
      <c r="C620" t="s">
        <v>9</v>
      </c>
      <c r="D620">
        <v>25.96</v>
      </c>
      <c r="E620">
        <v>22.95</v>
      </c>
      <c r="F620">
        <v>-3.01</v>
      </c>
      <c r="G620">
        <f>ABS(lmsi_v1_v2_comparison[[#This Row],[score_change]])</f>
        <v>3.01</v>
      </c>
      <c r="H620" t="str">
        <f>IF(lmsi_v1_v2_comparison[[#This Row],[score_change]]&gt;0, "v2 Higher","v2 Lower")</f>
        <v>v2 Lower</v>
      </c>
    </row>
    <row r="621" spans="1:8" x14ac:dyDescent="0.2">
      <c r="A621" t="s">
        <v>50</v>
      </c>
      <c r="B621" t="s">
        <v>15</v>
      </c>
      <c r="C621" t="s">
        <v>10</v>
      </c>
      <c r="D621">
        <v>18.62</v>
      </c>
      <c r="E621">
        <v>17.88</v>
      </c>
      <c r="F621">
        <v>-0.74</v>
      </c>
      <c r="G621">
        <f>ABS(lmsi_v1_v2_comparison[[#This Row],[score_change]])</f>
        <v>0.74</v>
      </c>
      <c r="H621" t="str">
        <f>IF(lmsi_v1_v2_comparison[[#This Row],[score_change]]&gt;0, "v2 Higher","v2 Lower")</f>
        <v>v2 Lower</v>
      </c>
    </row>
    <row r="622" spans="1:8" x14ac:dyDescent="0.2">
      <c r="A622" t="s">
        <v>50</v>
      </c>
      <c r="B622" t="s">
        <v>15</v>
      </c>
      <c r="C622" t="s">
        <v>11</v>
      </c>
      <c r="D622">
        <v>16.82</v>
      </c>
      <c r="E622">
        <v>16.920000000000002</v>
      </c>
      <c r="F622">
        <v>0.1</v>
      </c>
      <c r="G622">
        <f>ABS(lmsi_v1_v2_comparison[[#This Row],[score_change]])</f>
        <v>0.1</v>
      </c>
      <c r="H622" t="str">
        <f>IF(lmsi_v1_v2_comparison[[#This Row],[score_change]]&gt;0, "v2 Higher","v2 Lower")</f>
        <v>v2 Higher</v>
      </c>
    </row>
    <row r="623" spans="1:8" x14ac:dyDescent="0.2">
      <c r="A623" t="s">
        <v>50</v>
      </c>
      <c r="B623" t="s">
        <v>15</v>
      </c>
      <c r="C623" t="s">
        <v>12</v>
      </c>
      <c r="D623">
        <v>24.33</v>
      </c>
      <c r="E623">
        <v>25.2</v>
      </c>
      <c r="F623">
        <v>0.87</v>
      </c>
      <c r="G623">
        <f>ABS(lmsi_v1_v2_comparison[[#This Row],[score_change]])</f>
        <v>0.87</v>
      </c>
      <c r="H623" t="str">
        <f>IF(lmsi_v1_v2_comparison[[#This Row],[score_change]]&gt;0, "v2 Higher","v2 Lower")</f>
        <v>v2 Higher</v>
      </c>
    </row>
    <row r="624" spans="1:8" x14ac:dyDescent="0.2">
      <c r="A624" t="s">
        <v>50</v>
      </c>
      <c r="B624" t="s">
        <v>15</v>
      </c>
      <c r="C624" t="s">
        <v>13</v>
      </c>
      <c r="D624">
        <v>20.16</v>
      </c>
      <c r="E624">
        <v>19.010000000000002</v>
      </c>
      <c r="F624">
        <v>-1.1499999999999999</v>
      </c>
      <c r="G624">
        <f>ABS(lmsi_v1_v2_comparison[[#This Row],[score_change]])</f>
        <v>1.1499999999999999</v>
      </c>
      <c r="H624" t="str">
        <f>IF(lmsi_v1_v2_comparison[[#This Row],[score_change]]&gt;0, "v2 Higher","v2 Lower")</f>
        <v>v2 Lower</v>
      </c>
    </row>
    <row r="625" spans="1:8" x14ac:dyDescent="0.2">
      <c r="A625" t="s">
        <v>50</v>
      </c>
      <c r="B625" t="s">
        <v>15</v>
      </c>
      <c r="C625" t="s">
        <v>14</v>
      </c>
      <c r="D625">
        <v>30.33</v>
      </c>
      <c r="E625">
        <v>38.57</v>
      </c>
      <c r="F625">
        <v>8.24</v>
      </c>
      <c r="G625">
        <f>ABS(lmsi_v1_v2_comparison[[#This Row],[score_change]])</f>
        <v>8.24</v>
      </c>
      <c r="H625" t="str">
        <f>IF(lmsi_v1_v2_comparison[[#This Row],[score_change]]&gt;0, "v2 Higher","v2 Lower")</f>
        <v>v2 Higher</v>
      </c>
    </row>
    <row r="626" spans="1:8" x14ac:dyDescent="0.2">
      <c r="A626" t="s">
        <v>50</v>
      </c>
      <c r="B626" t="s">
        <v>16</v>
      </c>
      <c r="C626" t="s">
        <v>9</v>
      </c>
      <c r="D626">
        <v>21.5</v>
      </c>
      <c r="E626">
        <v>20.18</v>
      </c>
      <c r="F626">
        <v>-1.32</v>
      </c>
      <c r="G626">
        <f>ABS(lmsi_v1_v2_comparison[[#This Row],[score_change]])</f>
        <v>1.32</v>
      </c>
      <c r="H626" t="str">
        <f>IF(lmsi_v1_v2_comparison[[#This Row],[score_change]]&gt;0, "v2 Higher","v2 Lower")</f>
        <v>v2 Lower</v>
      </c>
    </row>
    <row r="627" spans="1:8" x14ac:dyDescent="0.2">
      <c r="A627" t="s">
        <v>50</v>
      </c>
      <c r="B627" t="s">
        <v>16</v>
      </c>
      <c r="C627" t="s">
        <v>10</v>
      </c>
      <c r="D627">
        <v>15.7</v>
      </c>
      <c r="E627">
        <v>17.29</v>
      </c>
      <c r="F627">
        <v>1.59</v>
      </c>
      <c r="G627">
        <f>ABS(lmsi_v1_v2_comparison[[#This Row],[score_change]])</f>
        <v>1.59</v>
      </c>
      <c r="H627" t="str">
        <f>IF(lmsi_v1_v2_comparison[[#This Row],[score_change]]&gt;0, "v2 Higher","v2 Lower")</f>
        <v>v2 Higher</v>
      </c>
    </row>
    <row r="628" spans="1:8" x14ac:dyDescent="0.2">
      <c r="A628" t="s">
        <v>50</v>
      </c>
      <c r="B628" t="s">
        <v>16</v>
      </c>
      <c r="C628" t="s">
        <v>11</v>
      </c>
      <c r="D628">
        <v>15.55</v>
      </c>
      <c r="E628">
        <v>15.97</v>
      </c>
      <c r="F628">
        <v>0.42</v>
      </c>
      <c r="G628">
        <f>ABS(lmsi_v1_v2_comparison[[#This Row],[score_change]])</f>
        <v>0.42</v>
      </c>
      <c r="H628" t="str">
        <f>IF(lmsi_v1_v2_comparison[[#This Row],[score_change]]&gt;0, "v2 Higher","v2 Lower")</f>
        <v>v2 Higher</v>
      </c>
    </row>
    <row r="629" spans="1:8" x14ac:dyDescent="0.2">
      <c r="A629" t="s">
        <v>50</v>
      </c>
      <c r="B629" t="s">
        <v>16</v>
      </c>
      <c r="C629" t="s">
        <v>12</v>
      </c>
      <c r="D629">
        <v>22.65</v>
      </c>
      <c r="E629">
        <v>24</v>
      </c>
      <c r="F629">
        <v>1.35</v>
      </c>
      <c r="G629">
        <f>ABS(lmsi_v1_v2_comparison[[#This Row],[score_change]])</f>
        <v>1.35</v>
      </c>
      <c r="H629" t="str">
        <f>IF(lmsi_v1_v2_comparison[[#This Row],[score_change]]&gt;0, "v2 Higher","v2 Lower")</f>
        <v>v2 Higher</v>
      </c>
    </row>
    <row r="630" spans="1:8" x14ac:dyDescent="0.2">
      <c r="A630" t="s">
        <v>50</v>
      </c>
      <c r="B630" t="s">
        <v>16</v>
      </c>
      <c r="C630" t="s">
        <v>13</v>
      </c>
      <c r="D630">
        <v>16.16</v>
      </c>
      <c r="E630">
        <v>16.48</v>
      </c>
      <c r="F630">
        <v>0.32</v>
      </c>
      <c r="G630">
        <f>ABS(lmsi_v1_v2_comparison[[#This Row],[score_change]])</f>
        <v>0.32</v>
      </c>
      <c r="H630" t="str">
        <f>IF(lmsi_v1_v2_comparison[[#This Row],[score_change]]&gt;0, "v2 Higher","v2 Lower")</f>
        <v>v2 Higher</v>
      </c>
    </row>
    <row r="631" spans="1:8" x14ac:dyDescent="0.2">
      <c r="A631" t="s">
        <v>50</v>
      </c>
      <c r="B631" t="s">
        <v>16</v>
      </c>
      <c r="C631" t="s">
        <v>14</v>
      </c>
      <c r="D631">
        <v>21.66</v>
      </c>
      <c r="E631">
        <v>25.38</v>
      </c>
      <c r="F631">
        <v>3.72</v>
      </c>
      <c r="G631">
        <f>ABS(lmsi_v1_v2_comparison[[#This Row],[score_change]])</f>
        <v>3.72</v>
      </c>
      <c r="H631" t="str">
        <f>IF(lmsi_v1_v2_comparison[[#This Row],[score_change]]&gt;0, "v2 Higher","v2 Lower")</f>
        <v>v2 Higher</v>
      </c>
    </row>
    <row r="632" spans="1:8" x14ac:dyDescent="0.2">
      <c r="A632" t="s">
        <v>51</v>
      </c>
      <c r="B632" t="s">
        <v>8</v>
      </c>
      <c r="C632" t="s">
        <v>9</v>
      </c>
      <c r="D632">
        <v>24.46</v>
      </c>
      <c r="E632">
        <v>21.7</v>
      </c>
      <c r="F632">
        <v>-2.76</v>
      </c>
      <c r="G632">
        <f>ABS(lmsi_v1_v2_comparison[[#This Row],[score_change]])</f>
        <v>2.76</v>
      </c>
      <c r="H632" t="str">
        <f>IF(lmsi_v1_v2_comparison[[#This Row],[score_change]]&gt;0, "v2 Higher","v2 Lower")</f>
        <v>v2 Lower</v>
      </c>
    </row>
    <row r="633" spans="1:8" x14ac:dyDescent="0.2">
      <c r="A633" t="s">
        <v>51</v>
      </c>
      <c r="B633" t="s">
        <v>8</v>
      </c>
      <c r="C633" t="s">
        <v>10</v>
      </c>
      <c r="D633">
        <v>14.57</v>
      </c>
      <c r="E633">
        <v>15.54</v>
      </c>
      <c r="F633">
        <v>0.97</v>
      </c>
      <c r="G633">
        <f>ABS(lmsi_v1_v2_comparison[[#This Row],[score_change]])</f>
        <v>0.97</v>
      </c>
      <c r="H633" t="str">
        <f>IF(lmsi_v1_v2_comparison[[#This Row],[score_change]]&gt;0, "v2 Higher","v2 Lower")</f>
        <v>v2 Higher</v>
      </c>
    </row>
    <row r="634" spans="1:8" x14ac:dyDescent="0.2">
      <c r="A634" t="s">
        <v>51</v>
      </c>
      <c r="B634" t="s">
        <v>8</v>
      </c>
      <c r="C634" t="s">
        <v>11</v>
      </c>
      <c r="D634">
        <v>16.59</v>
      </c>
      <c r="E634">
        <v>16.96</v>
      </c>
      <c r="F634">
        <v>0.37</v>
      </c>
      <c r="G634">
        <f>ABS(lmsi_v1_v2_comparison[[#This Row],[score_change]])</f>
        <v>0.37</v>
      </c>
      <c r="H634" t="str">
        <f>IF(lmsi_v1_v2_comparison[[#This Row],[score_change]]&gt;0, "v2 Higher","v2 Lower")</f>
        <v>v2 Higher</v>
      </c>
    </row>
    <row r="635" spans="1:8" x14ac:dyDescent="0.2">
      <c r="A635" t="s">
        <v>51</v>
      </c>
      <c r="B635" t="s">
        <v>8</v>
      </c>
      <c r="C635" t="s">
        <v>12</v>
      </c>
      <c r="D635">
        <v>22.33</v>
      </c>
      <c r="E635">
        <v>22.61</v>
      </c>
      <c r="F635">
        <v>0.28000000000000003</v>
      </c>
      <c r="G635">
        <f>ABS(lmsi_v1_v2_comparison[[#This Row],[score_change]])</f>
        <v>0.28000000000000003</v>
      </c>
      <c r="H635" t="str">
        <f>IF(lmsi_v1_v2_comparison[[#This Row],[score_change]]&gt;0, "v2 Higher","v2 Lower")</f>
        <v>v2 Higher</v>
      </c>
    </row>
    <row r="636" spans="1:8" x14ac:dyDescent="0.2">
      <c r="A636" t="s">
        <v>51</v>
      </c>
      <c r="B636" t="s">
        <v>8</v>
      </c>
      <c r="C636" t="s">
        <v>13</v>
      </c>
      <c r="D636">
        <v>16.05</v>
      </c>
      <c r="E636">
        <v>17.21</v>
      </c>
      <c r="F636">
        <v>1.1599999999999999</v>
      </c>
      <c r="G636">
        <f>ABS(lmsi_v1_v2_comparison[[#This Row],[score_change]])</f>
        <v>1.1599999999999999</v>
      </c>
      <c r="H636" t="str">
        <f>IF(lmsi_v1_v2_comparison[[#This Row],[score_change]]&gt;0, "v2 Higher","v2 Lower")</f>
        <v>v2 Higher</v>
      </c>
    </row>
    <row r="637" spans="1:8" x14ac:dyDescent="0.2">
      <c r="A637" t="s">
        <v>51</v>
      </c>
      <c r="B637" t="s">
        <v>8</v>
      </c>
      <c r="C637" t="s">
        <v>14</v>
      </c>
      <c r="D637">
        <v>19.420000000000002</v>
      </c>
      <c r="E637">
        <v>20.7</v>
      </c>
      <c r="F637">
        <v>1.28</v>
      </c>
      <c r="G637">
        <f>ABS(lmsi_v1_v2_comparison[[#This Row],[score_change]])</f>
        <v>1.28</v>
      </c>
      <c r="H637" t="str">
        <f>IF(lmsi_v1_v2_comparison[[#This Row],[score_change]]&gt;0, "v2 Higher","v2 Lower")</f>
        <v>v2 Higher</v>
      </c>
    </row>
    <row r="638" spans="1:8" x14ac:dyDescent="0.2">
      <c r="A638" t="s">
        <v>51</v>
      </c>
      <c r="B638" t="s">
        <v>15</v>
      </c>
      <c r="C638" t="s">
        <v>9</v>
      </c>
      <c r="D638">
        <v>29.48</v>
      </c>
      <c r="E638">
        <v>25.61</v>
      </c>
      <c r="F638">
        <v>-3.87</v>
      </c>
      <c r="G638">
        <f>ABS(lmsi_v1_v2_comparison[[#This Row],[score_change]])</f>
        <v>3.87</v>
      </c>
      <c r="H638" t="str">
        <f>IF(lmsi_v1_v2_comparison[[#This Row],[score_change]]&gt;0, "v2 Higher","v2 Lower")</f>
        <v>v2 Lower</v>
      </c>
    </row>
    <row r="639" spans="1:8" x14ac:dyDescent="0.2">
      <c r="A639" t="s">
        <v>51</v>
      </c>
      <c r="B639" t="s">
        <v>15</v>
      </c>
      <c r="C639" t="s">
        <v>10</v>
      </c>
      <c r="D639">
        <v>18.649999999999999</v>
      </c>
      <c r="E639">
        <v>17.809999999999999</v>
      </c>
      <c r="F639">
        <v>-0.84</v>
      </c>
      <c r="G639">
        <f>ABS(lmsi_v1_v2_comparison[[#This Row],[score_change]])</f>
        <v>0.84</v>
      </c>
      <c r="H639" t="str">
        <f>IF(lmsi_v1_v2_comparison[[#This Row],[score_change]]&gt;0, "v2 Higher","v2 Lower")</f>
        <v>v2 Lower</v>
      </c>
    </row>
    <row r="640" spans="1:8" x14ac:dyDescent="0.2">
      <c r="A640" t="s">
        <v>51</v>
      </c>
      <c r="B640" t="s">
        <v>15</v>
      </c>
      <c r="C640" t="s">
        <v>11</v>
      </c>
      <c r="D640">
        <v>18.22</v>
      </c>
      <c r="E640">
        <v>20.65</v>
      </c>
      <c r="F640">
        <v>2.4300000000000002</v>
      </c>
      <c r="G640">
        <f>ABS(lmsi_v1_v2_comparison[[#This Row],[score_change]])</f>
        <v>2.4300000000000002</v>
      </c>
      <c r="H640" t="str">
        <f>IF(lmsi_v1_v2_comparison[[#This Row],[score_change]]&gt;0, "v2 Higher","v2 Lower")</f>
        <v>v2 Higher</v>
      </c>
    </row>
    <row r="641" spans="1:8" x14ac:dyDescent="0.2">
      <c r="A641" t="s">
        <v>51</v>
      </c>
      <c r="B641" t="s">
        <v>15</v>
      </c>
      <c r="C641" t="s">
        <v>12</v>
      </c>
      <c r="D641">
        <v>27.22</v>
      </c>
      <c r="E641">
        <v>29.87</v>
      </c>
      <c r="F641">
        <v>2.65</v>
      </c>
      <c r="G641">
        <f>ABS(lmsi_v1_v2_comparison[[#This Row],[score_change]])</f>
        <v>2.65</v>
      </c>
      <c r="H641" t="str">
        <f>IF(lmsi_v1_v2_comparison[[#This Row],[score_change]]&gt;0, "v2 Higher","v2 Lower")</f>
        <v>v2 Higher</v>
      </c>
    </row>
    <row r="642" spans="1:8" x14ac:dyDescent="0.2">
      <c r="A642" t="s">
        <v>51</v>
      </c>
      <c r="B642" t="s">
        <v>15</v>
      </c>
      <c r="C642" t="s">
        <v>13</v>
      </c>
      <c r="D642">
        <v>19.34</v>
      </c>
      <c r="E642">
        <v>19.21</v>
      </c>
      <c r="F642">
        <v>-0.13</v>
      </c>
      <c r="G642">
        <f>ABS(lmsi_v1_v2_comparison[[#This Row],[score_change]])</f>
        <v>0.13</v>
      </c>
      <c r="H642" t="str">
        <f>IF(lmsi_v1_v2_comparison[[#This Row],[score_change]]&gt;0, "v2 Higher","v2 Lower")</f>
        <v>v2 Lower</v>
      </c>
    </row>
    <row r="643" spans="1:8" x14ac:dyDescent="0.2">
      <c r="A643" t="s">
        <v>51</v>
      </c>
      <c r="B643" t="s">
        <v>15</v>
      </c>
      <c r="C643" t="s">
        <v>14</v>
      </c>
      <c r="D643">
        <v>34.76</v>
      </c>
      <c r="E643">
        <v>38.74</v>
      </c>
      <c r="F643">
        <v>3.98</v>
      </c>
      <c r="G643">
        <f>ABS(lmsi_v1_v2_comparison[[#This Row],[score_change]])</f>
        <v>3.98</v>
      </c>
      <c r="H643" t="str">
        <f>IF(lmsi_v1_v2_comparison[[#This Row],[score_change]]&gt;0, "v2 Higher","v2 Lower")</f>
        <v>v2 Higher</v>
      </c>
    </row>
    <row r="644" spans="1:8" x14ac:dyDescent="0.2">
      <c r="A644" t="s">
        <v>51</v>
      </c>
      <c r="B644" t="s">
        <v>16</v>
      </c>
      <c r="C644" t="s">
        <v>9</v>
      </c>
      <c r="D644">
        <v>26.79</v>
      </c>
      <c r="E644">
        <v>23.72</v>
      </c>
      <c r="F644">
        <v>-3.07</v>
      </c>
      <c r="G644">
        <f>ABS(lmsi_v1_v2_comparison[[#This Row],[score_change]])</f>
        <v>3.07</v>
      </c>
      <c r="H644" t="str">
        <f>IF(lmsi_v1_v2_comparison[[#This Row],[score_change]]&gt;0, "v2 Higher","v2 Lower")</f>
        <v>v2 Lower</v>
      </c>
    </row>
    <row r="645" spans="1:8" x14ac:dyDescent="0.2">
      <c r="A645" t="s">
        <v>51</v>
      </c>
      <c r="B645" t="s">
        <v>16</v>
      </c>
      <c r="C645" t="s">
        <v>10</v>
      </c>
      <c r="D645">
        <v>15.95</v>
      </c>
      <c r="E645">
        <v>18.88</v>
      </c>
      <c r="F645">
        <v>2.93</v>
      </c>
      <c r="G645">
        <f>ABS(lmsi_v1_v2_comparison[[#This Row],[score_change]])</f>
        <v>2.93</v>
      </c>
      <c r="H645" t="str">
        <f>IF(lmsi_v1_v2_comparison[[#This Row],[score_change]]&gt;0, "v2 Higher","v2 Lower")</f>
        <v>v2 Higher</v>
      </c>
    </row>
    <row r="646" spans="1:8" x14ac:dyDescent="0.2">
      <c r="A646" t="s">
        <v>51</v>
      </c>
      <c r="B646" t="s">
        <v>16</v>
      </c>
      <c r="C646" t="s">
        <v>11</v>
      </c>
      <c r="D646">
        <v>17.41</v>
      </c>
      <c r="E646">
        <v>18.2</v>
      </c>
      <c r="F646">
        <v>0.79</v>
      </c>
      <c r="G646">
        <f>ABS(lmsi_v1_v2_comparison[[#This Row],[score_change]])</f>
        <v>0.79</v>
      </c>
      <c r="H646" t="str">
        <f>IF(lmsi_v1_v2_comparison[[#This Row],[score_change]]&gt;0, "v2 Higher","v2 Lower")</f>
        <v>v2 Higher</v>
      </c>
    </row>
    <row r="647" spans="1:8" x14ac:dyDescent="0.2">
      <c r="A647" t="s">
        <v>51</v>
      </c>
      <c r="B647" t="s">
        <v>16</v>
      </c>
      <c r="C647" t="s">
        <v>12</v>
      </c>
      <c r="D647">
        <v>23.83</v>
      </c>
      <c r="E647">
        <v>25.03</v>
      </c>
      <c r="F647">
        <v>1.2</v>
      </c>
      <c r="G647">
        <f>ABS(lmsi_v1_v2_comparison[[#This Row],[score_change]])</f>
        <v>1.2</v>
      </c>
      <c r="H647" t="str">
        <f>IF(lmsi_v1_v2_comparison[[#This Row],[score_change]]&gt;0, "v2 Higher","v2 Lower")</f>
        <v>v2 Higher</v>
      </c>
    </row>
    <row r="648" spans="1:8" x14ac:dyDescent="0.2">
      <c r="A648" t="s">
        <v>51</v>
      </c>
      <c r="B648" t="s">
        <v>16</v>
      </c>
      <c r="C648" t="s">
        <v>13</v>
      </c>
      <c r="D648">
        <v>16.23</v>
      </c>
      <c r="E648">
        <v>15.81</v>
      </c>
      <c r="F648">
        <v>-0.42</v>
      </c>
      <c r="G648">
        <f>ABS(lmsi_v1_v2_comparison[[#This Row],[score_change]])</f>
        <v>0.42</v>
      </c>
      <c r="H648" t="str">
        <f>IF(lmsi_v1_v2_comparison[[#This Row],[score_change]]&gt;0, "v2 Higher","v2 Lower")</f>
        <v>v2 Lower</v>
      </c>
    </row>
    <row r="649" spans="1:8" x14ac:dyDescent="0.2">
      <c r="A649" t="s">
        <v>51</v>
      </c>
      <c r="B649" t="s">
        <v>16</v>
      </c>
      <c r="C649" t="s">
        <v>14</v>
      </c>
      <c r="D649">
        <v>24.95</v>
      </c>
      <c r="E649">
        <v>25.87</v>
      </c>
      <c r="F649">
        <v>0.92</v>
      </c>
      <c r="G649">
        <f>ABS(lmsi_v1_v2_comparison[[#This Row],[score_change]])</f>
        <v>0.92</v>
      </c>
      <c r="H649" t="str">
        <f>IF(lmsi_v1_v2_comparison[[#This Row],[score_change]]&gt;0, "v2 Higher","v2 Lower")</f>
        <v>v2 Higher</v>
      </c>
    </row>
    <row r="650" spans="1:8" x14ac:dyDescent="0.2">
      <c r="A650" t="s">
        <v>52</v>
      </c>
      <c r="B650" t="s">
        <v>8</v>
      </c>
      <c r="C650" t="s">
        <v>9</v>
      </c>
      <c r="D650">
        <v>22.22</v>
      </c>
      <c r="E650">
        <v>20.59</v>
      </c>
      <c r="F650">
        <v>-1.63</v>
      </c>
      <c r="G650">
        <f>ABS(lmsi_v1_v2_comparison[[#This Row],[score_change]])</f>
        <v>1.63</v>
      </c>
      <c r="H650" t="str">
        <f>IF(lmsi_v1_v2_comparison[[#This Row],[score_change]]&gt;0, "v2 Higher","v2 Lower")</f>
        <v>v2 Lower</v>
      </c>
    </row>
    <row r="651" spans="1:8" x14ac:dyDescent="0.2">
      <c r="A651" t="s">
        <v>52</v>
      </c>
      <c r="B651" t="s">
        <v>8</v>
      </c>
      <c r="C651" t="s">
        <v>10</v>
      </c>
      <c r="D651">
        <v>14.89</v>
      </c>
      <c r="E651">
        <v>14.88</v>
      </c>
      <c r="F651">
        <v>-0.01</v>
      </c>
      <c r="G651">
        <f>ABS(lmsi_v1_v2_comparison[[#This Row],[score_change]])</f>
        <v>0.01</v>
      </c>
      <c r="H651" t="str">
        <f>IF(lmsi_v1_v2_comparison[[#This Row],[score_change]]&gt;0, "v2 Higher","v2 Lower")</f>
        <v>v2 Lower</v>
      </c>
    </row>
    <row r="652" spans="1:8" x14ac:dyDescent="0.2">
      <c r="A652" t="s">
        <v>52</v>
      </c>
      <c r="B652" t="s">
        <v>8</v>
      </c>
      <c r="C652" t="s">
        <v>11</v>
      </c>
      <c r="D652">
        <v>15.42</v>
      </c>
      <c r="E652">
        <v>16.78</v>
      </c>
      <c r="F652">
        <v>1.36</v>
      </c>
      <c r="G652">
        <f>ABS(lmsi_v1_v2_comparison[[#This Row],[score_change]])</f>
        <v>1.36</v>
      </c>
      <c r="H652" t="str">
        <f>IF(lmsi_v1_v2_comparison[[#This Row],[score_change]]&gt;0, "v2 Higher","v2 Lower")</f>
        <v>v2 Higher</v>
      </c>
    </row>
    <row r="653" spans="1:8" x14ac:dyDescent="0.2">
      <c r="A653" t="s">
        <v>52</v>
      </c>
      <c r="B653" t="s">
        <v>8</v>
      </c>
      <c r="C653" t="s">
        <v>12</v>
      </c>
      <c r="D653">
        <v>22.71</v>
      </c>
      <c r="E653">
        <v>23.67</v>
      </c>
      <c r="F653">
        <v>0.96</v>
      </c>
      <c r="G653">
        <f>ABS(lmsi_v1_v2_comparison[[#This Row],[score_change]])</f>
        <v>0.96</v>
      </c>
      <c r="H653" t="str">
        <f>IF(lmsi_v1_v2_comparison[[#This Row],[score_change]]&gt;0, "v2 Higher","v2 Lower")</f>
        <v>v2 Higher</v>
      </c>
    </row>
    <row r="654" spans="1:8" x14ac:dyDescent="0.2">
      <c r="A654" t="s">
        <v>52</v>
      </c>
      <c r="B654" t="s">
        <v>8</v>
      </c>
      <c r="C654" t="s">
        <v>13</v>
      </c>
      <c r="D654">
        <v>17.18</v>
      </c>
      <c r="E654">
        <v>17.04</v>
      </c>
      <c r="F654">
        <v>-0.14000000000000001</v>
      </c>
      <c r="G654">
        <f>ABS(lmsi_v1_v2_comparison[[#This Row],[score_change]])</f>
        <v>0.14000000000000001</v>
      </c>
      <c r="H654" t="str">
        <f>IF(lmsi_v1_v2_comparison[[#This Row],[score_change]]&gt;0, "v2 Higher","v2 Lower")</f>
        <v>v2 Lower</v>
      </c>
    </row>
    <row r="655" spans="1:8" x14ac:dyDescent="0.2">
      <c r="A655" t="s">
        <v>52</v>
      </c>
      <c r="B655" t="s">
        <v>8</v>
      </c>
      <c r="C655" t="s">
        <v>14</v>
      </c>
      <c r="D655">
        <v>18.93</v>
      </c>
      <c r="E655">
        <v>26.72</v>
      </c>
      <c r="F655">
        <v>7.79</v>
      </c>
      <c r="G655">
        <f>ABS(lmsi_v1_v2_comparison[[#This Row],[score_change]])</f>
        <v>7.79</v>
      </c>
      <c r="H655" t="str">
        <f>IF(lmsi_v1_v2_comparison[[#This Row],[score_change]]&gt;0, "v2 Higher","v2 Lower")</f>
        <v>v2 Higher</v>
      </c>
    </row>
    <row r="656" spans="1:8" x14ac:dyDescent="0.2">
      <c r="A656" t="s">
        <v>52</v>
      </c>
      <c r="B656" t="s">
        <v>15</v>
      </c>
      <c r="C656" t="s">
        <v>9</v>
      </c>
      <c r="D656">
        <v>26.69</v>
      </c>
      <c r="E656">
        <v>25.88</v>
      </c>
      <c r="F656">
        <v>-0.81</v>
      </c>
      <c r="G656">
        <f>ABS(lmsi_v1_v2_comparison[[#This Row],[score_change]])</f>
        <v>0.81</v>
      </c>
      <c r="H656" t="str">
        <f>IF(lmsi_v1_v2_comparison[[#This Row],[score_change]]&gt;0, "v2 Higher","v2 Lower")</f>
        <v>v2 Lower</v>
      </c>
    </row>
    <row r="657" spans="1:8" x14ac:dyDescent="0.2">
      <c r="A657" t="s">
        <v>52</v>
      </c>
      <c r="B657" t="s">
        <v>15</v>
      </c>
      <c r="C657" t="s">
        <v>10</v>
      </c>
      <c r="D657">
        <v>19.989999999999998</v>
      </c>
      <c r="E657">
        <v>19.89</v>
      </c>
      <c r="F657">
        <v>-0.1</v>
      </c>
      <c r="G657">
        <f>ABS(lmsi_v1_v2_comparison[[#This Row],[score_change]])</f>
        <v>0.1</v>
      </c>
      <c r="H657" t="str">
        <f>IF(lmsi_v1_v2_comparison[[#This Row],[score_change]]&gt;0, "v2 Higher","v2 Lower")</f>
        <v>v2 Lower</v>
      </c>
    </row>
    <row r="658" spans="1:8" x14ac:dyDescent="0.2">
      <c r="A658" t="s">
        <v>52</v>
      </c>
      <c r="B658" t="s">
        <v>15</v>
      </c>
      <c r="C658" t="s">
        <v>11</v>
      </c>
      <c r="D658">
        <v>17.170000000000002</v>
      </c>
      <c r="E658">
        <v>23.69</v>
      </c>
      <c r="F658">
        <v>6.52</v>
      </c>
      <c r="G658">
        <f>ABS(lmsi_v1_v2_comparison[[#This Row],[score_change]])</f>
        <v>6.52</v>
      </c>
      <c r="H658" t="str">
        <f>IF(lmsi_v1_v2_comparison[[#This Row],[score_change]]&gt;0, "v2 Higher","v2 Lower")</f>
        <v>v2 Higher</v>
      </c>
    </row>
    <row r="659" spans="1:8" x14ac:dyDescent="0.2">
      <c r="A659" t="s">
        <v>52</v>
      </c>
      <c r="B659" t="s">
        <v>15</v>
      </c>
      <c r="C659" t="s">
        <v>12</v>
      </c>
      <c r="D659">
        <v>28.02</v>
      </c>
      <c r="E659">
        <v>33.93</v>
      </c>
      <c r="F659">
        <v>5.91</v>
      </c>
      <c r="G659">
        <f>ABS(lmsi_v1_v2_comparison[[#This Row],[score_change]])</f>
        <v>5.91</v>
      </c>
      <c r="H659" t="str">
        <f>IF(lmsi_v1_v2_comparison[[#This Row],[score_change]]&gt;0, "v2 Higher","v2 Lower")</f>
        <v>v2 Higher</v>
      </c>
    </row>
    <row r="660" spans="1:8" x14ac:dyDescent="0.2">
      <c r="A660" t="s">
        <v>52</v>
      </c>
      <c r="B660" t="s">
        <v>15</v>
      </c>
      <c r="C660" t="s">
        <v>13</v>
      </c>
      <c r="D660">
        <v>20.440000000000001</v>
      </c>
      <c r="E660">
        <v>18.850000000000001</v>
      </c>
      <c r="F660">
        <v>-1.59</v>
      </c>
      <c r="G660">
        <f>ABS(lmsi_v1_v2_comparison[[#This Row],[score_change]])</f>
        <v>1.59</v>
      </c>
      <c r="H660" t="str">
        <f>IF(lmsi_v1_v2_comparison[[#This Row],[score_change]]&gt;0, "v2 Higher","v2 Lower")</f>
        <v>v2 Lower</v>
      </c>
    </row>
    <row r="661" spans="1:8" x14ac:dyDescent="0.2">
      <c r="A661" t="s">
        <v>52</v>
      </c>
      <c r="B661" t="s">
        <v>15</v>
      </c>
      <c r="C661" t="s">
        <v>14</v>
      </c>
      <c r="D661">
        <v>33.450000000000003</v>
      </c>
      <c r="E661">
        <v>39.64</v>
      </c>
      <c r="F661">
        <v>6.19</v>
      </c>
      <c r="G661">
        <f>ABS(lmsi_v1_v2_comparison[[#This Row],[score_change]])</f>
        <v>6.19</v>
      </c>
      <c r="H661" t="str">
        <f>IF(lmsi_v1_v2_comparison[[#This Row],[score_change]]&gt;0, "v2 Higher","v2 Lower")</f>
        <v>v2 Higher</v>
      </c>
    </row>
    <row r="662" spans="1:8" x14ac:dyDescent="0.2">
      <c r="A662" t="s">
        <v>52</v>
      </c>
      <c r="B662" t="s">
        <v>16</v>
      </c>
      <c r="C662" t="s">
        <v>9</v>
      </c>
      <c r="D662">
        <v>24.62</v>
      </c>
      <c r="E662">
        <v>22.49</v>
      </c>
      <c r="F662">
        <v>-2.13</v>
      </c>
      <c r="G662">
        <f>ABS(lmsi_v1_v2_comparison[[#This Row],[score_change]])</f>
        <v>2.13</v>
      </c>
      <c r="H662" t="str">
        <f>IF(lmsi_v1_v2_comparison[[#This Row],[score_change]]&gt;0, "v2 Higher","v2 Lower")</f>
        <v>v2 Lower</v>
      </c>
    </row>
    <row r="663" spans="1:8" x14ac:dyDescent="0.2">
      <c r="A663" t="s">
        <v>52</v>
      </c>
      <c r="B663" t="s">
        <v>16</v>
      </c>
      <c r="C663" t="s">
        <v>10</v>
      </c>
      <c r="D663">
        <v>17.21</v>
      </c>
      <c r="E663">
        <v>19.07</v>
      </c>
      <c r="F663">
        <v>1.86</v>
      </c>
      <c r="G663">
        <f>ABS(lmsi_v1_v2_comparison[[#This Row],[score_change]])</f>
        <v>1.86</v>
      </c>
      <c r="H663" t="str">
        <f>IF(lmsi_v1_v2_comparison[[#This Row],[score_change]]&gt;0, "v2 Higher","v2 Lower")</f>
        <v>v2 Higher</v>
      </c>
    </row>
    <row r="664" spans="1:8" x14ac:dyDescent="0.2">
      <c r="A664" t="s">
        <v>52</v>
      </c>
      <c r="B664" t="s">
        <v>16</v>
      </c>
      <c r="C664" t="s">
        <v>11</v>
      </c>
      <c r="D664">
        <v>16.09</v>
      </c>
      <c r="E664">
        <v>16.82</v>
      </c>
      <c r="F664">
        <v>0.73</v>
      </c>
      <c r="G664">
        <f>ABS(lmsi_v1_v2_comparison[[#This Row],[score_change]])</f>
        <v>0.73</v>
      </c>
      <c r="H664" t="str">
        <f>IF(lmsi_v1_v2_comparison[[#This Row],[score_change]]&gt;0, "v2 Higher","v2 Lower")</f>
        <v>v2 Higher</v>
      </c>
    </row>
    <row r="665" spans="1:8" x14ac:dyDescent="0.2">
      <c r="A665" t="s">
        <v>52</v>
      </c>
      <c r="B665" t="s">
        <v>16</v>
      </c>
      <c r="C665" t="s">
        <v>12</v>
      </c>
      <c r="D665">
        <v>24.57</v>
      </c>
      <c r="E665">
        <v>26.54</v>
      </c>
      <c r="F665">
        <v>1.97</v>
      </c>
      <c r="G665">
        <f>ABS(lmsi_v1_v2_comparison[[#This Row],[score_change]])</f>
        <v>1.97</v>
      </c>
      <c r="H665" t="str">
        <f>IF(lmsi_v1_v2_comparison[[#This Row],[score_change]]&gt;0, "v2 Higher","v2 Lower")</f>
        <v>v2 Higher</v>
      </c>
    </row>
    <row r="666" spans="1:8" x14ac:dyDescent="0.2">
      <c r="A666" t="s">
        <v>52</v>
      </c>
      <c r="B666" t="s">
        <v>16</v>
      </c>
      <c r="C666" t="s">
        <v>13</v>
      </c>
      <c r="D666">
        <v>16.41</v>
      </c>
      <c r="E666">
        <v>16.100000000000001</v>
      </c>
      <c r="F666">
        <v>-0.31</v>
      </c>
      <c r="G666">
        <f>ABS(lmsi_v1_v2_comparison[[#This Row],[score_change]])</f>
        <v>0.31</v>
      </c>
      <c r="H666" t="str">
        <f>IF(lmsi_v1_v2_comparison[[#This Row],[score_change]]&gt;0, "v2 Higher","v2 Lower")</f>
        <v>v2 Lower</v>
      </c>
    </row>
    <row r="667" spans="1:8" x14ac:dyDescent="0.2">
      <c r="A667" t="s">
        <v>52</v>
      </c>
      <c r="B667" t="s">
        <v>16</v>
      </c>
      <c r="C667" t="s">
        <v>14</v>
      </c>
      <c r="D667">
        <v>22.38</v>
      </c>
      <c r="E667">
        <v>24.03</v>
      </c>
      <c r="F667">
        <v>1.65</v>
      </c>
      <c r="G667">
        <f>ABS(lmsi_v1_v2_comparison[[#This Row],[score_change]])</f>
        <v>1.65</v>
      </c>
      <c r="H667" t="str">
        <f>IF(lmsi_v1_v2_comparison[[#This Row],[score_change]]&gt;0, "v2 Higher","v2 Lower")</f>
        <v>v2 Higher</v>
      </c>
    </row>
    <row r="668" spans="1:8" x14ac:dyDescent="0.2">
      <c r="A668" t="s">
        <v>53</v>
      </c>
      <c r="B668" t="s">
        <v>8</v>
      </c>
      <c r="C668" t="s">
        <v>9</v>
      </c>
      <c r="D668">
        <v>21.95</v>
      </c>
      <c r="E668">
        <v>19.690000000000001</v>
      </c>
      <c r="F668">
        <v>-2.2599999999999998</v>
      </c>
      <c r="G668">
        <f>ABS(lmsi_v1_v2_comparison[[#This Row],[score_change]])</f>
        <v>2.2599999999999998</v>
      </c>
      <c r="H668" t="str">
        <f>IF(lmsi_v1_v2_comparison[[#This Row],[score_change]]&gt;0, "v2 Higher","v2 Lower")</f>
        <v>v2 Lower</v>
      </c>
    </row>
    <row r="669" spans="1:8" x14ac:dyDescent="0.2">
      <c r="A669" t="s">
        <v>53</v>
      </c>
      <c r="B669" t="s">
        <v>8</v>
      </c>
      <c r="C669" t="s">
        <v>10</v>
      </c>
      <c r="D669">
        <v>15.85</v>
      </c>
      <c r="E669">
        <v>15.87</v>
      </c>
      <c r="F669">
        <v>0.02</v>
      </c>
      <c r="G669">
        <f>ABS(lmsi_v1_v2_comparison[[#This Row],[score_change]])</f>
        <v>0.02</v>
      </c>
      <c r="H669" t="str">
        <f>IF(lmsi_v1_v2_comparison[[#This Row],[score_change]]&gt;0, "v2 Higher","v2 Lower")</f>
        <v>v2 Higher</v>
      </c>
    </row>
    <row r="670" spans="1:8" x14ac:dyDescent="0.2">
      <c r="A670" t="s">
        <v>53</v>
      </c>
      <c r="B670" t="s">
        <v>8</v>
      </c>
      <c r="C670" t="s">
        <v>11</v>
      </c>
      <c r="D670">
        <v>15.1</v>
      </c>
      <c r="E670">
        <v>15.38</v>
      </c>
      <c r="F670">
        <v>0.28000000000000003</v>
      </c>
      <c r="G670">
        <f>ABS(lmsi_v1_v2_comparison[[#This Row],[score_change]])</f>
        <v>0.28000000000000003</v>
      </c>
      <c r="H670" t="str">
        <f>IF(lmsi_v1_v2_comparison[[#This Row],[score_change]]&gt;0, "v2 Higher","v2 Lower")</f>
        <v>v2 Higher</v>
      </c>
    </row>
    <row r="671" spans="1:8" x14ac:dyDescent="0.2">
      <c r="A671" t="s">
        <v>53</v>
      </c>
      <c r="B671" t="s">
        <v>8</v>
      </c>
      <c r="C671" t="s">
        <v>12</v>
      </c>
      <c r="D671">
        <v>24.49</v>
      </c>
      <c r="E671">
        <v>25.8</v>
      </c>
      <c r="F671">
        <v>1.31</v>
      </c>
      <c r="G671">
        <f>ABS(lmsi_v1_v2_comparison[[#This Row],[score_change]])</f>
        <v>1.31</v>
      </c>
      <c r="H671" t="str">
        <f>IF(lmsi_v1_v2_comparison[[#This Row],[score_change]]&gt;0, "v2 Higher","v2 Lower")</f>
        <v>v2 Higher</v>
      </c>
    </row>
    <row r="672" spans="1:8" x14ac:dyDescent="0.2">
      <c r="A672" t="s">
        <v>53</v>
      </c>
      <c r="B672" t="s">
        <v>8</v>
      </c>
      <c r="C672" t="s">
        <v>13</v>
      </c>
      <c r="D672">
        <v>16.329999999999998</v>
      </c>
      <c r="E672">
        <v>17.43</v>
      </c>
      <c r="F672">
        <v>1.1000000000000001</v>
      </c>
      <c r="G672">
        <f>ABS(lmsi_v1_v2_comparison[[#This Row],[score_change]])</f>
        <v>1.1000000000000001</v>
      </c>
      <c r="H672" t="str">
        <f>IF(lmsi_v1_v2_comparison[[#This Row],[score_change]]&gt;0, "v2 Higher","v2 Lower")</f>
        <v>v2 Higher</v>
      </c>
    </row>
    <row r="673" spans="1:8" x14ac:dyDescent="0.2">
      <c r="A673" t="s">
        <v>53</v>
      </c>
      <c r="B673" t="s">
        <v>8</v>
      </c>
      <c r="C673" t="s">
        <v>14</v>
      </c>
      <c r="D673">
        <v>22.95</v>
      </c>
      <c r="E673">
        <v>23.94</v>
      </c>
      <c r="F673">
        <v>0.99</v>
      </c>
      <c r="G673">
        <f>ABS(lmsi_v1_v2_comparison[[#This Row],[score_change]])</f>
        <v>0.99</v>
      </c>
      <c r="H673" t="str">
        <f>IF(lmsi_v1_v2_comparison[[#This Row],[score_change]]&gt;0, "v2 Higher","v2 Lower")</f>
        <v>v2 Higher</v>
      </c>
    </row>
    <row r="674" spans="1:8" x14ac:dyDescent="0.2">
      <c r="A674" t="s">
        <v>53</v>
      </c>
      <c r="B674" t="s">
        <v>15</v>
      </c>
      <c r="C674" t="s">
        <v>9</v>
      </c>
      <c r="D674">
        <v>27.82</v>
      </c>
      <c r="E674">
        <v>24.37</v>
      </c>
      <c r="F674">
        <v>-3.45</v>
      </c>
      <c r="G674">
        <f>ABS(lmsi_v1_v2_comparison[[#This Row],[score_change]])</f>
        <v>3.45</v>
      </c>
      <c r="H674" t="str">
        <f>IF(lmsi_v1_v2_comparison[[#This Row],[score_change]]&gt;0, "v2 Higher","v2 Lower")</f>
        <v>v2 Lower</v>
      </c>
    </row>
    <row r="675" spans="1:8" x14ac:dyDescent="0.2">
      <c r="A675" t="s">
        <v>53</v>
      </c>
      <c r="B675" t="s">
        <v>15</v>
      </c>
      <c r="C675" t="s">
        <v>10</v>
      </c>
      <c r="D675">
        <v>19.350000000000001</v>
      </c>
      <c r="E675">
        <v>19.5</v>
      </c>
      <c r="F675">
        <v>0.15</v>
      </c>
      <c r="G675">
        <f>ABS(lmsi_v1_v2_comparison[[#This Row],[score_change]])</f>
        <v>0.15</v>
      </c>
      <c r="H675" t="str">
        <f>IF(lmsi_v1_v2_comparison[[#This Row],[score_change]]&gt;0, "v2 Higher","v2 Lower")</f>
        <v>v2 Higher</v>
      </c>
    </row>
    <row r="676" spans="1:8" x14ac:dyDescent="0.2">
      <c r="A676" t="s">
        <v>53</v>
      </c>
      <c r="B676" t="s">
        <v>15</v>
      </c>
      <c r="C676" t="s">
        <v>11</v>
      </c>
      <c r="D676">
        <v>16.559999999999999</v>
      </c>
      <c r="E676">
        <v>17.07</v>
      </c>
      <c r="F676">
        <v>0.51</v>
      </c>
      <c r="G676">
        <f>ABS(lmsi_v1_v2_comparison[[#This Row],[score_change]])</f>
        <v>0.51</v>
      </c>
      <c r="H676" t="str">
        <f>IF(lmsi_v1_v2_comparison[[#This Row],[score_change]]&gt;0, "v2 Higher","v2 Lower")</f>
        <v>v2 Higher</v>
      </c>
    </row>
    <row r="677" spans="1:8" x14ac:dyDescent="0.2">
      <c r="A677" t="s">
        <v>53</v>
      </c>
      <c r="B677" t="s">
        <v>15</v>
      </c>
      <c r="C677" t="s">
        <v>12</v>
      </c>
      <c r="D677">
        <v>28.09</v>
      </c>
      <c r="E677">
        <v>28.17</v>
      </c>
      <c r="F677">
        <v>0.08</v>
      </c>
      <c r="G677">
        <f>ABS(lmsi_v1_v2_comparison[[#This Row],[score_change]])</f>
        <v>0.08</v>
      </c>
      <c r="H677" t="str">
        <f>IF(lmsi_v1_v2_comparison[[#This Row],[score_change]]&gt;0, "v2 Higher","v2 Lower")</f>
        <v>v2 Higher</v>
      </c>
    </row>
    <row r="678" spans="1:8" x14ac:dyDescent="0.2">
      <c r="A678" t="s">
        <v>53</v>
      </c>
      <c r="B678" t="s">
        <v>15</v>
      </c>
      <c r="C678" t="s">
        <v>13</v>
      </c>
      <c r="D678">
        <v>21.52</v>
      </c>
      <c r="E678">
        <v>20.69</v>
      </c>
      <c r="F678">
        <v>-0.83</v>
      </c>
      <c r="G678">
        <f>ABS(lmsi_v1_v2_comparison[[#This Row],[score_change]])</f>
        <v>0.83</v>
      </c>
      <c r="H678" t="str">
        <f>IF(lmsi_v1_v2_comparison[[#This Row],[score_change]]&gt;0, "v2 Higher","v2 Lower")</f>
        <v>v2 Lower</v>
      </c>
    </row>
    <row r="679" spans="1:8" x14ac:dyDescent="0.2">
      <c r="A679" t="s">
        <v>53</v>
      </c>
      <c r="B679" t="s">
        <v>15</v>
      </c>
      <c r="C679" t="s">
        <v>14</v>
      </c>
      <c r="D679">
        <v>39.83</v>
      </c>
      <c r="E679">
        <v>39.090000000000003</v>
      </c>
      <c r="F679">
        <v>-0.74</v>
      </c>
      <c r="G679">
        <f>ABS(lmsi_v1_v2_comparison[[#This Row],[score_change]])</f>
        <v>0.74</v>
      </c>
      <c r="H679" t="str">
        <f>IF(lmsi_v1_v2_comparison[[#This Row],[score_change]]&gt;0, "v2 Higher","v2 Lower")</f>
        <v>v2 Lower</v>
      </c>
    </row>
    <row r="680" spans="1:8" x14ac:dyDescent="0.2">
      <c r="A680" t="s">
        <v>53</v>
      </c>
      <c r="B680" t="s">
        <v>16</v>
      </c>
      <c r="C680" t="s">
        <v>9</v>
      </c>
      <c r="D680">
        <v>26.4</v>
      </c>
      <c r="E680">
        <v>23.33</v>
      </c>
      <c r="F680">
        <v>-3.07</v>
      </c>
      <c r="G680">
        <f>ABS(lmsi_v1_v2_comparison[[#This Row],[score_change]])</f>
        <v>3.07</v>
      </c>
      <c r="H680" t="str">
        <f>IF(lmsi_v1_v2_comparison[[#This Row],[score_change]]&gt;0, "v2 Higher","v2 Lower")</f>
        <v>v2 Lower</v>
      </c>
    </row>
    <row r="681" spans="1:8" x14ac:dyDescent="0.2">
      <c r="A681" t="s">
        <v>53</v>
      </c>
      <c r="B681" t="s">
        <v>16</v>
      </c>
      <c r="C681" t="s">
        <v>10</v>
      </c>
      <c r="D681">
        <v>17.43</v>
      </c>
      <c r="E681">
        <v>17.5</v>
      </c>
      <c r="F681">
        <v>7.0000000000000007E-2</v>
      </c>
      <c r="G681">
        <f>ABS(lmsi_v1_v2_comparison[[#This Row],[score_change]])</f>
        <v>7.0000000000000007E-2</v>
      </c>
      <c r="H681" t="str">
        <f>IF(lmsi_v1_v2_comparison[[#This Row],[score_change]]&gt;0, "v2 Higher","v2 Lower")</f>
        <v>v2 Higher</v>
      </c>
    </row>
    <row r="682" spans="1:8" x14ac:dyDescent="0.2">
      <c r="A682" t="s">
        <v>53</v>
      </c>
      <c r="B682" t="s">
        <v>16</v>
      </c>
      <c r="C682" t="s">
        <v>11</v>
      </c>
      <c r="D682">
        <v>15.5</v>
      </c>
      <c r="E682">
        <v>15.69</v>
      </c>
      <c r="F682">
        <v>0.19</v>
      </c>
      <c r="G682">
        <f>ABS(lmsi_v1_v2_comparison[[#This Row],[score_change]])</f>
        <v>0.19</v>
      </c>
      <c r="H682" t="str">
        <f>IF(lmsi_v1_v2_comparison[[#This Row],[score_change]]&gt;0, "v2 Higher","v2 Lower")</f>
        <v>v2 Higher</v>
      </c>
    </row>
    <row r="683" spans="1:8" x14ac:dyDescent="0.2">
      <c r="A683" t="s">
        <v>53</v>
      </c>
      <c r="B683" t="s">
        <v>16</v>
      </c>
      <c r="C683" t="s">
        <v>12</v>
      </c>
      <c r="D683">
        <v>26.35</v>
      </c>
      <c r="E683">
        <v>26.31</v>
      </c>
      <c r="F683">
        <v>-0.04</v>
      </c>
      <c r="G683">
        <f>ABS(lmsi_v1_v2_comparison[[#This Row],[score_change]])</f>
        <v>0.04</v>
      </c>
      <c r="H683" t="str">
        <f>IF(lmsi_v1_v2_comparison[[#This Row],[score_change]]&gt;0, "v2 Higher","v2 Lower")</f>
        <v>v2 Lower</v>
      </c>
    </row>
    <row r="684" spans="1:8" x14ac:dyDescent="0.2">
      <c r="A684" t="s">
        <v>53</v>
      </c>
      <c r="B684" t="s">
        <v>16</v>
      </c>
      <c r="C684" t="s">
        <v>13</v>
      </c>
      <c r="D684">
        <v>15.74</v>
      </c>
      <c r="E684">
        <v>15.49</v>
      </c>
      <c r="F684">
        <v>-0.25</v>
      </c>
      <c r="G684">
        <f>ABS(lmsi_v1_v2_comparison[[#This Row],[score_change]])</f>
        <v>0.25</v>
      </c>
      <c r="H684" t="str">
        <f>IF(lmsi_v1_v2_comparison[[#This Row],[score_change]]&gt;0, "v2 Higher","v2 Lower")</f>
        <v>v2 Lower</v>
      </c>
    </row>
    <row r="685" spans="1:8" x14ac:dyDescent="0.2">
      <c r="A685" t="s">
        <v>53</v>
      </c>
      <c r="B685" t="s">
        <v>16</v>
      </c>
      <c r="C685" t="s">
        <v>14</v>
      </c>
      <c r="D685">
        <v>26.47</v>
      </c>
      <c r="E685">
        <v>26.83</v>
      </c>
      <c r="F685">
        <v>0.36</v>
      </c>
      <c r="G685">
        <f>ABS(lmsi_v1_v2_comparison[[#This Row],[score_change]])</f>
        <v>0.36</v>
      </c>
      <c r="H685" t="str">
        <f>IF(lmsi_v1_v2_comparison[[#This Row],[score_change]]&gt;0, "v2 Higher","v2 Lower")</f>
        <v>v2 Higher</v>
      </c>
    </row>
    <row r="686" spans="1:8" x14ac:dyDescent="0.2">
      <c r="A686" t="s">
        <v>54</v>
      </c>
      <c r="B686" t="s">
        <v>8</v>
      </c>
      <c r="C686" t="s">
        <v>9</v>
      </c>
      <c r="D686">
        <v>20.04</v>
      </c>
      <c r="E686">
        <v>18.68</v>
      </c>
      <c r="F686">
        <v>-1.36</v>
      </c>
      <c r="G686">
        <f>ABS(lmsi_v1_v2_comparison[[#This Row],[score_change]])</f>
        <v>1.36</v>
      </c>
      <c r="H686" t="str">
        <f>IF(lmsi_v1_v2_comparison[[#This Row],[score_change]]&gt;0, "v2 Higher","v2 Lower")</f>
        <v>v2 Lower</v>
      </c>
    </row>
    <row r="687" spans="1:8" x14ac:dyDescent="0.2">
      <c r="A687" t="s">
        <v>54</v>
      </c>
      <c r="B687" t="s">
        <v>8</v>
      </c>
      <c r="C687" t="s">
        <v>10</v>
      </c>
      <c r="D687">
        <v>14.72</v>
      </c>
      <c r="E687">
        <v>14.66</v>
      </c>
      <c r="F687">
        <v>-0.06</v>
      </c>
      <c r="G687">
        <f>ABS(lmsi_v1_v2_comparison[[#This Row],[score_change]])</f>
        <v>0.06</v>
      </c>
      <c r="H687" t="str">
        <f>IF(lmsi_v1_v2_comparison[[#This Row],[score_change]]&gt;0, "v2 Higher","v2 Lower")</f>
        <v>v2 Lower</v>
      </c>
    </row>
    <row r="688" spans="1:8" x14ac:dyDescent="0.2">
      <c r="A688" t="s">
        <v>54</v>
      </c>
      <c r="B688" t="s">
        <v>8</v>
      </c>
      <c r="C688" t="s">
        <v>11</v>
      </c>
      <c r="D688">
        <v>14.63</v>
      </c>
      <c r="E688">
        <v>16.21</v>
      </c>
      <c r="F688">
        <v>1.58</v>
      </c>
      <c r="G688">
        <f>ABS(lmsi_v1_v2_comparison[[#This Row],[score_change]])</f>
        <v>1.58</v>
      </c>
      <c r="H688" t="str">
        <f>IF(lmsi_v1_v2_comparison[[#This Row],[score_change]]&gt;0, "v2 Higher","v2 Lower")</f>
        <v>v2 Higher</v>
      </c>
    </row>
    <row r="689" spans="1:8" x14ac:dyDescent="0.2">
      <c r="A689" t="s">
        <v>54</v>
      </c>
      <c r="B689" t="s">
        <v>8</v>
      </c>
      <c r="C689" t="s">
        <v>12</v>
      </c>
      <c r="D689">
        <v>26.38</v>
      </c>
      <c r="E689">
        <v>31.95</v>
      </c>
      <c r="F689">
        <v>5.57</v>
      </c>
      <c r="G689">
        <f>ABS(lmsi_v1_v2_comparison[[#This Row],[score_change]])</f>
        <v>5.57</v>
      </c>
      <c r="H689" t="str">
        <f>IF(lmsi_v1_v2_comparison[[#This Row],[score_change]]&gt;0, "v2 Higher","v2 Lower")</f>
        <v>v2 Higher</v>
      </c>
    </row>
    <row r="690" spans="1:8" x14ac:dyDescent="0.2">
      <c r="A690" t="s">
        <v>54</v>
      </c>
      <c r="B690" t="s">
        <v>8</v>
      </c>
      <c r="C690" t="s">
        <v>13</v>
      </c>
      <c r="D690">
        <v>15.21</v>
      </c>
      <c r="E690">
        <v>15.53</v>
      </c>
      <c r="F690">
        <v>0.32</v>
      </c>
      <c r="G690">
        <f>ABS(lmsi_v1_v2_comparison[[#This Row],[score_change]])</f>
        <v>0.32</v>
      </c>
      <c r="H690" t="str">
        <f>IF(lmsi_v1_v2_comparison[[#This Row],[score_change]]&gt;0, "v2 Higher","v2 Lower")</f>
        <v>v2 Higher</v>
      </c>
    </row>
    <row r="691" spans="1:8" x14ac:dyDescent="0.2">
      <c r="A691" t="s">
        <v>54</v>
      </c>
      <c r="B691" t="s">
        <v>8</v>
      </c>
      <c r="C691" t="s">
        <v>14</v>
      </c>
      <c r="D691">
        <v>22.82</v>
      </c>
      <c r="E691">
        <v>24.45</v>
      </c>
      <c r="F691">
        <v>1.63</v>
      </c>
      <c r="G691">
        <f>ABS(lmsi_v1_v2_comparison[[#This Row],[score_change]])</f>
        <v>1.63</v>
      </c>
      <c r="H691" t="str">
        <f>IF(lmsi_v1_v2_comparison[[#This Row],[score_change]]&gt;0, "v2 Higher","v2 Lower")</f>
        <v>v2 Higher</v>
      </c>
    </row>
    <row r="692" spans="1:8" x14ac:dyDescent="0.2">
      <c r="A692" t="s">
        <v>54</v>
      </c>
      <c r="B692" t="s">
        <v>15</v>
      </c>
      <c r="C692" t="s">
        <v>9</v>
      </c>
      <c r="D692">
        <v>24.56</v>
      </c>
      <c r="E692">
        <v>21.63</v>
      </c>
      <c r="F692">
        <v>-2.93</v>
      </c>
      <c r="G692">
        <f>ABS(lmsi_v1_v2_comparison[[#This Row],[score_change]])</f>
        <v>2.93</v>
      </c>
      <c r="H692" t="str">
        <f>IF(lmsi_v1_v2_comparison[[#This Row],[score_change]]&gt;0, "v2 Higher","v2 Lower")</f>
        <v>v2 Lower</v>
      </c>
    </row>
    <row r="693" spans="1:8" x14ac:dyDescent="0.2">
      <c r="A693" t="s">
        <v>54</v>
      </c>
      <c r="B693" t="s">
        <v>15</v>
      </c>
      <c r="C693" t="s">
        <v>10</v>
      </c>
      <c r="D693">
        <v>18.29</v>
      </c>
      <c r="E693">
        <v>18.02</v>
      </c>
      <c r="F693">
        <v>-0.27</v>
      </c>
      <c r="G693">
        <f>ABS(lmsi_v1_v2_comparison[[#This Row],[score_change]])</f>
        <v>0.27</v>
      </c>
      <c r="H693" t="str">
        <f>IF(lmsi_v1_v2_comparison[[#This Row],[score_change]]&gt;0, "v2 Higher","v2 Lower")</f>
        <v>v2 Lower</v>
      </c>
    </row>
    <row r="694" spans="1:8" x14ac:dyDescent="0.2">
      <c r="A694" t="s">
        <v>54</v>
      </c>
      <c r="B694" t="s">
        <v>15</v>
      </c>
      <c r="C694" t="s">
        <v>11</v>
      </c>
      <c r="D694">
        <v>16.39</v>
      </c>
      <c r="E694">
        <v>17.899999999999999</v>
      </c>
      <c r="F694">
        <v>1.51</v>
      </c>
      <c r="G694">
        <f>ABS(lmsi_v1_v2_comparison[[#This Row],[score_change]])</f>
        <v>1.51</v>
      </c>
      <c r="H694" t="str">
        <f>IF(lmsi_v1_v2_comparison[[#This Row],[score_change]]&gt;0, "v2 Higher","v2 Lower")</f>
        <v>v2 Higher</v>
      </c>
    </row>
    <row r="695" spans="1:8" x14ac:dyDescent="0.2">
      <c r="A695" t="s">
        <v>54</v>
      </c>
      <c r="B695" t="s">
        <v>15</v>
      </c>
      <c r="C695" t="s">
        <v>12</v>
      </c>
      <c r="D695">
        <v>31.42</v>
      </c>
      <c r="E695">
        <v>31.08</v>
      </c>
      <c r="F695">
        <v>-0.34</v>
      </c>
      <c r="G695">
        <f>ABS(lmsi_v1_v2_comparison[[#This Row],[score_change]])</f>
        <v>0.34</v>
      </c>
      <c r="H695" t="str">
        <f>IF(lmsi_v1_v2_comparison[[#This Row],[score_change]]&gt;0, "v2 Higher","v2 Lower")</f>
        <v>v2 Lower</v>
      </c>
    </row>
    <row r="696" spans="1:8" x14ac:dyDescent="0.2">
      <c r="A696" t="s">
        <v>54</v>
      </c>
      <c r="B696" t="s">
        <v>15</v>
      </c>
      <c r="C696" t="s">
        <v>13</v>
      </c>
      <c r="D696">
        <v>19.37</v>
      </c>
      <c r="E696">
        <v>18.5</v>
      </c>
      <c r="F696">
        <v>-0.87</v>
      </c>
      <c r="G696">
        <f>ABS(lmsi_v1_v2_comparison[[#This Row],[score_change]])</f>
        <v>0.87</v>
      </c>
      <c r="H696" t="str">
        <f>IF(lmsi_v1_v2_comparison[[#This Row],[score_change]]&gt;0, "v2 Higher","v2 Lower")</f>
        <v>v2 Lower</v>
      </c>
    </row>
    <row r="697" spans="1:8" x14ac:dyDescent="0.2">
      <c r="A697" t="s">
        <v>54</v>
      </c>
      <c r="B697" t="s">
        <v>15</v>
      </c>
      <c r="C697" t="s">
        <v>14</v>
      </c>
      <c r="D697">
        <v>38.67</v>
      </c>
      <c r="E697">
        <v>41.65</v>
      </c>
      <c r="F697">
        <v>2.98</v>
      </c>
      <c r="G697">
        <f>ABS(lmsi_v1_v2_comparison[[#This Row],[score_change]])</f>
        <v>2.98</v>
      </c>
      <c r="H697" t="str">
        <f>IF(lmsi_v1_v2_comparison[[#This Row],[score_change]]&gt;0, "v2 Higher","v2 Lower")</f>
        <v>v2 Higher</v>
      </c>
    </row>
    <row r="698" spans="1:8" x14ac:dyDescent="0.2">
      <c r="A698" t="s">
        <v>54</v>
      </c>
      <c r="B698" t="s">
        <v>16</v>
      </c>
      <c r="C698" t="s">
        <v>9</v>
      </c>
      <c r="D698">
        <v>24.41</v>
      </c>
      <c r="E698">
        <v>21.71</v>
      </c>
      <c r="F698">
        <v>-2.7</v>
      </c>
      <c r="G698">
        <f>ABS(lmsi_v1_v2_comparison[[#This Row],[score_change]])</f>
        <v>2.7</v>
      </c>
      <c r="H698" t="str">
        <f>IF(lmsi_v1_v2_comparison[[#This Row],[score_change]]&gt;0, "v2 Higher","v2 Lower")</f>
        <v>v2 Lower</v>
      </c>
    </row>
    <row r="699" spans="1:8" x14ac:dyDescent="0.2">
      <c r="A699" t="s">
        <v>54</v>
      </c>
      <c r="B699" t="s">
        <v>16</v>
      </c>
      <c r="C699" t="s">
        <v>10</v>
      </c>
      <c r="D699">
        <v>15.85</v>
      </c>
      <c r="E699">
        <v>16.739999999999998</v>
      </c>
      <c r="F699">
        <v>0.89</v>
      </c>
      <c r="G699">
        <f>ABS(lmsi_v1_v2_comparison[[#This Row],[score_change]])</f>
        <v>0.89</v>
      </c>
      <c r="H699" t="str">
        <f>IF(lmsi_v1_v2_comparison[[#This Row],[score_change]]&gt;0, "v2 Higher","v2 Lower")</f>
        <v>v2 Higher</v>
      </c>
    </row>
    <row r="700" spans="1:8" x14ac:dyDescent="0.2">
      <c r="A700" t="s">
        <v>54</v>
      </c>
      <c r="B700" t="s">
        <v>16</v>
      </c>
      <c r="C700" t="s">
        <v>11</v>
      </c>
      <c r="D700">
        <v>14.9</v>
      </c>
      <c r="E700">
        <v>16.2</v>
      </c>
      <c r="F700">
        <v>1.3</v>
      </c>
      <c r="G700">
        <f>ABS(lmsi_v1_v2_comparison[[#This Row],[score_change]])</f>
        <v>1.3</v>
      </c>
      <c r="H700" t="str">
        <f>IF(lmsi_v1_v2_comparison[[#This Row],[score_change]]&gt;0, "v2 Higher","v2 Lower")</f>
        <v>v2 Higher</v>
      </c>
    </row>
    <row r="701" spans="1:8" x14ac:dyDescent="0.2">
      <c r="A701" t="s">
        <v>54</v>
      </c>
      <c r="B701" t="s">
        <v>16</v>
      </c>
      <c r="C701" t="s">
        <v>12</v>
      </c>
      <c r="D701">
        <v>29.27</v>
      </c>
      <c r="E701">
        <v>31.22</v>
      </c>
      <c r="F701">
        <v>1.95</v>
      </c>
      <c r="G701">
        <f>ABS(lmsi_v1_v2_comparison[[#This Row],[score_change]])</f>
        <v>1.95</v>
      </c>
      <c r="H701" t="str">
        <f>IF(lmsi_v1_v2_comparison[[#This Row],[score_change]]&gt;0, "v2 Higher","v2 Lower")</f>
        <v>v2 Higher</v>
      </c>
    </row>
    <row r="702" spans="1:8" x14ac:dyDescent="0.2">
      <c r="A702" t="s">
        <v>54</v>
      </c>
      <c r="B702" t="s">
        <v>16</v>
      </c>
      <c r="C702" t="s">
        <v>13</v>
      </c>
      <c r="D702">
        <v>15.31</v>
      </c>
      <c r="E702">
        <v>15.21</v>
      </c>
      <c r="F702">
        <v>-0.1</v>
      </c>
      <c r="G702">
        <f>ABS(lmsi_v1_v2_comparison[[#This Row],[score_change]])</f>
        <v>0.1</v>
      </c>
      <c r="H702" t="str">
        <f>IF(lmsi_v1_v2_comparison[[#This Row],[score_change]]&gt;0, "v2 Higher","v2 Lower")</f>
        <v>v2 Lower</v>
      </c>
    </row>
    <row r="703" spans="1:8" x14ac:dyDescent="0.2">
      <c r="A703" t="s">
        <v>54</v>
      </c>
      <c r="B703" t="s">
        <v>16</v>
      </c>
      <c r="C703" t="s">
        <v>14</v>
      </c>
      <c r="D703">
        <v>25.3</v>
      </c>
      <c r="E703">
        <v>26.71</v>
      </c>
      <c r="F703">
        <v>1.41</v>
      </c>
      <c r="G703">
        <f>ABS(lmsi_v1_v2_comparison[[#This Row],[score_change]])</f>
        <v>1.41</v>
      </c>
      <c r="H703" t="str">
        <f>IF(lmsi_v1_v2_comparison[[#This Row],[score_change]]&gt;0, "v2 Higher","v2 Lower")</f>
        <v>v2 Higher</v>
      </c>
    </row>
    <row r="704" spans="1:8" x14ac:dyDescent="0.2">
      <c r="A704" t="s">
        <v>55</v>
      </c>
      <c r="B704" t="s">
        <v>8</v>
      </c>
      <c r="C704" t="s">
        <v>9</v>
      </c>
      <c r="D704">
        <v>18.489999999999998</v>
      </c>
      <c r="E704">
        <v>17.420000000000002</v>
      </c>
      <c r="F704">
        <v>-1.07</v>
      </c>
      <c r="G704">
        <f>ABS(lmsi_v1_v2_comparison[[#This Row],[score_change]])</f>
        <v>1.07</v>
      </c>
      <c r="H704" t="str">
        <f>IF(lmsi_v1_v2_comparison[[#This Row],[score_change]]&gt;0, "v2 Higher","v2 Lower")</f>
        <v>v2 Lower</v>
      </c>
    </row>
    <row r="705" spans="1:8" x14ac:dyDescent="0.2">
      <c r="A705" t="s">
        <v>55</v>
      </c>
      <c r="B705" t="s">
        <v>8</v>
      </c>
      <c r="C705" t="s">
        <v>10</v>
      </c>
      <c r="D705">
        <v>14.45</v>
      </c>
      <c r="E705">
        <v>14.78</v>
      </c>
      <c r="F705">
        <v>0.33</v>
      </c>
      <c r="G705">
        <f>ABS(lmsi_v1_v2_comparison[[#This Row],[score_change]])</f>
        <v>0.33</v>
      </c>
      <c r="H705" t="str">
        <f>IF(lmsi_v1_v2_comparison[[#This Row],[score_change]]&gt;0, "v2 Higher","v2 Lower")</f>
        <v>v2 Higher</v>
      </c>
    </row>
    <row r="706" spans="1:8" x14ac:dyDescent="0.2">
      <c r="A706" t="s">
        <v>55</v>
      </c>
      <c r="B706" t="s">
        <v>8</v>
      </c>
      <c r="C706" t="s">
        <v>11</v>
      </c>
      <c r="D706">
        <v>12.35</v>
      </c>
      <c r="E706">
        <v>16.690000000000001</v>
      </c>
      <c r="F706">
        <v>4.34</v>
      </c>
      <c r="G706">
        <f>ABS(lmsi_v1_v2_comparison[[#This Row],[score_change]])</f>
        <v>4.34</v>
      </c>
      <c r="H706" t="str">
        <f>IF(lmsi_v1_v2_comparison[[#This Row],[score_change]]&gt;0, "v2 Higher","v2 Lower")</f>
        <v>v2 Higher</v>
      </c>
    </row>
    <row r="707" spans="1:8" x14ac:dyDescent="0.2">
      <c r="A707" t="s">
        <v>55</v>
      </c>
      <c r="B707" t="s">
        <v>8</v>
      </c>
      <c r="C707" t="s">
        <v>12</v>
      </c>
      <c r="D707">
        <v>24.29</v>
      </c>
      <c r="E707">
        <v>25.47</v>
      </c>
      <c r="F707">
        <v>1.18</v>
      </c>
      <c r="G707">
        <f>ABS(lmsi_v1_v2_comparison[[#This Row],[score_change]])</f>
        <v>1.18</v>
      </c>
      <c r="H707" t="str">
        <f>IF(lmsi_v1_v2_comparison[[#This Row],[score_change]]&gt;0, "v2 Higher","v2 Lower")</f>
        <v>v2 Higher</v>
      </c>
    </row>
    <row r="708" spans="1:8" x14ac:dyDescent="0.2">
      <c r="A708" t="s">
        <v>55</v>
      </c>
      <c r="B708" t="s">
        <v>8</v>
      </c>
      <c r="C708" t="s">
        <v>13</v>
      </c>
      <c r="D708">
        <v>14.67</v>
      </c>
      <c r="E708">
        <v>15.62</v>
      </c>
      <c r="F708">
        <v>0.95</v>
      </c>
      <c r="G708">
        <f>ABS(lmsi_v1_v2_comparison[[#This Row],[score_change]])</f>
        <v>0.95</v>
      </c>
      <c r="H708" t="str">
        <f>IF(lmsi_v1_v2_comparison[[#This Row],[score_change]]&gt;0, "v2 Higher","v2 Lower")</f>
        <v>v2 Higher</v>
      </c>
    </row>
    <row r="709" spans="1:8" x14ac:dyDescent="0.2">
      <c r="A709" t="s">
        <v>55</v>
      </c>
      <c r="B709" t="s">
        <v>8</v>
      </c>
      <c r="C709" t="s">
        <v>14</v>
      </c>
      <c r="D709">
        <v>21.98</v>
      </c>
      <c r="E709">
        <v>23.34</v>
      </c>
      <c r="F709">
        <v>1.36</v>
      </c>
      <c r="G709">
        <f>ABS(lmsi_v1_v2_comparison[[#This Row],[score_change]])</f>
        <v>1.36</v>
      </c>
      <c r="H709" t="str">
        <f>IF(lmsi_v1_v2_comparison[[#This Row],[score_change]]&gt;0, "v2 Higher","v2 Lower")</f>
        <v>v2 Higher</v>
      </c>
    </row>
    <row r="710" spans="1:8" x14ac:dyDescent="0.2">
      <c r="A710" t="s">
        <v>55</v>
      </c>
      <c r="B710" t="s">
        <v>15</v>
      </c>
      <c r="C710" t="s">
        <v>9</v>
      </c>
      <c r="D710">
        <v>22.88</v>
      </c>
      <c r="E710">
        <v>20.94</v>
      </c>
      <c r="F710">
        <v>-1.94</v>
      </c>
      <c r="G710">
        <f>ABS(lmsi_v1_v2_comparison[[#This Row],[score_change]])</f>
        <v>1.94</v>
      </c>
      <c r="H710" t="str">
        <f>IF(lmsi_v1_v2_comparison[[#This Row],[score_change]]&gt;0, "v2 Higher","v2 Lower")</f>
        <v>v2 Lower</v>
      </c>
    </row>
    <row r="711" spans="1:8" x14ac:dyDescent="0.2">
      <c r="A711" t="s">
        <v>55</v>
      </c>
      <c r="B711" t="s">
        <v>15</v>
      </c>
      <c r="C711" t="s">
        <v>10</v>
      </c>
      <c r="D711">
        <v>17.36</v>
      </c>
      <c r="E711">
        <v>17.39</v>
      </c>
      <c r="F711">
        <v>0.03</v>
      </c>
      <c r="G711">
        <f>ABS(lmsi_v1_v2_comparison[[#This Row],[score_change]])</f>
        <v>0.03</v>
      </c>
      <c r="H711" t="str">
        <f>IF(lmsi_v1_v2_comparison[[#This Row],[score_change]]&gt;0, "v2 Higher","v2 Lower")</f>
        <v>v2 Higher</v>
      </c>
    </row>
    <row r="712" spans="1:8" x14ac:dyDescent="0.2">
      <c r="A712" t="s">
        <v>55</v>
      </c>
      <c r="B712" t="s">
        <v>15</v>
      </c>
      <c r="C712" t="s">
        <v>11</v>
      </c>
      <c r="D712">
        <v>14.08</v>
      </c>
      <c r="E712">
        <v>16.32</v>
      </c>
      <c r="F712">
        <v>2.2400000000000002</v>
      </c>
      <c r="G712">
        <f>ABS(lmsi_v1_v2_comparison[[#This Row],[score_change]])</f>
        <v>2.2400000000000002</v>
      </c>
      <c r="H712" t="str">
        <f>IF(lmsi_v1_v2_comparison[[#This Row],[score_change]]&gt;0, "v2 Higher","v2 Lower")</f>
        <v>v2 Higher</v>
      </c>
    </row>
    <row r="713" spans="1:8" x14ac:dyDescent="0.2">
      <c r="A713" t="s">
        <v>55</v>
      </c>
      <c r="B713" t="s">
        <v>15</v>
      </c>
      <c r="C713" t="s">
        <v>12</v>
      </c>
      <c r="D713">
        <v>29.24</v>
      </c>
      <c r="E713">
        <v>28.61</v>
      </c>
      <c r="F713">
        <v>-0.63</v>
      </c>
      <c r="G713">
        <f>ABS(lmsi_v1_v2_comparison[[#This Row],[score_change]])</f>
        <v>0.63</v>
      </c>
      <c r="H713" t="str">
        <f>IF(lmsi_v1_v2_comparison[[#This Row],[score_change]]&gt;0, "v2 Higher","v2 Lower")</f>
        <v>v2 Lower</v>
      </c>
    </row>
    <row r="714" spans="1:8" x14ac:dyDescent="0.2">
      <c r="A714" t="s">
        <v>55</v>
      </c>
      <c r="B714" t="s">
        <v>15</v>
      </c>
      <c r="C714" t="s">
        <v>13</v>
      </c>
      <c r="D714">
        <v>18.260000000000002</v>
      </c>
      <c r="E714">
        <v>17.77</v>
      </c>
      <c r="F714">
        <v>-0.49</v>
      </c>
      <c r="G714">
        <f>ABS(lmsi_v1_v2_comparison[[#This Row],[score_change]])</f>
        <v>0.49</v>
      </c>
      <c r="H714" t="str">
        <f>IF(lmsi_v1_v2_comparison[[#This Row],[score_change]]&gt;0, "v2 Higher","v2 Lower")</f>
        <v>v2 Lower</v>
      </c>
    </row>
    <row r="715" spans="1:8" x14ac:dyDescent="0.2">
      <c r="A715" t="s">
        <v>55</v>
      </c>
      <c r="B715" t="s">
        <v>15</v>
      </c>
      <c r="C715" t="s">
        <v>14</v>
      </c>
      <c r="D715">
        <v>35.39</v>
      </c>
      <c r="E715">
        <v>34.840000000000003</v>
      </c>
      <c r="F715">
        <v>-0.55000000000000004</v>
      </c>
      <c r="G715">
        <f>ABS(lmsi_v1_v2_comparison[[#This Row],[score_change]])</f>
        <v>0.55000000000000004</v>
      </c>
      <c r="H715" t="str">
        <f>IF(lmsi_v1_v2_comparison[[#This Row],[score_change]]&gt;0, "v2 Higher","v2 Lower")</f>
        <v>v2 Lower</v>
      </c>
    </row>
    <row r="716" spans="1:8" x14ac:dyDescent="0.2">
      <c r="A716" t="s">
        <v>55</v>
      </c>
      <c r="B716" t="s">
        <v>16</v>
      </c>
      <c r="C716" t="s">
        <v>9</v>
      </c>
      <c r="D716">
        <v>21.79</v>
      </c>
      <c r="E716">
        <v>19.88</v>
      </c>
      <c r="F716">
        <v>-1.91</v>
      </c>
      <c r="G716">
        <f>ABS(lmsi_v1_v2_comparison[[#This Row],[score_change]])</f>
        <v>1.91</v>
      </c>
      <c r="H716" t="str">
        <f>IF(lmsi_v1_v2_comparison[[#This Row],[score_change]]&gt;0, "v2 Higher","v2 Lower")</f>
        <v>v2 Lower</v>
      </c>
    </row>
    <row r="717" spans="1:8" x14ac:dyDescent="0.2">
      <c r="A717" t="s">
        <v>55</v>
      </c>
      <c r="B717" t="s">
        <v>16</v>
      </c>
      <c r="C717" t="s">
        <v>10</v>
      </c>
      <c r="D717">
        <v>15.63</v>
      </c>
      <c r="E717">
        <v>16.96</v>
      </c>
      <c r="F717">
        <v>1.33</v>
      </c>
      <c r="G717">
        <f>ABS(lmsi_v1_v2_comparison[[#This Row],[score_change]])</f>
        <v>1.33</v>
      </c>
      <c r="H717" t="str">
        <f>IF(lmsi_v1_v2_comparison[[#This Row],[score_change]]&gt;0, "v2 Higher","v2 Lower")</f>
        <v>v2 Higher</v>
      </c>
    </row>
    <row r="718" spans="1:8" x14ac:dyDescent="0.2">
      <c r="A718" t="s">
        <v>55</v>
      </c>
      <c r="B718" t="s">
        <v>16</v>
      </c>
      <c r="C718" t="s">
        <v>11</v>
      </c>
      <c r="D718">
        <v>12.58</v>
      </c>
      <c r="E718">
        <v>14.53</v>
      </c>
      <c r="F718">
        <v>1.95</v>
      </c>
      <c r="G718">
        <f>ABS(lmsi_v1_v2_comparison[[#This Row],[score_change]])</f>
        <v>1.95</v>
      </c>
      <c r="H718" t="str">
        <f>IF(lmsi_v1_v2_comparison[[#This Row],[score_change]]&gt;0, "v2 Higher","v2 Lower")</f>
        <v>v2 Higher</v>
      </c>
    </row>
    <row r="719" spans="1:8" x14ac:dyDescent="0.2">
      <c r="A719" t="s">
        <v>55</v>
      </c>
      <c r="B719" t="s">
        <v>16</v>
      </c>
      <c r="C719" t="s">
        <v>12</v>
      </c>
      <c r="D719">
        <v>27.14</v>
      </c>
      <c r="E719">
        <v>27.02</v>
      </c>
      <c r="F719">
        <v>-0.12</v>
      </c>
      <c r="G719">
        <f>ABS(lmsi_v1_v2_comparison[[#This Row],[score_change]])</f>
        <v>0.12</v>
      </c>
      <c r="H719" t="str">
        <f>IF(lmsi_v1_v2_comparison[[#This Row],[score_change]]&gt;0, "v2 Higher","v2 Lower")</f>
        <v>v2 Lower</v>
      </c>
    </row>
    <row r="720" spans="1:8" x14ac:dyDescent="0.2">
      <c r="A720" t="s">
        <v>55</v>
      </c>
      <c r="B720" t="s">
        <v>16</v>
      </c>
      <c r="C720" t="s">
        <v>13</v>
      </c>
      <c r="D720">
        <v>13.98</v>
      </c>
      <c r="E720">
        <v>14.72</v>
      </c>
      <c r="F720">
        <v>0.74</v>
      </c>
      <c r="G720">
        <f>ABS(lmsi_v1_v2_comparison[[#This Row],[score_change]])</f>
        <v>0.74</v>
      </c>
      <c r="H720" t="str">
        <f>IF(lmsi_v1_v2_comparison[[#This Row],[score_change]]&gt;0, "v2 Higher","v2 Lower")</f>
        <v>v2 Higher</v>
      </c>
    </row>
    <row r="721" spans="1:8" x14ac:dyDescent="0.2">
      <c r="A721" t="s">
        <v>55</v>
      </c>
      <c r="B721" t="s">
        <v>16</v>
      </c>
      <c r="C721" t="s">
        <v>14</v>
      </c>
      <c r="D721">
        <v>23.64</v>
      </c>
      <c r="E721">
        <v>24.51</v>
      </c>
      <c r="F721">
        <v>0.87</v>
      </c>
      <c r="G721">
        <f>ABS(lmsi_v1_v2_comparison[[#This Row],[score_change]])</f>
        <v>0.87</v>
      </c>
      <c r="H721" t="str">
        <f>IF(lmsi_v1_v2_comparison[[#This Row],[score_change]]&gt;0, "v2 Higher","v2 Lower")</f>
        <v>v2 Higher</v>
      </c>
    </row>
    <row r="722" spans="1:8" x14ac:dyDescent="0.2">
      <c r="A722" t="s">
        <v>56</v>
      </c>
      <c r="B722" t="s">
        <v>8</v>
      </c>
      <c r="C722" t="s">
        <v>9</v>
      </c>
      <c r="D722">
        <v>19.440000000000001</v>
      </c>
      <c r="E722">
        <v>18.13</v>
      </c>
      <c r="F722">
        <v>-1.31</v>
      </c>
      <c r="G722">
        <f>ABS(lmsi_v1_v2_comparison[[#This Row],[score_change]])</f>
        <v>1.31</v>
      </c>
      <c r="H722" t="str">
        <f>IF(lmsi_v1_v2_comparison[[#This Row],[score_change]]&gt;0, "v2 Higher","v2 Lower")</f>
        <v>v2 Lower</v>
      </c>
    </row>
    <row r="723" spans="1:8" x14ac:dyDescent="0.2">
      <c r="A723" t="s">
        <v>56</v>
      </c>
      <c r="B723" t="s">
        <v>8</v>
      </c>
      <c r="C723" t="s">
        <v>10</v>
      </c>
      <c r="D723">
        <v>14.57</v>
      </c>
      <c r="E723">
        <v>14.18</v>
      </c>
      <c r="F723">
        <v>-0.39</v>
      </c>
      <c r="G723">
        <f>ABS(lmsi_v1_v2_comparison[[#This Row],[score_change]])</f>
        <v>0.39</v>
      </c>
      <c r="H723" t="str">
        <f>IF(lmsi_v1_v2_comparison[[#This Row],[score_change]]&gt;0, "v2 Higher","v2 Lower")</f>
        <v>v2 Lower</v>
      </c>
    </row>
    <row r="724" spans="1:8" x14ac:dyDescent="0.2">
      <c r="A724" t="s">
        <v>56</v>
      </c>
      <c r="B724" t="s">
        <v>8</v>
      </c>
      <c r="C724" t="s">
        <v>11</v>
      </c>
      <c r="D724">
        <v>11.42</v>
      </c>
      <c r="E724">
        <v>12.63</v>
      </c>
      <c r="F724">
        <v>1.21</v>
      </c>
      <c r="G724">
        <f>ABS(lmsi_v1_v2_comparison[[#This Row],[score_change]])</f>
        <v>1.21</v>
      </c>
      <c r="H724" t="str">
        <f>IF(lmsi_v1_v2_comparison[[#This Row],[score_change]]&gt;0, "v2 Higher","v2 Lower")</f>
        <v>v2 Higher</v>
      </c>
    </row>
    <row r="725" spans="1:8" x14ac:dyDescent="0.2">
      <c r="A725" t="s">
        <v>56</v>
      </c>
      <c r="B725" t="s">
        <v>8</v>
      </c>
      <c r="C725" t="s">
        <v>12</v>
      </c>
      <c r="D725">
        <v>23.83</v>
      </c>
      <c r="E725">
        <v>25.05</v>
      </c>
      <c r="F725">
        <v>1.22</v>
      </c>
      <c r="G725">
        <f>ABS(lmsi_v1_v2_comparison[[#This Row],[score_change]])</f>
        <v>1.22</v>
      </c>
      <c r="H725" t="str">
        <f>IF(lmsi_v1_v2_comparison[[#This Row],[score_change]]&gt;0, "v2 Higher","v2 Lower")</f>
        <v>v2 Higher</v>
      </c>
    </row>
    <row r="726" spans="1:8" x14ac:dyDescent="0.2">
      <c r="A726" t="s">
        <v>56</v>
      </c>
      <c r="B726" t="s">
        <v>8</v>
      </c>
      <c r="C726" t="s">
        <v>13</v>
      </c>
      <c r="D726">
        <v>13.73</v>
      </c>
      <c r="E726">
        <v>13.9</v>
      </c>
      <c r="F726">
        <v>0.17</v>
      </c>
      <c r="G726">
        <f>ABS(lmsi_v1_v2_comparison[[#This Row],[score_change]])</f>
        <v>0.17</v>
      </c>
      <c r="H726" t="str">
        <f>IF(lmsi_v1_v2_comparison[[#This Row],[score_change]]&gt;0, "v2 Higher","v2 Lower")</f>
        <v>v2 Higher</v>
      </c>
    </row>
    <row r="727" spans="1:8" x14ac:dyDescent="0.2">
      <c r="A727" t="s">
        <v>56</v>
      </c>
      <c r="B727" t="s">
        <v>8</v>
      </c>
      <c r="C727" t="s">
        <v>14</v>
      </c>
      <c r="D727">
        <v>19.86</v>
      </c>
      <c r="E727">
        <v>25.84</v>
      </c>
      <c r="F727">
        <v>5.98</v>
      </c>
      <c r="G727">
        <f>ABS(lmsi_v1_v2_comparison[[#This Row],[score_change]])</f>
        <v>5.98</v>
      </c>
      <c r="H727" t="str">
        <f>IF(lmsi_v1_v2_comparison[[#This Row],[score_change]]&gt;0, "v2 Higher","v2 Lower")</f>
        <v>v2 Higher</v>
      </c>
    </row>
    <row r="728" spans="1:8" x14ac:dyDescent="0.2">
      <c r="A728" t="s">
        <v>56</v>
      </c>
      <c r="B728" t="s">
        <v>15</v>
      </c>
      <c r="C728" t="s">
        <v>9</v>
      </c>
      <c r="D728">
        <v>22.68</v>
      </c>
      <c r="E728">
        <v>20.79</v>
      </c>
      <c r="F728">
        <v>-1.89</v>
      </c>
      <c r="G728">
        <f>ABS(lmsi_v1_v2_comparison[[#This Row],[score_change]])</f>
        <v>1.89</v>
      </c>
      <c r="H728" t="str">
        <f>IF(lmsi_v1_v2_comparison[[#This Row],[score_change]]&gt;0, "v2 Higher","v2 Lower")</f>
        <v>v2 Lower</v>
      </c>
    </row>
    <row r="729" spans="1:8" x14ac:dyDescent="0.2">
      <c r="A729" t="s">
        <v>56</v>
      </c>
      <c r="B729" t="s">
        <v>15</v>
      </c>
      <c r="C729" t="s">
        <v>10</v>
      </c>
      <c r="D729">
        <v>17.71</v>
      </c>
      <c r="E729">
        <v>17.239999999999998</v>
      </c>
      <c r="F729">
        <v>-0.47</v>
      </c>
      <c r="G729">
        <f>ABS(lmsi_v1_v2_comparison[[#This Row],[score_change]])</f>
        <v>0.47</v>
      </c>
      <c r="H729" t="str">
        <f>IF(lmsi_v1_v2_comparison[[#This Row],[score_change]]&gt;0, "v2 Higher","v2 Lower")</f>
        <v>v2 Lower</v>
      </c>
    </row>
    <row r="730" spans="1:8" x14ac:dyDescent="0.2">
      <c r="A730" t="s">
        <v>56</v>
      </c>
      <c r="B730" t="s">
        <v>15</v>
      </c>
      <c r="C730" t="s">
        <v>11</v>
      </c>
      <c r="D730">
        <v>13.46</v>
      </c>
      <c r="E730">
        <v>14.41</v>
      </c>
      <c r="F730">
        <v>0.95</v>
      </c>
      <c r="G730">
        <f>ABS(lmsi_v1_v2_comparison[[#This Row],[score_change]])</f>
        <v>0.95</v>
      </c>
      <c r="H730" t="str">
        <f>IF(lmsi_v1_v2_comparison[[#This Row],[score_change]]&gt;0, "v2 Higher","v2 Lower")</f>
        <v>v2 Higher</v>
      </c>
    </row>
    <row r="731" spans="1:8" x14ac:dyDescent="0.2">
      <c r="A731" t="s">
        <v>56</v>
      </c>
      <c r="B731" t="s">
        <v>15</v>
      </c>
      <c r="C731" t="s">
        <v>12</v>
      </c>
      <c r="D731">
        <v>28.87</v>
      </c>
      <c r="E731">
        <v>30.34</v>
      </c>
      <c r="F731">
        <v>1.47</v>
      </c>
      <c r="G731">
        <f>ABS(lmsi_v1_v2_comparison[[#This Row],[score_change]])</f>
        <v>1.47</v>
      </c>
      <c r="H731" t="str">
        <f>IF(lmsi_v1_v2_comparison[[#This Row],[score_change]]&gt;0, "v2 Higher","v2 Lower")</f>
        <v>v2 Higher</v>
      </c>
    </row>
    <row r="732" spans="1:8" x14ac:dyDescent="0.2">
      <c r="A732" t="s">
        <v>56</v>
      </c>
      <c r="B732" t="s">
        <v>15</v>
      </c>
      <c r="C732" t="s">
        <v>13</v>
      </c>
      <c r="D732">
        <v>17.489999999999998</v>
      </c>
      <c r="E732">
        <v>19.38</v>
      </c>
      <c r="F732">
        <v>1.89</v>
      </c>
      <c r="G732">
        <f>ABS(lmsi_v1_v2_comparison[[#This Row],[score_change]])</f>
        <v>1.89</v>
      </c>
      <c r="H732" t="str">
        <f>IF(lmsi_v1_v2_comparison[[#This Row],[score_change]]&gt;0, "v2 Higher","v2 Lower")</f>
        <v>v2 Higher</v>
      </c>
    </row>
    <row r="733" spans="1:8" x14ac:dyDescent="0.2">
      <c r="A733" t="s">
        <v>56</v>
      </c>
      <c r="B733" t="s">
        <v>15</v>
      </c>
      <c r="C733" t="s">
        <v>14</v>
      </c>
      <c r="D733">
        <v>30.63</v>
      </c>
      <c r="E733">
        <v>33.229999999999997</v>
      </c>
      <c r="F733">
        <v>2.6</v>
      </c>
      <c r="G733">
        <f>ABS(lmsi_v1_v2_comparison[[#This Row],[score_change]])</f>
        <v>2.6</v>
      </c>
      <c r="H733" t="str">
        <f>IF(lmsi_v1_v2_comparison[[#This Row],[score_change]]&gt;0, "v2 Higher","v2 Lower")</f>
        <v>v2 Higher</v>
      </c>
    </row>
    <row r="734" spans="1:8" x14ac:dyDescent="0.2">
      <c r="A734" t="s">
        <v>56</v>
      </c>
      <c r="B734" t="s">
        <v>16</v>
      </c>
      <c r="C734" t="s">
        <v>9</v>
      </c>
      <c r="D734">
        <v>23.01</v>
      </c>
      <c r="E734">
        <v>20.81</v>
      </c>
      <c r="F734">
        <v>-2.2000000000000002</v>
      </c>
      <c r="G734">
        <f>ABS(lmsi_v1_v2_comparison[[#This Row],[score_change]])</f>
        <v>2.2000000000000002</v>
      </c>
      <c r="H734" t="str">
        <f>IF(lmsi_v1_v2_comparison[[#This Row],[score_change]]&gt;0, "v2 Higher","v2 Lower")</f>
        <v>v2 Lower</v>
      </c>
    </row>
    <row r="735" spans="1:8" x14ac:dyDescent="0.2">
      <c r="A735" t="s">
        <v>56</v>
      </c>
      <c r="B735" t="s">
        <v>16</v>
      </c>
      <c r="C735" t="s">
        <v>10</v>
      </c>
      <c r="D735">
        <v>15.1</v>
      </c>
      <c r="E735">
        <v>16.940000000000001</v>
      </c>
      <c r="F735">
        <v>1.84</v>
      </c>
      <c r="G735">
        <f>ABS(lmsi_v1_v2_comparison[[#This Row],[score_change]])</f>
        <v>1.84</v>
      </c>
      <c r="H735" t="str">
        <f>IF(lmsi_v1_v2_comparison[[#This Row],[score_change]]&gt;0, "v2 Higher","v2 Lower")</f>
        <v>v2 Higher</v>
      </c>
    </row>
    <row r="736" spans="1:8" x14ac:dyDescent="0.2">
      <c r="A736" t="s">
        <v>56</v>
      </c>
      <c r="B736" t="s">
        <v>16</v>
      </c>
      <c r="C736" t="s">
        <v>11</v>
      </c>
      <c r="D736">
        <v>11.84</v>
      </c>
      <c r="E736">
        <v>13.17</v>
      </c>
      <c r="F736">
        <v>1.33</v>
      </c>
      <c r="G736">
        <f>ABS(lmsi_v1_v2_comparison[[#This Row],[score_change]])</f>
        <v>1.33</v>
      </c>
      <c r="H736" t="str">
        <f>IF(lmsi_v1_v2_comparison[[#This Row],[score_change]]&gt;0, "v2 Higher","v2 Lower")</f>
        <v>v2 Higher</v>
      </c>
    </row>
    <row r="737" spans="1:8" x14ac:dyDescent="0.2">
      <c r="A737" t="s">
        <v>56</v>
      </c>
      <c r="B737" t="s">
        <v>16</v>
      </c>
      <c r="C737" t="s">
        <v>12</v>
      </c>
      <c r="D737">
        <v>25.81</v>
      </c>
      <c r="E737">
        <v>27.95</v>
      </c>
      <c r="F737">
        <v>2.14</v>
      </c>
      <c r="G737">
        <f>ABS(lmsi_v1_v2_comparison[[#This Row],[score_change]])</f>
        <v>2.14</v>
      </c>
      <c r="H737" t="str">
        <f>IF(lmsi_v1_v2_comparison[[#This Row],[score_change]]&gt;0, "v2 Higher","v2 Lower")</f>
        <v>v2 Higher</v>
      </c>
    </row>
    <row r="738" spans="1:8" x14ac:dyDescent="0.2">
      <c r="A738" t="s">
        <v>56</v>
      </c>
      <c r="B738" t="s">
        <v>16</v>
      </c>
      <c r="C738" t="s">
        <v>13</v>
      </c>
      <c r="D738">
        <v>13.04</v>
      </c>
      <c r="E738">
        <v>14.56</v>
      </c>
      <c r="F738">
        <v>1.52</v>
      </c>
      <c r="G738">
        <f>ABS(lmsi_v1_v2_comparison[[#This Row],[score_change]])</f>
        <v>1.52</v>
      </c>
      <c r="H738" t="str">
        <f>IF(lmsi_v1_v2_comparison[[#This Row],[score_change]]&gt;0, "v2 Higher","v2 Lower")</f>
        <v>v2 Higher</v>
      </c>
    </row>
    <row r="739" spans="1:8" x14ac:dyDescent="0.2">
      <c r="A739" t="s">
        <v>56</v>
      </c>
      <c r="B739" t="s">
        <v>16</v>
      </c>
      <c r="C739" t="s">
        <v>14</v>
      </c>
      <c r="D739">
        <v>23.01</v>
      </c>
      <c r="E739">
        <v>23.64</v>
      </c>
      <c r="F739">
        <v>0.63</v>
      </c>
      <c r="G739">
        <f>ABS(lmsi_v1_v2_comparison[[#This Row],[score_change]])</f>
        <v>0.63</v>
      </c>
      <c r="H739" t="str">
        <f>IF(lmsi_v1_v2_comparison[[#This Row],[score_change]]&gt;0, "v2 Higher","v2 Lower")</f>
        <v>v2 Higher</v>
      </c>
    </row>
    <row r="740" spans="1:8" x14ac:dyDescent="0.2">
      <c r="A740" t="s">
        <v>57</v>
      </c>
      <c r="B740" t="s">
        <v>8</v>
      </c>
      <c r="C740" t="s">
        <v>9</v>
      </c>
      <c r="D740">
        <v>19.899999999999999</v>
      </c>
      <c r="E740">
        <v>18.18</v>
      </c>
      <c r="F740">
        <v>-1.72</v>
      </c>
      <c r="G740">
        <f>ABS(lmsi_v1_v2_comparison[[#This Row],[score_change]])</f>
        <v>1.72</v>
      </c>
      <c r="H740" t="str">
        <f>IF(lmsi_v1_v2_comparison[[#This Row],[score_change]]&gt;0, "v2 Higher","v2 Lower")</f>
        <v>v2 Lower</v>
      </c>
    </row>
    <row r="741" spans="1:8" x14ac:dyDescent="0.2">
      <c r="A741" t="s">
        <v>57</v>
      </c>
      <c r="B741" t="s">
        <v>8</v>
      </c>
      <c r="C741" t="s">
        <v>10</v>
      </c>
      <c r="D741">
        <v>14.29</v>
      </c>
      <c r="E741">
        <v>14.07</v>
      </c>
      <c r="F741">
        <v>-0.22</v>
      </c>
      <c r="G741">
        <f>ABS(lmsi_v1_v2_comparison[[#This Row],[score_change]])</f>
        <v>0.22</v>
      </c>
      <c r="H741" t="str">
        <f>IF(lmsi_v1_v2_comparison[[#This Row],[score_change]]&gt;0, "v2 Higher","v2 Lower")</f>
        <v>v2 Lower</v>
      </c>
    </row>
    <row r="742" spans="1:8" x14ac:dyDescent="0.2">
      <c r="A742" t="s">
        <v>57</v>
      </c>
      <c r="B742" t="s">
        <v>8</v>
      </c>
      <c r="C742" t="s">
        <v>11</v>
      </c>
      <c r="D742">
        <v>13.63</v>
      </c>
      <c r="E742">
        <v>13.67</v>
      </c>
      <c r="F742">
        <v>0.04</v>
      </c>
      <c r="G742">
        <f>ABS(lmsi_v1_v2_comparison[[#This Row],[score_change]])</f>
        <v>0.04</v>
      </c>
      <c r="H742" t="str">
        <f>IF(lmsi_v1_v2_comparison[[#This Row],[score_change]]&gt;0, "v2 Higher","v2 Lower")</f>
        <v>v2 Higher</v>
      </c>
    </row>
    <row r="743" spans="1:8" x14ac:dyDescent="0.2">
      <c r="A743" t="s">
        <v>57</v>
      </c>
      <c r="B743" t="s">
        <v>8</v>
      </c>
      <c r="C743" t="s">
        <v>12</v>
      </c>
      <c r="D743">
        <v>23.53</v>
      </c>
      <c r="E743">
        <v>24.72</v>
      </c>
      <c r="F743">
        <v>1.19</v>
      </c>
      <c r="G743">
        <f>ABS(lmsi_v1_v2_comparison[[#This Row],[score_change]])</f>
        <v>1.19</v>
      </c>
      <c r="H743" t="str">
        <f>IF(lmsi_v1_v2_comparison[[#This Row],[score_change]]&gt;0, "v2 Higher","v2 Lower")</f>
        <v>v2 Higher</v>
      </c>
    </row>
    <row r="744" spans="1:8" x14ac:dyDescent="0.2">
      <c r="A744" t="s">
        <v>57</v>
      </c>
      <c r="B744" t="s">
        <v>8</v>
      </c>
      <c r="C744" t="s">
        <v>13</v>
      </c>
      <c r="D744">
        <v>15.48</v>
      </c>
      <c r="E744">
        <v>16.5</v>
      </c>
      <c r="F744">
        <v>1.02</v>
      </c>
      <c r="G744">
        <f>ABS(lmsi_v1_v2_comparison[[#This Row],[score_change]])</f>
        <v>1.02</v>
      </c>
      <c r="H744" t="str">
        <f>IF(lmsi_v1_v2_comparison[[#This Row],[score_change]]&gt;0, "v2 Higher","v2 Lower")</f>
        <v>v2 Higher</v>
      </c>
    </row>
    <row r="745" spans="1:8" x14ac:dyDescent="0.2">
      <c r="A745" t="s">
        <v>57</v>
      </c>
      <c r="B745" t="s">
        <v>8</v>
      </c>
      <c r="C745" t="s">
        <v>14</v>
      </c>
      <c r="D745">
        <v>20.03</v>
      </c>
      <c r="E745">
        <v>21.34</v>
      </c>
      <c r="F745">
        <v>1.31</v>
      </c>
      <c r="G745">
        <f>ABS(lmsi_v1_v2_comparison[[#This Row],[score_change]])</f>
        <v>1.31</v>
      </c>
      <c r="H745" t="str">
        <f>IF(lmsi_v1_v2_comparison[[#This Row],[score_change]]&gt;0, "v2 Higher","v2 Lower")</f>
        <v>v2 Higher</v>
      </c>
    </row>
    <row r="746" spans="1:8" x14ac:dyDescent="0.2">
      <c r="A746" t="s">
        <v>57</v>
      </c>
      <c r="B746" t="s">
        <v>15</v>
      </c>
      <c r="C746" t="s">
        <v>9</v>
      </c>
      <c r="D746">
        <v>23.31</v>
      </c>
      <c r="E746">
        <v>20.83</v>
      </c>
      <c r="F746">
        <v>-2.48</v>
      </c>
      <c r="G746">
        <f>ABS(lmsi_v1_v2_comparison[[#This Row],[score_change]])</f>
        <v>2.48</v>
      </c>
      <c r="H746" t="str">
        <f>IF(lmsi_v1_v2_comparison[[#This Row],[score_change]]&gt;0, "v2 Higher","v2 Lower")</f>
        <v>v2 Lower</v>
      </c>
    </row>
    <row r="747" spans="1:8" x14ac:dyDescent="0.2">
      <c r="A747" t="s">
        <v>57</v>
      </c>
      <c r="B747" t="s">
        <v>15</v>
      </c>
      <c r="C747" t="s">
        <v>10</v>
      </c>
      <c r="D747">
        <v>17.57</v>
      </c>
      <c r="E747">
        <v>17.04</v>
      </c>
      <c r="F747">
        <v>-0.53</v>
      </c>
      <c r="G747">
        <f>ABS(lmsi_v1_v2_comparison[[#This Row],[score_change]])</f>
        <v>0.53</v>
      </c>
      <c r="H747" t="str">
        <f>IF(lmsi_v1_v2_comparison[[#This Row],[score_change]]&gt;0, "v2 Higher","v2 Lower")</f>
        <v>v2 Lower</v>
      </c>
    </row>
    <row r="748" spans="1:8" x14ac:dyDescent="0.2">
      <c r="A748" t="s">
        <v>57</v>
      </c>
      <c r="B748" t="s">
        <v>15</v>
      </c>
      <c r="C748" t="s">
        <v>11</v>
      </c>
      <c r="D748">
        <v>15.19</v>
      </c>
      <c r="E748">
        <v>15.67</v>
      </c>
      <c r="F748">
        <v>0.48</v>
      </c>
      <c r="G748">
        <f>ABS(lmsi_v1_v2_comparison[[#This Row],[score_change]])</f>
        <v>0.48</v>
      </c>
      <c r="H748" t="str">
        <f>IF(lmsi_v1_v2_comparison[[#This Row],[score_change]]&gt;0, "v2 Higher","v2 Lower")</f>
        <v>v2 Higher</v>
      </c>
    </row>
    <row r="749" spans="1:8" x14ac:dyDescent="0.2">
      <c r="A749" t="s">
        <v>57</v>
      </c>
      <c r="B749" t="s">
        <v>15</v>
      </c>
      <c r="C749" t="s">
        <v>12</v>
      </c>
      <c r="D749">
        <v>29.25</v>
      </c>
      <c r="E749">
        <v>29.85</v>
      </c>
      <c r="F749">
        <v>0.6</v>
      </c>
      <c r="G749">
        <f>ABS(lmsi_v1_v2_comparison[[#This Row],[score_change]])</f>
        <v>0.6</v>
      </c>
      <c r="H749" t="str">
        <f>IF(lmsi_v1_v2_comparison[[#This Row],[score_change]]&gt;0, "v2 Higher","v2 Lower")</f>
        <v>v2 Higher</v>
      </c>
    </row>
    <row r="750" spans="1:8" x14ac:dyDescent="0.2">
      <c r="A750" t="s">
        <v>57</v>
      </c>
      <c r="B750" t="s">
        <v>15</v>
      </c>
      <c r="C750" t="s">
        <v>13</v>
      </c>
      <c r="D750">
        <v>20.67</v>
      </c>
      <c r="E750">
        <v>21.64</v>
      </c>
      <c r="F750">
        <v>0.97</v>
      </c>
      <c r="G750">
        <f>ABS(lmsi_v1_v2_comparison[[#This Row],[score_change]])</f>
        <v>0.97</v>
      </c>
      <c r="H750" t="str">
        <f>IF(lmsi_v1_v2_comparison[[#This Row],[score_change]]&gt;0, "v2 Higher","v2 Lower")</f>
        <v>v2 Higher</v>
      </c>
    </row>
    <row r="751" spans="1:8" x14ac:dyDescent="0.2">
      <c r="A751" t="s">
        <v>57</v>
      </c>
      <c r="B751" t="s">
        <v>15</v>
      </c>
      <c r="C751" t="s">
        <v>14</v>
      </c>
      <c r="D751">
        <v>30.73</v>
      </c>
      <c r="E751">
        <v>33.950000000000003</v>
      </c>
      <c r="F751">
        <v>3.22</v>
      </c>
      <c r="G751">
        <f>ABS(lmsi_v1_v2_comparison[[#This Row],[score_change]])</f>
        <v>3.22</v>
      </c>
      <c r="H751" t="str">
        <f>IF(lmsi_v1_v2_comparison[[#This Row],[score_change]]&gt;0, "v2 Higher","v2 Lower")</f>
        <v>v2 Higher</v>
      </c>
    </row>
    <row r="752" spans="1:8" x14ac:dyDescent="0.2">
      <c r="A752" t="s">
        <v>57</v>
      </c>
      <c r="B752" t="s">
        <v>16</v>
      </c>
      <c r="C752" t="s">
        <v>9</v>
      </c>
      <c r="D752">
        <v>22.2</v>
      </c>
      <c r="E752">
        <v>19.84</v>
      </c>
      <c r="F752">
        <v>-2.36</v>
      </c>
      <c r="G752">
        <f>ABS(lmsi_v1_v2_comparison[[#This Row],[score_change]])</f>
        <v>2.36</v>
      </c>
      <c r="H752" t="str">
        <f>IF(lmsi_v1_v2_comparison[[#This Row],[score_change]]&gt;0, "v2 Higher","v2 Lower")</f>
        <v>v2 Lower</v>
      </c>
    </row>
    <row r="753" spans="1:8" x14ac:dyDescent="0.2">
      <c r="A753" t="s">
        <v>57</v>
      </c>
      <c r="B753" t="s">
        <v>16</v>
      </c>
      <c r="C753" t="s">
        <v>10</v>
      </c>
      <c r="D753">
        <v>15.72</v>
      </c>
      <c r="E753">
        <v>16.34</v>
      </c>
      <c r="F753">
        <v>0.62</v>
      </c>
      <c r="G753">
        <f>ABS(lmsi_v1_v2_comparison[[#This Row],[score_change]])</f>
        <v>0.62</v>
      </c>
      <c r="H753" t="str">
        <f>IF(lmsi_v1_v2_comparison[[#This Row],[score_change]]&gt;0, "v2 Higher","v2 Lower")</f>
        <v>v2 Higher</v>
      </c>
    </row>
    <row r="754" spans="1:8" x14ac:dyDescent="0.2">
      <c r="A754" t="s">
        <v>57</v>
      </c>
      <c r="B754" t="s">
        <v>16</v>
      </c>
      <c r="C754" t="s">
        <v>11</v>
      </c>
      <c r="D754">
        <v>13.96</v>
      </c>
      <c r="E754">
        <v>14.58</v>
      </c>
      <c r="F754">
        <v>0.62</v>
      </c>
      <c r="G754">
        <f>ABS(lmsi_v1_v2_comparison[[#This Row],[score_change]])</f>
        <v>0.62</v>
      </c>
      <c r="H754" t="str">
        <f>IF(lmsi_v1_v2_comparison[[#This Row],[score_change]]&gt;0, "v2 Higher","v2 Lower")</f>
        <v>v2 Higher</v>
      </c>
    </row>
    <row r="755" spans="1:8" x14ac:dyDescent="0.2">
      <c r="A755" t="s">
        <v>57</v>
      </c>
      <c r="B755" t="s">
        <v>16</v>
      </c>
      <c r="C755" t="s">
        <v>12</v>
      </c>
      <c r="D755">
        <v>25.44</v>
      </c>
      <c r="E755">
        <v>28.6</v>
      </c>
      <c r="F755">
        <v>3.16</v>
      </c>
      <c r="G755">
        <f>ABS(lmsi_v1_v2_comparison[[#This Row],[score_change]])</f>
        <v>3.16</v>
      </c>
      <c r="H755" t="str">
        <f>IF(lmsi_v1_v2_comparison[[#This Row],[score_change]]&gt;0, "v2 Higher","v2 Lower")</f>
        <v>v2 Higher</v>
      </c>
    </row>
    <row r="756" spans="1:8" x14ac:dyDescent="0.2">
      <c r="A756" t="s">
        <v>57</v>
      </c>
      <c r="B756" t="s">
        <v>16</v>
      </c>
      <c r="C756" t="s">
        <v>13</v>
      </c>
      <c r="D756">
        <v>15.19</v>
      </c>
      <c r="E756">
        <v>15.13</v>
      </c>
      <c r="F756">
        <v>-0.06</v>
      </c>
      <c r="G756">
        <f>ABS(lmsi_v1_v2_comparison[[#This Row],[score_change]])</f>
        <v>0.06</v>
      </c>
      <c r="H756" t="str">
        <f>IF(lmsi_v1_v2_comparison[[#This Row],[score_change]]&gt;0, "v2 Higher","v2 Lower")</f>
        <v>v2 Lower</v>
      </c>
    </row>
    <row r="757" spans="1:8" x14ac:dyDescent="0.2">
      <c r="A757" t="s">
        <v>57</v>
      </c>
      <c r="B757" t="s">
        <v>16</v>
      </c>
      <c r="C757" t="s">
        <v>14</v>
      </c>
      <c r="D757">
        <v>23.42</v>
      </c>
      <c r="E757">
        <v>23.4</v>
      </c>
      <c r="F757">
        <v>-0.02</v>
      </c>
      <c r="G757">
        <f>ABS(lmsi_v1_v2_comparison[[#This Row],[score_change]])</f>
        <v>0.02</v>
      </c>
      <c r="H757" t="str">
        <f>IF(lmsi_v1_v2_comparison[[#This Row],[score_change]]&gt;0, "v2 Higher","v2 Lower")</f>
        <v>v2 Lower</v>
      </c>
    </row>
    <row r="758" spans="1:8" x14ac:dyDescent="0.2">
      <c r="A758" t="s">
        <v>58</v>
      </c>
      <c r="B758" t="s">
        <v>8</v>
      </c>
      <c r="C758" t="s">
        <v>9</v>
      </c>
      <c r="D758">
        <v>12.51</v>
      </c>
      <c r="E758">
        <v>11.66</v>
      </c>
      <c r="F758">
        <v>-0.85</v>
      </c>
      <c r="G758">
        <f>ABS(lmsi_v1_v2_comparison[[#This Row],[score_change]])</f>
        <v>0.85</v>
      </c>
      <c r="H758" t="str">
        <f>IF(lmsi_v1_v2_comparison[[#This Row],[score_change]]&gt;0, "v2 Higher","v2 Lower")</f>
        <v>v2 Lower</v>
      </c>
    </row>
    <row r="759" spans="1:8" x14ac:dyDescent="0.2">
      <c r="A759" t="s">
        <v>58</v>
      </c>
      <c r="B759" t="s">
        <v>8</v>
      </c>
      <c r="C759" t="s">
        <v>10</v>
      </c>
      <c r="D759">
        <v>4.4000000000000004</v>
      </c>
      <c r="E759">
        <v>5.03</v>
      </c>
      <c r="F759">
        <v>0.63</v>
      </c>
      <c r="G759">
        <f>ABS(lmsi_v1_v2_comparison[[#This Row],[score_change]])</f>
        <v>0.63</v>
      </c>
      <c r="H759" t="str">
        <f>IF(lmsi_v1_v2_comparison[[#This Row],[score_change]]&gt;0, "v2 Higher","v2 Lower")</f>
        <v>v2 Higher</v>
      </c>
    </row>
    <row r="760" spans="1:8" x14ac:dyDescent="0.2">
      <c r="A760" t="s">
        <v>58</v>
      </c>
      <c r="B760" t="s">
        <v>8</v>
      </c>
      <c r="C760" t="s">
        <v>11</v>
      </c>
      <c r="D760">
        <v>12.15</v>
      </c>
      <c r="E760">
        <v>12.35</v>
      </c>
      <c r="F760">
        <v>0.2</v>
      </c>
      <c r="G760">
        <f>ABS(lmsi_v1_v2_comparison[[#This Row],[score_change]])</f>
        <v>0.2</v>
      </c>
      <c r="H760" t="str">
        <f>IF(lmsi_v1_v2_comparison[[#This Row],[score_change]]&gt;0, "v2 Higher","v2 Lower")</f>
        <v>v2 Higher</v>
      </c>
    </row>
    <row r="761" spans="1:8" x14ac:dyDescent="0.2">
      <c r="A761" t="s">
        <v>58</v>
      </c>
      <c r="B761" t="s">
        <v>8</v>
      </c>
      <c r="C761" t="s">
        <v>12</v>
      </c>
      <c r="D761">
        <v>17.05</v>
      </c>
      <c r="E761">
        <v>18.75</v>
      </c>
      <c r="F761">
        <v>1.7</v>
      </c>
      <c r="G761">
        <f>ABS(lmsi_v1_v2_comparison[[#This Row],[score_change]])</f>
        <v>1.7</v>
      </c>
      <c r="H761" t="str">
        <f>IF(lmsi_v1_v2_comparison[[#This Row],[score_change]]&gt;0, "v2 Higher","v2 Lower")</f>
        <v>v2 Higher</v>
      </c>
    </row>
    <row r="762" spans="1:8" x14ac:dyDescent="0.2">
      <c r="A762" t="s">
        <v>58</v>
      </c>
      <c r="B762" t="s">
        <v>8</v>
      </c>
      <c r="C762" t="s">
        <v>13</v>
      </c>
      <c r="D762">
        <v>11.46</v>
      </c>
      <c r="E762">
        <v>11.24</v>
      </c>
      <c r="F762">
        <v>-0.22</v>
      </c>
      <c r="G762">
        <f>ABS(lmsi_v1_v2_comparison[[#This Row],[score_change]])</f>
        <v>0.22</v>
      </c>
      <c r="H762" t="str">
        <f>IF(lmsi_v1_v2_comparison[[#This Row],[score_change]]&gt;0, "v2 Higher","v2 Lower")</f>
        <v>v2 Lower</v>
      </c>
    </row>
    <row r="763" spans="1:8" x14ac:dyDescent="0.2">
      <c r="A763" t="s">
        <v>58</v>
      </c>
      <c r="B763" t="s">
        <v>8</v>
      </c>
      <c r="C763" t="s">
        <v>14</v>
      </c>
      <c r="D763">
        <v>9.44</v>
      </c>
      <c r="E763">
        <v>9.7899999999999991</v>
      </c>
      <c r="F763">
        <v>0.35</v>
      </c>
      <c r="G763">
        <f>ABS(lmsi_v1_v2_comparison[[#This Row],[score_change]])</f>
        <v>0.35</v>
      </c>
      <c r="H763" t="str">
        <f>IF(lmsi_v1_v2_comparison[[#This Row],[score_change]]&gt;0, "v2 Higher","v2 Lower")</f>
        <v>v2 Higher</v>
      </c>
    </row>
    <row r="764" spans="1:8" x14ac:dyDescent="0.2">
      <c r="A764" t="s">
        <v>58</v>
      </c>
      <c r="B764" t="s">
        <v>15</v>
      </c>
      <c r="C764" t="s">
        <v>9</v>
      </c>
      <c r="D764">
        <v>13.9</v>
      </c>
      <c r="E764">
        <v>12.77</v>
      </c>
      <c r="F764">
        <v>-1.1299999999999999</v>
      </c>
      <c r="G764">
        <f>ABS(lmsi_v1_v2_comparison[[#This Row],[score_change]])</f>
        <v>1.1299999999999999</v>
      </c>
      <c r="H764" t="str">
        <f>IF(lmsi_v1_v2_comparison[[#This Row],[score_change]]&gt;0, "v2 Higher","v2 Lower")</f>
        <v>v2 Lower</v>
      </c>
    </row>
    <row r="765" spans="1:8" x14ac:dyDescent="0.2">
      <c r="A765" t="s">
        <v>58</v>
      </c>
      <c r="B765" t="s">
        <v>15</v>
      </c>
      <c r="C765" t="s">
        <v>10</v>
      </c>
      <c r="D765">
        <v>6.38</v>
      </c>
      <c r="E765">
        <v>6.83</v>
      </c>
      <c r="F765">
        <v>0.45</v>
      </c>
      <c r="G765">
        <f>ABS(lmsi_v1_v2_comparison[[#This Row],[score_change]])</f>
        <v>0.45</v>
      </c>
      <c r="H765" t="str">
        <f>IF(lmsi_v1_v2_comparison[[#This Row],[score_change]]&gt;0, "v2 Higher","v2 Lower")</f>
        <v>v2 Higher</v>
      </c>
    </row>
    <row r="766" spans="1:8" x14ac:dyDescent="0.2">
      <c r="A766" t="s">
        <v>58</v>
      </c>
      <c r="B766" t="s">
        <v>15</v>
      </c>
      <c r="C766" t="s">
        <v>11</v>
      </c>
      <c r="D766">
        <v>12.99</v>
      </c>
      <c r="E766">
        <v>13.14</v>
      </c>
      <c r="F766">
        <v>0.15</v>
      </c>
      <c r="G766">
        <f>ABS(lmsi_v1_v2_comparison[[#This Row],[score_change]])</f>
        <v>0.15</v>
      </c>
      <c r="H766" t="str">
        <f>IF(lmsi_v1_v2_comparison[[#This Row],[score_change]]&gt;0, "v2 Higher","v2 Lower")</f>
        <v>v2 Higher</v>
      </c>
    </row>
    <row r="767" spans="1:8" x14ac:dyDescent="0.2">
      <c r="A767" t="s">
        <v>58</v>
      </c>
      <c r="B767" t="s">
        <v>15</v>
      </c>
      <c r="C767" t="s">
        <v>12</v>
      </c>
      <c r="D767">
        <v>20.32</v>
      </c>
      <c r="E767">
        <v>22.6</v>
      </c>
      <c r="F767">
        <v>2.2799999999999998</v>
      </c>
      <c r="G767">
        <f>ABS(lmsi_v1_v2_comparison[[#This Row],[score_change]])</f>
        <v>2.2799999999999998</v>
      </c>
      <c r="H767" t="str">
        <f>IF(lmsi_v1_v2_comparison[[#This Row],[score_change]]&gt;0, "v2 Higher","v2 Lower")</f>
        <v>v2 Higher</v>
      </c>
    </row>
    <row r="768" spans="1:8" x14ac:dyDescent="0.2">
      <c r="A768" t="s">
        <v>58</v>
      </c>
      <c r="B768" t="s">
        <v>15</v>
      </c>
      <c r="C768" t="s">
        <v>13</v>
      </c>
      <c r="D768">
        <v>13.23</v>
      </c>
      <c r="E768">
        <v>13.02</v>
      </c>
      <c r="F768">
        <v>-0.21</v>
      </c>
      <c r="G768">
        <f>ABS(lmsi_v1_v2_comparison[[#This Row],[score_change]])</f>
        <v>0.21</v>
      </c>
      <c r="H768" t="str">
        <f>IF(lmsi_v1_v2_comparison[[#This Row],[score_change]]&gt;0, "v2 Higher","v2 Lower")</f>
        <v>v2 Lower</v>
      </c>
    </row>
    <row r="769" spans="1:8" x14ac:dyDescent="0.2">
      <c r="A769" t="s">
        <v>58</v>
      </c>
      <c r="B769" t="s">
        <v>15</v>
      </c>
      <c r="C769" t="s">
        <v>14</v>
      </c>
      <c r="D769">
        <v>14.38</v>
      </c>
      <c r="E769">
        <v>16.18</v>
      </c>
      <c r="F769">
        <v>1.8</v>
      </c>
      <c r="G769">
        <f>ABS(lmsi_v1_v2_comparison[[#This Row],[score_change]])</f>
        <v>1.8</v>
      </c>
      <c r="H769" t="str">
        <f>IF(lmsi_v1_v2_comparison[[#This Row],[score_change]]&gt;0, "v2 Higher","v2 Lower")</f>
        <v>v2 Higher</v>
      </c>
    </row>
    <row r="770" spans="1:8" x14ac:dyDescent="0.2">
      <c r="A770" t="s">
        <v>58</v>
      </c>
      <c r="B770" t="s">
        <v>16</v>
      </c>
      <c r="C770" t="s">
        <v>9</v>
      </c>
      <c r="D770">
        <v>13.89</v>
      </c>
      <c r="E770">
        <v>12.76</v>
      </c>
      <c r="F770">
        <v>-1.1299999999999999</v>
      </c>
      <c r="G770">
        <f>ABS(lmsi_v1_v2_comparison[[#This Row],[score_change]])</f>
        <v>1.1299999999999999</v>
      </c>
      <c r="H770" t="str">
        <f>IF(lmsi_v1_v2_comparison[[#This Row],[score_change]]&gt;0, "v2 Higher","v2 Lower")</f>
        <v>v2 Lower</v>
      </c>
    </row>
    <row r="771" spans="1:8" x14ac:dyDescent="0.2">
      <c r="A771" t="s">
        <v>58</v>
      </c>
      <c r="B771" t="s">
        <v>16</v>
      </c>
      <c r="C771" t="s">
        <v>10</v>
      </c>
      <c r="D771">
        <v>5.3</v>
      </c>
      <c r="E771">
        <v>5.82</v>
      </c>
      <c r="F771">
        <v>0.52</v>
      </c>
      <c r="G771">
        <f>ABS(lmsi_v1_v2_comparison[[#This Row],[score_change]])</f>
        <v>0.52</v>
      </c>
      <c r="H771" t="str">
        <f>IF(lmsi_v1_v2_comparison[[#This Row],[score_change]]&gt;0, "v2 Higher","v2 Lower")</f>
        <v>v2 Higher</v>
      </c>
    </row>
    <row r="772" spans="1:8" x14ac:dyDescent="0.2">
      <c r="A772" t="s">
        <v>58</v>
      </c>
      <c r="B772" t="s">
        <v>16</v>
      </c>
      <c r="C772" t="s">
        <v>11</v>
      </c>
      <c r="D772">
        <v>12.53</v>
      </c>
      <c r="E772">
        <v>12.57</v>
      </c>
      <c r="F772">
        <v>0.04</v>
      </c>
      <c r="G772">
        <f>ABS(lmsi_v1_v2_comparison[[#This Row],[score_change]])</f>
        <v>0.04</v>
      </c>
      <c r="H772" t="str">
        <f>IF(lmsi_v1_v2_comparison[[#This Row],[score_change]]&gt;0, "v2 Higher","v2 Lower")</f>
        <v>v2 Higher</v>
      </c>
    </row>
    <row r="773" spans="1:8" x14ac:dyDescent="0.2">
      <c r="A773" t="s">
        <v>58</v>
      </c>
      <c r="B773" t="s">
        <v>16</v>
      </c>
      <c r="C773" t="s">
        <v>12</v>
      </c>
      <c r="D773">
        <v>17.7</v>
      </c>
      <c r="E773">
        <v>18.61</v>
      </c>
      <c r="F773">
        <v>0.91</v>
      </c>
      <c r="G773">
        <f>ABS(lmsi_v1_v2_comparison[[#This Row],[score_change]])</f>
        <v>0.91</v>
      </c>
      <c r="H773" t="str">
        <f>IF(lmsi_v1_v2_comparison[[#This Row],[score_change]]&gt;0, "v2 Higher","v2 Lower")</f>
        <v>v2 Higher</v>
      </c>
    </row>
    <row r="774" spans="1:8" x14ac:dyDescent="0.2">
      <c r="A774" t="s">
        <v>58</v>
      </c>
      <c r="B774" t="s">
        <v>16</v>
      </c>
      <c r="C774" t="s">
        <v>13</v>
      </c>
      <c r="D774">
        <v>10.48</v>
      </c>
      <c r="E774">
        <v>10.33</v>
      </c>
      <c r="F774">
        <v>-0.15</v>
      </c>
      <c r="G774">
        <f>ABS(lmsi_v1_v2_comparison[[#This Row],[score_change]])</f>
        <v>0.15</v>
      </c>
      <c r="H774" t="str">
        <f>IF(lmsi_v1_v2_comparison[[#This Row],[score_change]]&gt;0, "v2 Higher","v2 Lower")</f>
        <v>v2 Lower</v>
      </c>
    </row>
    <row r="775" spans="1:8" x14ac:dyDescent="0.2">
      <c r="A775" t="s">
        <v>58</v>
      </c>
      <c r="B775" t="s">
        <v>16</v>
      </c>
      <c r="C775" t="s">
        <v>14</v>
      </c>
      <c r="D775">
        <v>10.58</v>
      </c>
      <c r="E775">
        <v>11.18</v>
      </c>
      <c r="F775">
        <v>0.6</v>
      </c>
      <c r="G775">
        <f>ABS(lmsi_v1_v2_comparison[[#This Row],[score_change]])</f>
        <v>0.6</v>
      </c>
      <c r="H775" t="str">
        <f>IF(lmsi_v1_v2_comparison[[#This Row],[score_change]]&gt;0, "v2 Higher","v2 Lower")</f>
        <v>v2 Higher</v>
      </c>
    </row>
    <row r="776" spans="1:8" x14ac:dyDescent="0.2">
      <c r="A776" t="s">
        <v>59</v>
      </c>
      <c r="B776" t="s">
        <v>8</v>
      </c>
      <c r="C776" t="s">
        <v>9</v>
      </c>
      <c r="D776">
        <v>7.98</v>
      </c>
      <c r="E776">
        <v>8.16</v>
      </c>
      <c r="F776">
        <v>0.18</v>
      </c>
      <c r="G776">
        <f>ABS(lmsi_v1_v2_comparison[[#This Row],[score_change]])</f>
        <v>0.18</v>
      </c>
      <c r="H776" t="str">
        <f>IF(lmsi_v1_v2_comparison[[#This Row],[score_change]]&gt;0, "v2 Higher","v2 Lower")</f>
        <v>v2 Higher</v>
      </c>
    </row>
    <row r="777" spans="1:8" x14ac:dyDescent="0.2">
      <c r="A777" t="s">
        <v>59</v>
      </c>
      <c r="B777" t="s">
        <v>8</v>
      </c>
      <c r="C777" t="s">
        <v>10</v>
      </c>
      <c r="D777">
        <v>7.7</v>
      </c>
      <c r="E777">
        <v>8.2100000000000009</v>
      </c>
      <c r="F777">
        <v>0.51</v>
      </c>
      <c r="G777">
        <f>ABS(lmsi_v1_v2_comparison[[#This Row],[score_change]])</f>
        <v>0.51</v>
      </c>
      <c r="H777" t="str">
        <f>IF(lmsi_v1_v2_comparison[[#This Row],[score_change]]&gt;0, "v2 Higher","v2 Lower")</f>
        <v>v2 Higher</v>
      </c>
    </row>
    <row r="778" spans="1:8" x14ac:dyDescent="0.2">
      <c r="A778" t="s">
        <v>59</v>
      </c>
      <c r="B778" t="s">
        <v>8</v>
      </c>
      <c r="C778" t="s">
        <v>11</v>
      </c>
      <c r="D778">
        <v>14.03</v>
      </c>
      <c r="E778">
        <v>14.71</v>
      </c>
      <c r="F778">
        <v>0.68</v>
      </c>
      <c r="G778">
        <f>ABS(lmsi_v1_v2_comparison[[#This Row],[score_change]])</f>
        <v>0.68</v>
      </c>
      <c r="H778" t="str">
        <f>IF(lmsi_v1_v2_comparison[[#This Row],[score_change]]&gt;0, "v2 Higher","v2 Lower")</f>
        <v>v2 Higher</v>
      </c>
    </row>
    <row r="779" spans="1:8" x14ac:dyDescent="0.2">
      <c r="A779" t="s">
        <v>59</v>
      </c>
      <c r="B779" t="s">
        <v>8</v>
      </c>
      <c r="C779" t="s">
        <v>12</v>
      </c>
      <c r="D779">
        <v>16.190000000000001</v>
      </c>
      <c r="E779">
        <v>17.07</v>
      </c>
      <c r="F779">
        <v>0.88</v>
      </c>
      <c r="G779">
        <f>ABS(lmsi_v1_v2_comparison[[#This Row],[score_change]])</f>
        <v>0.88</v>
      </c>
      <c r="H779" t="str">
        <f>IF(lmsi_v1_v2_comparison[[#This Row],[score_change]]&gt;0, "v2 Higher","v2 Lower")</f>
        <v>v2 Higher</v>
      </c>
    </row>
    <row r="780" spans="1:8" x14ac:dyDescent="0.2">
      <c r="A780" t="s">
        <v>59</v>
      </c>
      <c r="B780" t="s">
        <v>8</v>
      </c>
      <c r="C780" t="s">
        <v>13</v>
      </c>
      <c r="D780">
        <v>13.76</v>
      </c>
      <c r="E780">
        <v>13.75</v>
      </c>
      <c r="F780">
        <v>-0.01</v>
      </c>
      <c r="G780">
        <f>ABS(lmsi_v1_v2_comparison[[#This Row],[score_change]])</f>
        <v>0.01</v>
      </c>
      <c r="H780" t="str">
        <f>IF(lmsi_v1_v2_comparison[[#This Row],[score_change]]&gt;0, "v2 Higher","v2 Lower")</f>
        <v>v2 Lower</v>
      </c>
    </row>
    <row r="781" spans="1:8" x14ac:dyDescent="0.2">
      <c r="A781" t="s">
        <v>59</v>
      </c>
      <c r="B781" t="s">
        <v>8</v>
      </c>
      <c r="C781" t="s">
        <v>14</v>
      </c>
      <c r="D781">
        <v>9.51</v>
      </c>
      <c r="E781">
        <v>11.23</v>
      </c>
      <c r="F781">
        <v>1.72</v>
      </c>
      <c r="G781">
        <f>ABS(lmsi_v1_v2_comparison[[#This Row],[score_change]])</f>
        <v>1.72</v>
      </c>
      <c r="H781" t="str">
        <f>IF(lmsi_v1_v2_comparison[[#This Row],[score_change]]&gt;0, "v2 Higher","v2 Lower")</f>
        <v>v2 Higher</v>
      </c>
    </row>
    <row r="782" spans="1:8" x14ac:dyDescent="0.2">
      <c r="A782" t="s">
        <v>59</v>
      </c>
      <c r="B782" t="s">
        <v>15</v>
      </c>
      <c r="C782" t="s">
        <v>9</v>
      </c>
      <c r="D782">
        <v>12.04</v>
      </c>
      <c r="E782">
        <v>12.36</v>
      </c>
      <c r="F782">
        <v>0.32</v>
      </c>
      <c r="G782">
        <f>ABS(lmsi_v1_v2_comparison[[#This Row],[score_change]])</f>
        <v>0.32</v>
      </c>
      <c r="H782" t="str">
        <f>IF(lmsi_v1_v2_comparison[[#This Row],[score_change]]&gt;0, "v2 Higher","v2 Lower")</f>
        <v>v2 Higher</v>
      </c>
    </row>
    <row r="783" spans="1:8" x14ac:dyDescent="0.2">
      <c r="A783" t="s">
        <v>59</v>
      </c>
      <c r="B783" t="s">
        <v>15</v>
      </c>
      <c r="C783" t="s">
        <v>10</v>
      </c>
      <c r="D783">
        <v>11.78</v>
      </c>
      <c r="E783">
        <v>12.25</v>
      </c>
      <c r="F783">
        <v>0.47</v>
      </c>
      <c r="G783">
        <f>ABS(lmsi_v1_v2_comparison[[#This Row],[score_change]])</f>
        <v>0.47</v>
      </c>
      <c r="H783" t="str">
        <f>IF(lmsi_v1_v2_comparison[[#This Row],[score_change]]&gt;0, "v2 Higher","v2 Lower")</f>
        <v>v2 Higher</v>
      </c>
    </row>
    <row r="784" spans="1:8" x14ac:dyDescent="0.2">
      <c r="A784" t="s">
        <v>59</v>
      </c>
      <c r="B784" t="s">
        <v>15</v>
      </c>
      <c r="C784" t="s">
        <v>11</v>
      </c>
      <c r="D784">
        <v>15.5</v>
      </c>
      <c r="E784">
        <v>15.61</v>
      </c>
      <c r="F784">
        <v>0.11</v>
      </c>
      <c r="G784">
        <f>ABS(lmsi_v1_v2_comparison[[#This Row],[score_change]])</f>
        <v>0.11</v>
      </c>
      <c r="H784" t="str">
        <f>IF(lmsi_v1_v2_comparison[[#This Row],[score_change]]&gt;0, "v2 Higher","v2 Lower")</f>
        <v>v2 Higher</v>
      </c>
    </row>
    <row r="785" spans="1:8" x14ac:dyDescent="0.2">
      <c r="A785" t="s">
        <v>59</v>
      </c>
      <c r="B785" t="s">
        <v>15</v>
      </c>
      <c r="C785" t="s">
        <v>12</v>
      </c>
      <c r="D785">
        <v>19.5</v>
      </c>
      <c r="E785">
        <v>21.19</v>
      </c>
      <c r="F785">
        <v>1.69</v>
      </c>
      <c r="G785">
        <f>ABS(lmsi_v1_v2_comparison[[#This Row],[score_change]])</f>
        <v>1.69</v>
      </c>
      <c r="H785" t="str">
        <f>IF(lmsi_v1_v2_comparison[[#This Row],[score_change]]&gt;0, "v2 Higher","v2 Lower")</f>
        <v>v2 Higher</v>
      </c>
    </row>
    <row r="786" spans="1:8" x14ac:dyDescent="0.2">
      <c r="A786" t="s">
        <v>59</v>
      </c>
      <c r="B786" t="s">
        <v>15</v>
      </c>
      <c r="C786" t="s">
        <v>13</v>
      </c>
      <c r="D786">
        <v>17.97</v>
      </c>
      <c r="E786">
        <v>17.25</v>
      </c>
      <c r="F786">
        <v>-0.72</v>
      </c>
      <c r="G786">
        <f>ABS(lmsi_v1_v2_comparison[[#This Row],[score_change]])</f>
        <v>0.72</v>
      </c>
      <c r="H786" t="str">
        <f>IF(lmsi_v1_v2_comparison[[#This Row],[score_change]]&gt;0, "v2 Higher","v2 Lower")</f>
        <v>v2 Lower</v>
      </c>
    </row>
    <row r="787" spans="1:8" x14ac:dyDescent="0.2">
      <c r="A787" t="s">
        <v>59</v>
      </c>
      <c r="B787" t="s">
        <v>15</v>
      </c>
      <c r="C787" t="s">
        <v>14</v>
      </c>
      <c r="D787">
        <v>19.329999999999998</v>
      </c>
      <c r="E787">
        <v>21.15</v>
      </c>
      <c r="F787">
        <v>1.82</v>
      </c>
      <c r="G787">
        <f>ABS(lmsi_v1_v2_comparison[[#This Row],[score_change]])</f>
        <v>1.82</v>
      </c>
      <c r="H787" t="str">
        <f>IF(lmsi_v1_v2_comparison[[#This Row],[score_change]]&gt;0, "v2 Higher","v2 Lower")</f>
        <v>v2 Higher</v>
      </c>
    </row>
    <row r="788" spans="1:8" x14ac:dyDescent="0.2">
      <c r="A788" t="s">
        <v>59</v>
      </c>
      <c r="B788" t="s">
        <v>16</v>
      </c>
      <c r="C788" t="s">
        <v>9</v>
      </c>
      <c r="D788">
        <v>12.42</v>
      </c>
      <c r="E788">
        <v>12.29</v>
      </c>
      <c r="F788">
        <v>-0.13</v>
      </c>
      <c r="G788">
        <f>ABS(lmsi_v1_v2_comparison[[#This Row],[score_change]])</f>
        <v>0.13</v>
      </c>
      <c r="H788" t="str">
        <f>IF(lmsi_v1_v2_comparison[[#This Row],[score_change]]&gt;0, "v2 Higher","v2 Lower")</f>
        <v>v2 Lower</v>
      </c>
    </row>
    <row r="789" spans="1:8" x14ac:dyDescent="0.2">
      <c r="A789" t="s">
        <v>59</v>
      </c>
      <c r="B789" t="s">
        <v>16</v>
      </c>
      <c r="C789" t="s">
        <v>10</v>
      </c>
      <c r="D789">
        <v>9.51</v>
      </c>
      <c r="E789">
        <v>10.26</v>
      </c>
      <c r="F789">
        <v>0.75</v>
      </c>
      <c r="G789">
        <f>ABS(lmsi_v1_v2_comparison[[#This Row],[score_change]])</f>
        <v>0.75</v>
      </c>
      <c r="H789" t="str">
        <f>IF(lmsi_v1_v2_comparison[[#This Row],[score_change]]&gt;0, "v2 Higher","v2 Lower")</f>
        <v>v2 Higher</v>
      </c>
    </row>
    <row r="790" spans="1:8" x14ac:dyDescent="0.2">
      <c r="A790" t="s">
        <v>59</v>
      </c>
      <c r="B790" t="s">
        <v>16</v>
      </c>
      <c r="C790" t="s">
        <v>11</v>
      </c>
      <c r="D790">
        <v>14.47</v>
      </c>
      <c r="E790">
        <v>14.19</v>
      </c>
      <c r="F790">
        <v>-0.28000000000000003</v>
      </c>
      <c r="G790">
        <f>ABS(lmsi_v1_v2_comparison[[#This Row],[score_change]])</f>
        <v>0.28000000000000003</v>
      </c>
      <c r="H790" t="str">
        <f>IF(lmsi_v1_v2_comparison[[#This Row],[score_change]]&gt;0, "v2 Higher","v2 Lower")</f>
        <v>v2 Lower</v>
      </c>
    </row>
    <row r="791" spans="1:8" x14ac:dyDescent="0.2">
      <c r="A791" t="s">
        <v>59</v>
      </c>
      <c r="B791" t="s">
        <v>16</v>
      </c>
      <c r="C791" t="s">
        <v>12</v>
      </c>
      <c r="D791">
        <v>17.38</v>
      </c>
      <c r="E791">
        <v>18.97</v>
      </c>
      <c r="F791">
        <v>1.59</v>
      </c>
      <c r="G791">
        <f>ABS(lmsi_v1_v2_comparison[[#This Row],[score_change]])</f>
        <v>1.59</v>
      </c>
      <c r="H791" t="str">
        <f>IF(lmsi_v1_v2_comparison[[#This Row],[score_change]]&gt;0, "v2 Higher","v2 Lower")</f>
        <v>v2 Higher</v>
      </c>
    </row>
    <row r="792" spans="1:8" x14ac:dyDescent="0.2">
      <c r="A792" t="s">
        <v>59</v>
      </c>
      <c r="B792" t="s">
        <v>16</v>
      </c>
      <c r="C792" t="s">
        <v>13</v>
      </c>
      <c r="D792">
        <v>13.26</v>
      </c>
      <c r="E792">
        <v>13.19</v>
      </c>
      <c r="F792">
        <v>-7.0000000000000007E-2</v>
      </c>
      <c r="G792">
        <f>ABS(lmsi_v1_v2_comparison[[#This Row],[score_change]])</f>
        <v>7.0000000000000007E-2</v>
      </c>
      <c r="H792" t="str">
        <f>IF(lmsi_v1_v2_comparison[[#This Row],[score_change]]&gt;0, "v2 Higher","v2 Lower")</f>
        <v>v2 Lower</v>
      </c>
    </row>
    <row r="793" spans="1:8" x14ac:dyDescent="0.2">
      <c r="A793" t="s">
        <v>59</v>
      </c>
      <c r="B793" t="s">
        <v>16</v>
      </c>
      <c r="C793" t="s">
        <v>14</v>
      </c>
      <c r="D793">
        <v>11.78</v>
      </c>
      <c r="E793">
        <v>16.399999999999999</v>
      </c>
      <c r="F793">
        <v>4.62</v>
      </c>
      <c r="G793">
        <f>ABS(lmsi_v1_v2_comparison[[#This Row],[score_change]])</f>
        <v>4.62</v>
      </c>
      <c r="H793" t="str">
        <f>IF(lmsi_v1_v2_comparison[[#This Row],[score_change]]&gt;0, "v2 Higher","v2 Lower")</f>
        <v>v2 Higher</v>
      </c>
    </row>
    <row r="794" spans="1:8" x14ac:dyDescent="0.2">
      <c r="A794" t="s">
        <v>60</v>
      </c>
      <c r="B794" t="s">
        <v>8</v>
      </c>
      <c r="C794" t="s">
        <v>9</v>
      </c>
      <c r="D794">
        <v>11.87</v>
      </c>
      <c r="E794">
        <v>13.16</v>
      </c>
      <c r="F794">
        <v>1.29</v>
      </c>
      <c r="G794">
        <f>ABS(lmsi_v1_v2_comparison[[#This Row],[score_change]])</f>
        <v>1.29</v>
      </c>
      <c r="H794" t="str">
        <f>IF(lmsi_v1_v2_comparison[[#This Row],[score_change]]&gt;0, "v2 Higher","v2 Lower")</f>
        <v>v2 Higher</v>
      </c>
    </row>
    <row r="795" spans="1:8" x14ac:dyDescent="0.2">
      <c r="A795" t="s">
        <v>60</v>
      </c>
      <c r="B795" t="s">
        <v>8</v>
      </c>
      <c r="C795" t="s">
        <v>10</v>
      </c>
      <c r="D795">
        <v>9.69</v>
      </c>
      <c r="E795">
        <v>9.92</v>
      </c>
      <c r="F795">
        <v>0.23</v>
      </c>
      <c r="G795">
        <f>ABS(lmsi_v1_v2_comparison[[#This Row],[score_change]])</f>
        <v>0.23</v>
      </c>
      <c r="H795" t="str">
        <f>IF(lmsi_v1_v2_comparison[[#This Row],[score_change]]&gt;0, "v2 Higher","v2 Lower")</f>
        <v>v2 Higher</v>
      </c>
    </row>
    <row r="796" spans="1:8" x14ac:dyDescent="0.2">
      <c r="A796" t="s">
        <v>60</v>
      </c>
      <c r="B796" t="s">
        <v>8</v>
      </c>
      <c r="C796" t="s">
        <v>11</v>
      </c>
      <c r="D796">
        <v>14.03</v>
      </c>
      <c r="E796">
        <v>14.38</v>
      </c>
      <c r="F796">
        <v>0.35</v>
      </c>
      <c r="G796">
        <f>ABS(lmsi_v1_v2_comparison[[#This Row],[score_change]])</f>
        <v>0.35</v>
      </c>
      <c r="H796" t="str">
        <f>IF(lmsi_v1_v2_comparison[[#This Row],[score_change]]&gt;0, "v2 Higher","v2 Lower")</f>
        <v>v2 Higher</v>
      </c>
    </row>
    <row r="797" spans="1:8" x14ac:dyDescent="0.2">
      <c r="A797" t="s">
        <v>60</v>
      </c>
      <c r="B797" t="s">
        <v>8</v>
      </c>
      <c r="C797" t="s">
        <v>12</v>
      </c>
      <c r="D797">
        <v>17.079999999999998</v>
      </c>
      <c r="E797">
        <v>18.93</v>
      </c>
      <c r="F797">
        <v>1.85</v>
      </c>
      <c r="G797">
        <f>ABS(lmsi_v1_v2_comparison[[#This Row],[score_change]])</f>
        <v>1.85</v>
      </c>
      <c r="H797" t="str">
        <f>IF(lmsi_v1_v2_comparison[[#This Row],[score_change]]&gt;0, "v2 Higher","v2 Lower")</f>
        <v>v2 Higher</v>
      </c>
    </row>
    <row r="798" spans="1:8" x14ac:dyDescent="0.2">
      <c r="A798" t="s">
        <v>60</v>
      </c>
      <c r="B798" t="s">
        <v>8</v>
      </c>
      <c r="C798" t="s">
        <v>13</v>
      </c>
      <c r="D798">
        <v>15.21</v>
      </c>
      <c r="E798">
        <v>15.79</v>
      </c>
      <c r="F798">
        <v>0.57999999999999996</v>
      </c>
      <c r="G798">
        <f>ABS(lmsi_v1_v2_comparison[[#This Row],[score_change]])</f>
        <v>0.57999999999999996</v>
      </c>
      <c r="H798" t="str">
        <f>IF(lmsi_v1_v2_comparison[[#This Row],[score_change]]&gt;0, "v2 Higher","v2 Lower")</f>
        <v>v2 Higher</v>
      </c>
    </row>
    <row r="799" spans="1:8" x14ac:dyDescent="0.2">
      <c r="A799" t="s">
        <v>60</v>
      </c>
      <c r="B799" t="s">
        <v>8</v>
      </c>
      <c r="C799" t="s">
        <v>14</v>
      </c>
      <c r="D799">
        <v>15.16</v>
      </c>
      <c r="E799">
        <v>16.62</v>
      </c>
      <c r="F799">
        <v>1.46</v>
      </c>
      <c r="G799">
        <f>ABS(lmsi_v1_v2_comparison[[#This Row],[score_change]])</f>
        <v>1.46</v>
      </c>
      <c r="H799" t="str">
        <f>IF(lmsi_v1_v2_comparison[[#This Row],[score_change]]&gt;0, "v2 Higher","v2 Lower")</f>
        <v>v2 Higher</v>
      </c>
    </row>
    <row r="800" spans="1:8" x14ac:dyDescent="0.2">
      <c r="A800" t="s">
        <v>60</v>
      </c>
      <c r="B800" t="s">
        <v>15</v>
      </c>
      <c r="C800" t="s">
        <v>9</v>
      </c>
      <c r="D800">
        <v>16.89</v>
      </c>
      <c r="E800">
        <v>18.670000000000002</v>
      </c>
      <c r="F800">
        <v>1.78</v>
      </c>
      <c r="G800">
        <f>ABS(lmsi_v1_v2_comparison[[#This Row],[score_change]])</f>
        <v>1.78</v>
      </c>
      <c r="H800" t="str">
        <f>IF(lmsi_v1_v2_comparison[[#This Row],[score_change]]&gt;0, "v2 Higher","v2 Lower")</f>
        <v>v2 Higher</v>
      </c>
    </row>
    <row r="801" spans="1:8" x14ac:dyDescent="0.2">
      <c r="A801" t="s">
        <v>60</v>
      </c>
      <c r="B801" t="s">
        <v>15</v>
      </c>
      <c r="C801" t="s">
        <v>10</v>
      </c>
      <c r="D801">
        <v>13.84</v>
      </c>
      <c r="E801">
        <v>13.86</v>
      </c>
      <c r="F801">
        <v>0.02</v>
      </c>
      <c r="G801">
        <f>ABS(lmsi_v1_v2_comparison[[#This Row],[score_change]])</f>
        <v>0.02</v>
      </c>
      <c r="H801" t="str">
        <f>IF(lmsi_v1_v2_comparison[[#This Row],[score_change]]&gt;0, "v2 Higher","v2 Lower")</f>
        <v>v2 Higher</v>
      </c>
    </row>
    <row r="802" spans="1:8" x14ac:dyDescent="0.2">
      <c r="A802" t="s">
        <v>60</v>
      </c>
      <c r="B802" t="s">
        <v>15</v>
      </c>
      <c r="C802" t="s">
        <v>11</v>
      </c>
      <c r="D802">
        <v>16.420000000000002</v>
      </c>
      <c r="E802">
        <v>16.52</v>
      </c>
      <c r="F802">
        <v>0.1</v>
      </c>
      <c r="G802">
        <f>ABS(lmsi_v1_v2_comparison[[#This Row],[score_change]])</f>
        <v>0.1</v>
      </c>
      <c r="H802" t="str">
        <f>IF(lmsi_v1_v2_comparison[[#This Row],[score_change]]&gt;0, "v2 Higher","v2 Lower")</f>
        <v>v2 Higher</v>
      </c>
    </row>
    <row r="803" spans="1:8" x14ac:dyDescent="0.2">
      <c r="A803" t="s">
        <v>60</v>
      </c>
      <c r="B803" t="s">
        <v>15</v>
      </c>
      <c r="C803" t="s">
        <v>12</v>
      </c>
      <c r="D803">
        <v>21.48</v>
      </c>
      <c r="E803">
        <v>23.5</v>
      </c>
      <c r="F803">
        <v>2.02</v>
      </c>
      <c r="G803">
        <f>ABS(lmsi_v1_v2_comparison[[#This Row],[score_change]])</f>
        <v>2.02</v>
      </c>
      <c r="H803" t="str">
        <f>IF(lmsi_v1_v2_comparison[[#This Row],[score_change]]&gt;0, "v2 Higher","v2 Lower")</f>
        <v>v2 Higher</v>
      </c>
    </row>
    <row r="804" spans="1:8" x14ac:dyDescent="0.2">
      <c r="A804" t="s">
        <v>60</v>
      </c>
      <c r="B804" t="s">
        <v>15</v>
      </c>
      <c r="C804" t="s">
        <v>13</v>
      </c>
      <c r="D804">
        <v>18.52</v>
      </c>
      <c r="E804">
        <v>18.72</v>
      </c>
      <c r="F804">
        <v>0.2</v>
      </c>
      <c r="G804">
        <f>ABS(lmsi_v1_v2_comparison[[#This Row],[score_change]])</f>
        <v>0.2</v>
      </c>
      <c r="H804" t="str">
        <f>IF(lmsi_v1_v2_comparison[[#This Row],[score_change]]&gt;0, "v2 Higher","v2 Lower")</f>
        <v>v2 Higher</v>
      </c>
    </row>
    <row r="805" spans="1:8" x14ac:dyDescent="0.2">
      <c r="A805" t="s">
        <v>60</v>
      </c>
      <c r="B805" t="s">
        <v>15</v>
      </c>
      <c r="C805" t="s">
        <v>14</v>
      </c>
      <c r="D805">
        <v>27.8</v>
      </c>
      <c r="E805">
        <v>29.03</v>
      </c>
      <c r="F805">
        <v>1.23</v>
      </c>
      <c r="G805">
        <f>ABS(lmsi_v1_v2_comparison[[#This Row],[score_change]])</f>
        <v>1.23</v>
      </c>
      <c r="H805" t="str">
        <f>IF(lmsi_v1_v2_comparison[[#This Row],[score_change]]&gt;0, "v2 Higher","v2 Lower")</f>
        <v>v2 Higher</v>
      </c>
    </row>
    <row r="806" spans="1:8" x14ac:dyDescent="0.2">
      <c r="A806" t="s">
        <v>60</v>
      </c>
      <c r="B806" t="s">
        <v>16</v>
      </c>
      <c r="C806" t="s">
        <v>9</v>
      </c>
      <c r="D806">
        <v>17.18</v>
      </c>
      <c r="E806">
        <v>17.86</v>
      </c>
      <c r="F806">
        <v>0.68</v>
      </c>
      <c r="G806">
        <f>ABS(lmsi_v1_v2_comparison[[#This Row],[score_change]])</f>
        <v>0.68</v>
      </c>
      <c r="H806" t="str">
        <f>IF(lmsi_v1_v2_comparison[[#This Row],[score_change]]&gt;0, "v2 Higher","v2 Lower")</f>
        <v>v2 Higher</v>
      </c>
    </row>
    <row r="807" spans="1:8" x14ac:dyDescent="0.2">
      <c r="A807" t="s">
        <v>60</v>
      </c>
      <c r="B807" t="s">
        <v>16</v>
      </c>
      <c r="C807" t="s">
        <v>10</v>
      </c>
      <c r="D807">
        <v>11.79</v>
      </c>
      <c r="E807">
        <v>12.8</v>
      </c>
      <c r="F807">
        <v>1.01</v>
      </c>
      <c r="G807">
        <f>ABS(lmsi_v1_v2_comparison[[#This Row],[score_change]])</f>
        <v>1.01</v>
      </c>
      <c r="H807" t="str">
        <f>IF(lmsi_v1_v2_comparison[[#This Row],[score_change]]&gt;0, "v2 Higher","v2 Lower")</f>
        <v>v2 Higher</v>
      </c>
    </row>
    <row r="808" spans="1:8" x14ac:dyDescent="0.2">
      <c r="A808" t="s">
        <v>60</v>
      </c>
      <c r="B808" t="s">
        <v>16</v>
      </c>
      <c r="C808" t="s">
        <v>11</v>
      </c>
      <c r="D808">
        <v>14.53</v>
      </c>
      <c r="E808">
        <v>14.12</v>
      </c>
      <c r="F808">
        <v>-0.41</v>
      </c>
      <c r="G808">
        <f>ABS(lmsi_v1_v2_comparison[[#This Row],[score_change]])</f>
        <v>0.41</v>
      </c>
      <c r="H808" t="str">
        <f>IF(lmsi_v1_v2_comparison[[#This Row],[score_change]]&gt;0, "v2 Higher","v2 Lower")</f>
        <v>v2 Lower</v>
      </c>
    </row>
    <row r="809" spans="1:8" x14ac:dyDescent="0.2">
      <c r="A809" t="s">
        <v>60</v>
      </c>
      <c r="B809" t="s">
        <v>16</v>
      </c>
      <c r="C809" t="s">
        <v>12</v>
      </c>
      <c r="D809">
        <v>18.14</v>
      </c>
      <c r="E809">
        <v>19.71</v>
      </c>
      <c r="F809">
        <v>1.57</v>
      </c>
      <c r="G809">
        <f>ABS(lmsi_v1_v2_comparison[[#This Row],[score_change]])</f>
        <v>1.57</v>
      </c>
      <c r="H809" t="str">
        <f>IF(lmsi_v1_v2_comparison[[#This Row],[score_change]]&gt;0, "v2 Higher","v2 Lower")</f>
        <v>v2 Higher</v>
      </c>
    </row>
    <row r="810" spans="1:8" x14ac:dyDescent="0.2">
      <c r="A810" t="s">
        <v>60</v>
      </c>
      <c r="B810" t="s">
        <v>16</v>
      </c>
      <c r="C810" t="s">
        <v>13</v>
      </c>
      <c r="D810">
        <v>14.36</v>
      </c>
      <c r="E810">
        <v>17.309999999999999</v>
      </c>
      <c r="F810">
        <v>2.95</v>
      </c>
      <c r="G810">
        <f>ABS(lmsi_v1_v2_comparison[[#This Row],[score_change]])</f>
        <v>2.95</v>
      </c>
      <c r="H810" t="str">
        <f>IF(lmsi_v1_v2_comparison[[#This Row],[score_change]]&gt;0, "v2 Higher","v2 Lower")</f>
        <v>v2 Higher</v>
      </c>
    </row>
    <row r="811" spans="1:8" x14ac:dyDescent="0.2">
      <c r="A811" t="s">
        <v>60</v>
      </c>
      <c r="B811" t="s">
        <v>16</v>
      </c>
      <c r="C811" t="s">
        <v>14</v>
      </c>
      <c r="D811">
        <v>18.12</v>
      </c>
      <c r="E811">
        <v>18.53</v>
      </c>
      <c r="F811">
        <v>0.41</v>
      </c>
      <c r="G811">
        <f>ABS(lmsi_v1_v2_comparison[[#This Row],[score_change]])</f>
        <v>0.41</v>
      </c>
      <c r="H811" t="str">
        <f>IF(lmsi_v1_v2_comparison[[#This Row],[score_change]]&gt;0, "v2 Higher","v2 Lower")</f>
        <v>v2 Higher</v>
      </c>
    </row>
    <row r="812" spans="1:8" x14ac:dyDescent="0.2">
      <c r="A812" t="s">
        <v>61</v>
      </c>
      <c r="B812" t="s">
        <v>8</v>
      </c>
      <c r="C812" t="s">
        <v>9</v>
      </c>
      <c r="D812">
        <v>23.79</v>
      </c>
      <c r="E812">
        <v>22.12</v>
      </c>
      <c r="F812">
        <v>-1.67</v>
      </c>
      <c r="G812">
        <f>ABS(lmsi_v1_v2_comparison[[#This Row],[score_change]])</f>
        <v>1.67</v>
      </c>
      <c r="H812" t="str">
        <f>IF(lmsi_v1_v2_comparison[[#This Row],[score_change]]&gt;0, "v2 Higher","v2 Lower")</f>
        <v>v2 Lower</v>
      </c>
    </row>
    <row r="813" spans="1:8" x14ac:dyDescent="0.2">
      <c r="A813" t="s">
        <v>61</v>
      </c>
      <c r="B813" t="s">
        <v>8</v>
      </c>
      <c r="C813" t="s">
        <v>10</v>
      </c>
      <c r="D813">
        <v>15.08</v>
      </c>
      <c r="E813">
        <v>16.170000000000002</v>
      </c>
      <c r="F813">
        <v>1.0900000000000001</v>
      </c>
      <c r="G813">
        <f>ABS(lmsi_v1_v2_comparison[[#This Row],[score_change]])</f>
        <v>1.0900000000000001</v>
      </c>
      <c r="H813" t="str">
        <f>IF(lmsi_v1_v2_comparison[[#This Row],[score_change]]&gt;0, "v2 Higher","v2 Lower")</f>
        <v>v2 Higher</v>
      </c>
    </row>
    <row r="814" spans="1:8" x14ac:dyDescent="0.2">
      <c r="A814" t="s">
        <v>61</v>
      </c>
      <c r="B814" t="s">
        <v>8</v>
      </c>
      <c r="C814" t="s">
        <v>11</v>
      </c>
      <c r="D814">
        <v>13.84</v>
      </c>
      <c r="E814">
        <v>14.05</v>
      </c>
      <c r="F814">
        <v>0.21</v>
      </c>
      <c r="G814">
        <f>ABS(lmsi_v1_v2_comparison[[#This Row],[score_change]])</f>
        <v>0.21</v>
      </c>
      <c r="H814" t="str">
        <f>IF(lmsi_v1_v2_comparison[[#This Row],[score_change]]&gt;0, "v2 Higher","v2 Lower")</f>
        <v>v2 Higher</v>
      </c>
    </row>
    <row r="815" spans="1:8" x14ac:dyDescent="0.2">
      <c r="A815" t="s">
        <v>61</v>
      </c>
      <c r="B815" t="s">
        <v>8</v>
      </c>
      <c r="C815" t="s">
        <v>12</v>
      </c>
      <c r="D815">
        <v>17.920000000000002</v>
      </c>
      <c r="E815">
        <v>21.52</v>
      </c>
      <c r="F815">
        <v>3.6</v>
      </c>
      <c r="G815">
        <f>ABS(lmsi_v1_v2_comparison[[#This Row],[score_change]])</f>
        <v>3.6</v>
      </c>
      <c r="H815" t="str">
        <f>IF(lmsi_v1_v2_comparison[[#This Row],[score_change]]&gt;0, "v2 Higher","v2 Lower")</f>
        <v>v2 Higher</v>
      </c>
    </row>
    <row r="816" spans="1:8" x14ac:dyDescent="0.2">
      <c r="A816" t="s">
        <v>61</v>
      </c>
      <c r="B816" t="s">
        <v>8</v>
      </c>
      <c r="C816" t="s">
        <v>13</v>
      </c>
      <c r="D816">
        <v>14.79</v>
      </c>
      <c r="E816">
        <v>15.46</v>
      </c>
      <c r="F816">
        <v>0.67</v>
      </c>
      <c r="G816">
        <f>ABS(lmsi_v1_v2_comparison[[#This Row],[score_change]])</f>
        <v>0.67</v>
      </c>
      <c r="H816" t="str">
        <f>IF(lmsi_v1_v2_comparison[[#This Row],[score_change]]&gt;0, "v2 Higher","v2 Lower")</f>
        <v>v2 Higher</v>
      </c>
    </row>
    <row r="817" spans="1:8" x14ac:dyDescent="0.2">
      <c r="A817" t="s">
        <v>61</v>
      </c>
      <c r="B817" t="s">
        <v>8</v>
      </c>
      <c r="C817" t="s">
        <v>14</v>
      </c>
      <c r="D817">
        <v>16.940000000000001</v>
      </c>
      <c r="E817">
        <v>18.13</v>
      </c>
      <c r="F817">
        <v>1.19</v>
      </c>
      <c r="G817">
        <f>ABS(lmsi_v1_v2_comparison[[#This Row],[score_change]])</f>
        <v>1.19</v>
      </c>
      <c r="H817" t="str">
        <f>IF(lmsi_v1_v2_comparison[[#This Row],[score_change]]&gt;0, "v2 Higher","v2 Lower")</f>
        <v>v2 Higher</v>
      </c>
    </row>
    <row r="818" spans="1:8" x14ac:dyDescent="0.2">
      <c r="A818" t="s">
        <v>61</v>
      </c>
      <c r="B818" t="s">
        <v>15</v>
      </c>
      <c r="C818" t="s">
        <v>9</v>
      </c>
      <c r="D818">
        <v>33.06</v>
      </c>
      <c r="E818">
        <v>29.96</v>
      </c>
      <c r="F818">
        <v>-3.1</v>
      </c>
      <c r="G818">
        <f>ABS(lmsi_v1_v2_comparison[[#This Row],[score_change]])</f>
        <v>3.1</v>
      </c>
      <c r="H818" t="str">
        <f>IF(lmsi_v1_v2_comparison[[#This Row],[score_change]]&gt;0, "v2 Higher","v2 Lower")</f>
        <v>v2 Lower</v>
      </c>
    </row>
    <row r="819" spans="1:8" x14ac:dyDescent="0.2">
      <c r="A819" t="s">
        <v>61</v>
      </c>
      <c r="B819" t="s">
        <v>15</v>
      </c>
      <c r="C819" t="s">
        <v>10</v>
      </c>
      <c r="D819">
        <v>21.06</v>
      </c>
      <c r="E819">
        <v>21.53</v>
      </c>
      <c r="F819">
        <v>0.47</v>
      </c>
      <c r="G819">
        <f>ABS(lmsi_v1_v2_comparison[[#This Row],[score_change]])</f>
        <v>0.47</v>
      </c>
      <c r="H819" t="str">
        <f>IF(lmsi_v1_v2_comparison[[#This Row],[score_change]]&gt;0, "v2 Higher","v2 Lower")</f>
        <v>v2 Higher</v>
      </c>
    </row>
    <row r="820" spans="1:8" x14ac:dyDescent="0.2">
      <c r="A820" t="s">
        <v>61</v>
      </c>
      <c r="B820" t="s">
        <v>15</v>
      </c>
      <c r="C820" t="s">
        <v>11</v>
      </c>
      <c r="D820">
        <v>16.68</v>
      </c>
      <c r="E820">
        <v>16.100000000000001</v>
      </c>
      <c r="F820">
        <v>-0.57999999999999996</v>
      </c>
      <c r="G820">
        <f>ABS(lmsi_v1_v2_comparison[[#This Row],[score_change]])</f>
        <v>0.57999999999999996</v>
      </c>
      <c r="H820" t="str">
        <f>IF(lmsi_v1_v2_comparison[[#This Row],[score_change]]&gt;0, "v2 Higher","v2 Lower")</f>
        <v>v2 Lower</v>
      </c>
    </row>
    <row r="821" spans="1:8" x14ac:dyDescent="0.2">
      <c r="A821" t="s">
        <v>61</v>
      </c>
      <c r="B821" t="s">
        <v>15</v>
      </c>
      <c r="C821" t="s">
        <v>12</v>
      </c>
      <c r="D821">
        <v>22.66</v>
      </c>
      <c r="E821">
        <v>24.59</v>
      </c>
      <c r="F821">
        <v>1.93</v>
      </c>
      <c r="G821">
        <f>ABS(lmsi_v1_v2_comparison[[#This Row],[score_change]])</f>
        <v>1.93</v>
      </c>
      <c r="H821" t="str">
        <f>IF(lmsi_v1_v2_comparison[[#This Row],[score_change]]&gt;0, "v2 Higher","v2 Lower")</f>
        <v>v2 Higher</v>
      </c>
    </row>
    <row r="822" spans="1:8" x14ac:dyDescent="0.2">
      <c r="A822" t="s">
        <v>61</v>
      </c>
      <c r="B822" t="s">
        <v>15</v>
      </c>
      <c r="C822" t="s">
        <v>13</v>
      </c>
      <c r="D822">
        <v>19.5</v>
      </c>
      <c r="E822">
        <v>19.59</v>
      </c>
      <c r="F822">
        <v>0.09</v>
      </c>
      <c r="G822">
        <f>ABS(lmsi_v1_v2_comparison[[#This Row],[score_change]])</f>
        <v>0.09</v>
      </c>
      <c r="H822" t="str">
        <f>IF(lmsi_v1_v2_comparison[[#This Row],[score_change]]&gt;0, "v2 Higher","v2 Lower")</f>
        <v>v2 Higher</v>
      </c>
    </row>
    <row r="823" spans="1:8" x14ac:dyDescent="0.2">
      <c r="A823" t="s">
        <v>61</v>
      </c>
      <c r="B823" t="s">
        <v>15</v>
      </c>
      <c r="C823" t="s">
        <v>14</v>
      </c>
      <c r="D823">
        <v>29.34</v>
      </c>
      <c r="E823">
        <v>30.77</v>
      </c>
      <c r="F823">
        <v>1.43</v>
      </c>
      <c r="G823">
        <f>ABS(lmsi_v1_v2_comparison[[#This Row],[score_change]])</f>
        <v>1.43</v>
      </c>
      <c r="H823" t="str">
        <f>IF(lmsi_v1_v2_comparison[[#This Row],[score_change]]&gt;0, "v2 Higher","v2 Lower")</f>
        <v>v2 Higher</v>
      </c>
    </row>
    <row r="824" spans="1:8" x14ac:dyDescent="0.2">
      <c r="A824" t="s">
        <v>61</v>
      </c>
      <c r="B824" t="s">
        <v>16</v>
      </c>
      <c r="C824" t="s">
        <v>9</v>
      </c>
      <c r="D824">
        <v>29.89</v>
      </c>
      <c r="E824">
        <v>27.41</v>
      </c>
      <c r="F824">
        <v>-2.48</v>
      </c>
      <c r="G824">
        <f>ABS(lmsi_v1_v2_comparison[[#This Row],[score_change]])</f>
        <v>2.48</v>
      </c>
      <c r="H824" t="str">
        <f>IF(lmsi_v1_v2_comparison[[#This Row],[score_change]]&gt;0, "v2 Higher","v2 Lower")</f>
        <v>v2 Lower</v>
      </c>
    </row>
    <row r="825" spans="1:8" x14ac:dyDescent="0.2">
      <c r="A825" t="s">
        <v>61</v>
      </c>
      <c r="B825" t="s">
        <v>16</v>
      </c>
      <c r="C825" t="s">
        <v>10</v>
      </c>
      <c r="D825">
        <v>16.670000000000002</v>
      </c>
      <c r="E825">
        <v>17.690000000000001</v>
      </c>
      <c r="F825">
        <v>1.02</v>
      </c>
      <c r="G825">
        <f>ABS(lmsi_v1_v2_comparison[[#This Row],[score_change]])</f>
        <v>1.02</v>
      </c>
      <c r="H825" t="str">
        <f>IF(lmsi_v1_v2_comparison[[#This Row],[score_change]]&gt;0, "v2 Higher","v2 Lower")</f>
        <v>v2 Higher</v>
      </c>
    </row>
    <row r="826" spans="1:8" x14ac:dyDescent="0.2">
      <c r="A826" t="s">
        <v>61</v>
      </c>
      <c r="B826" t="s">
        <v>16</v>
      </c>
      <c r="C826" t="s">
        <v>11</v>
      </c>
      <c r="D826">
        <v>14.64</v>
      </c>
      <c r="E826">
        <v>14.07</v>
      </c>
      <c r="F826">
        <v>-0.56999999999999995</v>
      </c>
      <c r="G826">
        <f>ABS(lmsi_v1_v2_comparison[[#This Row],[score_change]])</f>
        <v>0.56999999999999995</v>
      </c>
      <c r="H826" t="str">
        <f>IF(lmsi_v1_v2_comparison[[#This Row],[score_change]]&gt;0, "v2 Higher","v2 Lower")</f>
        <v>v2 Lower</v>
      </c>
    </row>
    <row r="827" spans="1:8" x14ac:dyDescent="0.2">
      <c r="A827" t="s">
        <v>61</v>
      </c>
      <c r="B827" t="s">
        <v>16</v>
      </c>
      <c r="C827" t="s">
        <v>12</v>
      </c>
      <c r="D827">
        <v>19.43</v>
      </c>
      <c r="E827">
        <v>21.39</v>
      </c>
      <c r="F827">
        <v>1.96</v>
      </c>
      <c r="G827">
        <f>ABS(lmsi_v1_v2_comparison[[#This Row],[score_change]])</f>
        <v>1.96</v>
      </c>
      <c r="H827" t="str">
        <f>IF(lmsi_v1_v2_comparison[[#This Row],[score_change]]&gt;0, "v2 Higher","v2 Lower")</f>
        <v>v2 Higher</v>
      </c>
    </row>
    <row r="828" spans="1:8" x14ac:dyDescent="0.2">
      <c r="A828" t="s">
        <v>61</v>
      </c>
      <c r="B828" t="s">
        <v>16</v>
      </c>
      <c r="C828" t="s">
        <v>13</v>
      </c>
      <c r="D828">
        <v>14.91</v>
      </c>
      <c r="E828">
        <v>14.94</v>
      </c>
      <c r="F828">
        <v>0.03</v>
      </c>
      <c r="G828">
        <f>ABS(lmsi_v1_v2_comparison[[#This Row],[score_change]])</f>
        <v>0.03</v>
      </c>
      <c r="H828" t="str">
        <f>IF(lmsi_v1_v2_comparison[[#This Row],[score_change]]&gt;0, "v2 Higher","v2 Lower")</f>
        <v>v2 Higher</v>
      </c>
    </row>
    <row r="829" spans="1:8" x14ac:dyDescent="0.2">
      <c r="A829" t="s">
        <v>61</v>
      </c>
      <c r="B829" t="s">
        <v>16</v>
      </c>
      <c r="C829" t="s">
        <v>14</v>
      </c>
      <c r="D829">
        <v>20.63</v>
      </c>
      <c r="E829">
        <v>25.46</v>
      </c>
      <c r="F829">
        <v>4.83</v>
      </c>
      <c r="G829">
        <f>ABS(lmsi_v1_v2_comparison[[#This Row],[score_change]])</f>
        <v>4.83</v>
      </c>
      <c r="H829" t="str">
        <f>IF(lmsi_v1_v2_comparison[[#This Row],[score_change]]&gt;0, "v2 Higher","v2 Lower")</f>
        <v>v2 Higher</v>
      </c>
    </row>
    <row r="830" spans="1:8" x14ac:dyDescent="0.2">
      <c r="A830" t="s">
        <v>62</v>
      </c>
      <c r="B830" t="s">
        <v>8</v>
      </c>
      <c r="C830" t="s">
        <v>9</v>
      </c>
      <c r="D830">
        <v>34.42</v>
      </c>
      <c r="E830">
        <v>31.4</v>
      </c>
      <c r="F830">
        <v>-3.02</v>
      </c>
      <c r="G830">
        <f>ABS(lmsi_v1_v2_comparison[[#This Row],[score_change]])</f>
        <v>3.02</v>
      </c>
      <c r="H830" t="str">
        <f>IF(lmsi_v1_v2_comparison[[#This Row],[score_change]]&gt;0, "v2 Higher","v2 Lower")</f>
        <v>v2 Lower</v>
      </c>
    </row>
    <row r="831" spans="1:8" x14ac:dyDescent="0.2">
      <c r="A831" t="s">
        <v>62</v>
      </c>
      <c r="B831" t="s">
        <v>8</v>
      </c>
      <c r="C831" t="s">
        <v>10</v>
      </c>
      <c r="D831">
        <v>23.8</v>
      </c>
      <c r="E831">
        <v>23.65</v>
      </c>
      <c r="F831">
        <v>-0.15</v>
      </c>
      <c r="G831">
        <f>ABS(lmsi_v1_v2_comparison[[#This Row],[score_change]])</f>
        <v>0.15</v>
      </c>
      <c r="H831" t="str">
        <f>IF(lmsi_v1_v2_comparison[[#This Row],[score_change]]&gt;0, "v2 Higher","v2 Lower")</f>
        <v>v2 Lower</v>
      </c>
    </row>
    <row r="832" spans="1:8" x14ac:dyDescent="0.2">
      <c r="A832" t="s">
        <v>62</v>
      </c>
      <c r="B832" t="s">
        <v>8</v>
      </c>
      <c r="C832" t="s">
        <v>11</v>
      </c>
      <c r="D832">
        <v>12.32</v>
      </c>
      <c r="E832">
        <v>14.97</v>
      </c>
      <c r="F832">
        <v>2.65</v>
      </c>
      <c r="G832">
        <f>ABS(lmsi_v1_v2_comparison[[#This Row],[score_change]])</f>
        <v>2.65</v>
      </c>
      <c r="H832" t="str">
        <f>IF(lmsi_v1_v2_comparison[[#This Row],[score_change]]&gt;0, "v2 Higher","v2 Lower")</f>
        <v>v2 Higher</v>
      </c>
    </row>
    <row r="833" spans="1:8" x14ac:dyDescent="0.2">
      <c r="A833" t="s">
        <v>62</v>
      </c>
      <c r="B833" t="s">
        <v>8</v>
      </c>
      <c r="C833" t="s">
        <v>12</v>
      </c>
      <c r="D833">
        <v>20.3</v>
      </c>
      <c r="E833">
        <v>25.89</v>
      </c>
      <c r="F833">
        <v>5.59</v>
      </c>
      <c r="G833">
        <f>ABS(lmsi_v1_v2_comparison[[#This Row],[score_change]])</f>
        <v>5.59</v>
      </c>
      <c r="H833" t="str">
        <f>IF(lmsi_v1_v2_comparison[[#This Row],[score_change]]&gt;0, "v2 Higher","v2 Lower")</f>
        <v>v2 Higher</v>
      </c>
    </row>
    <row r="834" spans="1:8" x14ac:dyDescent="0.2">
      <c r="A834" t="s">
        <v>62</v>
      </c>
      <c r="B834" t="s">
        <v>8</v>
      </c>
      <c r="C834" t="s">
        <v>13</v>
      </c>
      <c r="D834">
        <v>18.62</v>
      </c>
      <c r="E834">
        <v>18.59</v>
      </c>
      <c r="F834">
        <v>-0.03</v>
      </c>
      <c r="G834">
        <f>ABS(lmsi_v1_v2_comparison[[#This Row],[score_change]])</f>
        <v>0.03</v>
      </c>
      <c r="H834" t="str">
        <f>IF(lmsi_v1_v2_comparison[[#This Row],[score_change]]&gt;0, "v2 Higher","v2 Lower")</f>
        <v>v2 Lower</v>
      </c>
    </row>
    <row r="835" spans="1:8" x14ac:dyDescent="0.2">
      <c r="A835" t="s">
        <v>62</v>
      </c>
      <c r="B835" t="s">
        <v>8</v>
      </c>
      <c r="C835" t="s">
        <v>14</v>
      </c>
      <c r="D835">
        <v>23.83</v>
      </c>
      <c r="E835">
        <v>25.13</v>
      </c>
      <c r="F835">
        <v>1.3</v>
      </c>
      <c r="G835">
        <f>ABS(lmsi_v1_v2_comparison[[#This Row],[score_change]])</f>
        <v>1.3</v>
      </c>
      <c r="H835" t="str">
        <f>IF(lmsi_v1_v2_comparison[[#This Row],[score_change]]&gt;0, "v2 Higher","v2 Lower")</f>
        <v>v2 Higher</v>
      </c>
    </row>
    <row r="836" spans="1:8" x14ac:dyDescent="0.2">
      <c r="A836" t="s">
        <v>62</v>
      </c>
      <c r="B836" t="s">
        <v>15</v>
      </c>
      <c r="C836" t="s">
        <v>9</v>
      </c>
      <c r="D836">
        <v>40.53</v>
      </c>
      <c r="E836">
        <v>36.67</v>
      </c>
      <c r="F836">
        <v>-3.86</v>
      </c>
      <c r="G836">
        <f>ABS(lmsi_v1_v2_comparison[[#This Row],[score_change]])</f>
        <v>3.86</v>
      </c>
      <c r="H836" t="str">
        <f>IF(lmsi_v1_v2_comparison[[#This Row],[score_change]]&gt;0, "v2 Higher","v2 Lower")</f>
        <v>v2 Lower</v>
      </c>
    </row>
    <row r="837" spans="1:8" x14ac:dyDescent="0.2">
      <c r="A837" t="s">
        <v>62</v>
      </c>
      <c r="B837" t="s">
        <v>15</v>
      </c>
      <c r="C837" t="s">
        <v>10</v>
      </c>
      <c r="D837">
        <v>30.8</v>
      </c>
      <c r="E837">
        <v>30.54</v>
      </c>
      <c r="F837">
        <v>-0.26</v>
      </c>
      <c r="G837">
        <f>ABS(lmsi_v1_v2_comparison[[#This Row],[score_change]])</f>
        <v>0.26</v>
      </c>
      <c r="H837" t="str">
        <f>IF(lmsi_v1_v2_comparison[[#This Row],[score_change]]&gt;0, "v2 Higher","v2 Lower")</f>
        <v>v2 Lower</v>
      </c>
    </row>
    <row r="838" spans="1:8" x14ac:dyDescent="0.2">
      <c r="A838" t="s">
        <v>62</v>
      </c>
      <c r="B838" t="s">
        <v>15</v>
      </c>
      <c r="C838" t="s">
        <v>11</v>
      </c>
      <c r="D838">
        <v>15.65</v>
      </c>
      <c r="E838">
        <v>17.22</v>
      </c>
      <c r="F838">
        <v>1.57</v>
      </c>
      <c r="G838">
        <f>ABS(lmsi_v1_v2_comparison[[#This Row],[score_change]])</f>
        <v>1.57</v>
      </c>
      <c r="H838" t="str">
        <f>IF(lmsi_v1_v2_comparison[[#This Row],[score_change]]&gt;0, "v2 Higher","v2 Lower")</f>
        <v>v2 Higher</v>
      </c>
    </row>
    <row r="839" spans="1:8" x14ac:dyDescent="0.2">
      <c r="A839" t="s">
        <v>62</v>
      </c>
      <c r="B839" t="s">
        <v>15</v>
      </c>
      <c r="C839" t="s">
        <v>12</v>
      </c>
      <c r="D839">
        <v>26.71</v>
      </c>
      <c r="E839">
        <v>32.43</v>
      </c>
      <c r="F839">
        <v>5.72</v>
      </c>
      <c r="G839">
        <f>ABS(lmsi_v1_v2_comparison[[#This Row],[score_change]])</f>
        <v>5.72</v>
      </c>
      <c r="H839" t="str">
        <f>IF(lmsi_v1_v2_comparison[[#This Row],[score_change]]&gt;0, "v2 Higher","v2 Lower")</f>
        <v>v2 Higher</v>
      </c>
    </row>
    <row r="840" spans="1:8" x14ac:dyDescent="0.2">
      <c r="A840" t="s">
        <v>62</v>
      </c>
      <c r="B840" t="s">
        <v>15</v>
      </c>
      <c r="C840" t="s">
        <v>13</v>
      </c>
      <c r="D840">
        <v>23.08</v>
      </c>
      <c r="E840">
        <v>23.99</v>
      </c>
      <c r="F840">
        <v>0.91</v>
      </c>
      <c r="G840">
        <f>ABS(lmsi_v1_v2_comparison[[#This Row],[score_change]])</f>
        <v>0.91</v>
      </c>
      <c r="H840" t="str">
        <f>IF(lmsi_v1_v2_comparison[[#This Row],[score_change]]&gt;0, "v2 Higher","v2 Lower")</f>
        <v>v2 Higher</v>
      </c>
    </row>
    <row r="841" spans="1:8" x14ac:dyDescent="0.2">
      <c r="A841" t="s">
        <v>62</v>
      </c>
      <c r="B841" t="s">
        <v>15</v>
      </c>
      <c r="C841" t="s">
        <v>14</v>
      </c>
      <c r="D841">
        <v>38.68</v>
      </c>
      <c r="E841">
        <v>41.04</v>
      </c>
      <c r="F841">
        <v>2.36</v>
      </c>
      <c r="G841">
        <f>ABS(lmsi_v1_v2_comparison[[#This Row],[score_change]])</f>
        <v>2.36</v>
      </c>
      <c r="H841" t="str">
        <f>IF(lmsi_v1_v2_comparison[[#This Row],[score_change]]&gt;0, "v2 Higher","v2 Lower")</f>
        <v>v2 Higher</v>
      </c>
    </row>
    <row r="842" spans="1:8" x14ac:dyDescent="0.2">
      <c r="A842" t="s">
        <v>62</v>
      </c>
      <c r="B842" t="s">
        <v>16</v>
      </c>
      <c r="C842" t="s">
        <v>9</v>
      </c>
      <c r="D842">
        <v>37.99</v>
      </c>
      <c r="E842">
        <v>35.93</v>
      </c>
      <c r="F842">
        <v>-2.06</v>
      </c>
      <c r="G842">
        <f>ABS(lmsi_v1_v2_comparison[[#This Row],[score_change]])</f>
        <v>2.06</v>
      </c>
      <c r="H842" t="str">
        <f>IF(lmsi_v1_v2_comparison[[#This Row],[score_change]]&gt;0, "v2 Higher","v2 Lower")</f>
        <v>v2 Lower</v>
      </c>
    </row>
    <row r="843" spans="1:8" x14ac:dyDescent="0.2">
      <c r="A843" t="s">
        <v>62</v>
      </c>
      <c r="B843" t="s">
        <v>16</v>
      </c>
      <c r="C843" t="s">
        <v>10</v>
      </c>
      <c r="D843">
        <v>25.23</v>
      </c>
      <c r="E843">
        <v>25.9</v>
      </c>
      <c r="F843">
        <v>0.67</v>
      </c>
      <c r="G843">
        <f>ABS(lmsi_v1_v2_comparison[[#This Row],[score_change]])</f>
        <v>0.67</v>
      </c>
      <c r="H843" t="str">
        <f>IF(lmsi_v1_v2_comparison[[#This Row],[score_change]]&gt;0, "v2 Higher","v2 Lower")</f>
        <v>v2 Higher</v>
      </c>
    </row>
    <row r="844" spans="1:8" x14ac:dyDescent="0.2">
      <c r="A844" t="s">
        <v>62</v>
      </c>
      <c r="B844" t="s">
        <v>16</v>
      </c>
      <c r="C844" t="s">
        <v>11</v>
      </c>
      <c r="D844">
        <v>13.59</v>
      </c>
      <c r="E844">
        <v>14.11</v>
      </c>
      <c r="F844">
        <v>0.52</v>
      </c>
      <c r="G844">
        <f>ABS(lmsi_v1_v2_comparison[[#This Row],[score_change]])</f>
        <v>0.52</v>
      </c>
      <c r="H844" t="str">
        <f>IF(lmsi_v1_v2_comparison[[#This Row],[score_change]]&gt;0, "v2 Higher","v2 Lower")</f>
        <v>v2 Higher</v>
      </c>
    </row>
    <row r="845" spans="1:8" x14ac:dyDescent="0.2">
      <c r="A845" t="s">
        <v>62</v>
      </c>
      <c r="B845" t="s">
        <v>16</v>
      </c>
      <c r="C845" t="s">
        <v>12</v>
      </c>
      <c r="D845">
        <v>23.03</v>
      </c>
      <c r="E845">
        <v>28.94</v>
      </c>
      <c r="F845">
        <v>5.91</v>
      </c>
      <c r="G845">
        <f>ABS(lmsi_v1_v2_comparison[[#This Row],[score_change]])</f>
        <v>5.91</v>
      </c>
      <c r="H845" t="str">
        <f>IF(lmsi_v1_v2_comparison[[#This Row],[score_change]]&gt;0, "v2 Higher","v2 Lower")</f>
        <v>v2 Higher</v>
      </c>
    </row>
    <row r="846" spans="1:8" x14ac:dyDescent="0.2">
      <c r="A846" t="s">
        <v>62</v>
      </c>
      <c r="B846" t="s">
        <v>16</v>
      </c>
      <c r="C846" t="s">
        <v>13</v>
      </c>
      <c r="D846">
        <v>18.53</v>
      </c>
      <c r="E846">
        <v>20.48</v>
      </c>
      <c r="F846">
        <v>1.95</v>
      </c>
      <c r="G846">
        <f>ABS(lmsi_v1_v2_comparison[[#This Row],[score_change]])</f>
        <v>1.95</v>
      </c>
      <c r="H846" t="str">
        <f>IF(lmsi_v1_v2_comparison[[#This Row],[score_change]]&gt;0, "v2 Higher","v2 Lower")</f>
        <v>v2 Higher</v>
      </c>
    </row>
    <row r="847" spans="1:8" x14ac:dyDescent="0.2">
      <c r="A847" t="s">
        <v>62</v>
      </c>
      <c r="B847" t="s">
        <v>16</v>
      </c>
      <c r="C847" t="s">
        <v>14</v>
      </c>
      <c r="D847">
        <v>27.6</v>
      </c>
      <c r="E847">
        <v>33.94</v>
      </c>
      <c r="F847">
        <v>6.34</v>
      </c>
      <c r="G847">
        <f>ABS(lmsi_v1_v2_comparison[[#This Row],[score_change]])</f>
        <v>6.34</v>
      </c>
      <c r="H847" t="str">
        <f>IF(lmsi_v1_v2_comparison[[#This Row],[score_change]]&gt;0, "v2 Higher","v2 Lower")</f>
        <v>v2 Higher</v>
      </c>
    </row>
    <row r="848" spans="1:8" x14ac:dyDescent="0.2">
      <c r="A848" t="s">
        <v>63</v>
      </c>
      <c r="B848" t="s">
        <v>8</v>
      </c>
      <c r="C848" t="s">
        <v>9</v>
      </c>
      <c r="D848">
        <v>40.81</v>
      </c>
      <c r="E848">
        <v>33.07</v>
      </c>
      <c r="F848">
        <v>-7.74</v>
      </c>
      <c r="G848">
        <f>ABS(lmsi_v1_v2_comparison[[#This Row],[score_change]])</f>
        <v>7.74</v>
      </c>
      <c r="H848" t="str">
        <f>IF(lmsi_v1_v2_comparison[[#This Row],[score_change]]&gt;0, "v2 Higher","v2 Lower")</f>
        <v>v2 Lower</v>
      </c>
    </row>
    <row r="849" spans="1:8" x14ac:dyDescent="0.2">
      <c r="A849" t="s">
        <v>63</v>
      </c>
      <c r="B849" t="s">
        <v>8</v>
      </c>
      <c r="C849" t="s">
        <v>10</v>
      </c>
      <c r="D849">
        <v>25.19</v>
      </c>
      <c r="E849">
        <v>24.93</v>
      </c>
      <c r="F849">
        <v>-0.26</v>
      </c>
      <c r="G849">
        <f>ABS(lmsi_v1_v2_comparison[[#This Row],[score_change]])</f>
        <v>0.26</v>
      </c>
      <c r="H849" t="str">
        <f>IF(lmsi_v1_v2_comparison[[#This Row],[score_change]]&gt;0, "v2 Higher","v2 Lower")</f>
        <v>v2 Lower</v>
      </c>
    </row>
    <row r="850" spans="1:8" x14ac:dyDescent="0.2">
      <c r="A850" t="s">
        <v>63</v>
      </c>
      <c r="B850" t="s">
        <v>8</v>
      </c>
      <c r="C850" t="s">
        <v>11</v>
      </c>
      <c r="D850">
        <v>14.22</v>
      </c>
      <c r="E850">
        <v>14.86</v>
      </c>
      <c r="F850">
        <v>0.64</v>
      </c>
      <c r="G850">
        <f>ABS(lmsi_v1_v2_comparison[[#This Row],[score_change]])</f>
        <v>0.64</v>
      </c>
      <c r="H850" t="str">
        <f>IF(lmsi_v1_v2_comparison[[#This Row],[score_change]]&gt;0, "v2 Higher","v2 Lower")</f>
        <v>v2 Higher</v>
      </c>
    </row>
    <row r="851" spans="1:8" x14ac:dyDescent="0.2">
      <c r="A851" t="s">
        <v>63</v>
      </c>
      <c r="B851" t="s">
        <v>8</v>
      </c>
      <c r="C851" t="s">
        <v>12</v>
      </c>
      <c r="D851">
        <v>22.01</v>
      </c>
      <c r="E851">
        <v>25.37</v>
      </c>
      <c r="F851">
        <v>3.36</v>
      </c>
      <c r="G851">
        <f>ABS(lmsi_v1_v2_comparison[[#This Row],[score_change]])</f>
        <v>3.36</v>
      </c>
      <c r="H851" t="str">
        <f>IF(lmsi_v1_v2_comparison[[#This Row],[score_change]]&gt;0, "v2 Higher","v2 Lower")</f>
        <v>v2 Higher</v>
      </c>
    </row>
    <row r="852" spans="1:8" x14ac:dyDescent="0.2">
      <c r="A852" t="s">
        <v>63</v>
      </c>
      <c r="B852" t="s">
        <v>8</v>
      </c>
      <c r="C852" t="s">
        <v>13</v>
      </c>
      <c r="D852">
        <v>22.04</v>
      </c>
      <c r="E852">
        <v>23.02</v>
      </c>
      <c r="F852">
        <v>0.98</v>
      </c>
      <c r="G852">
        <f>ABS(lmsi_v1_v2_comparison[[#This Row],[score_change]])</f>
        <v>0.98</v>
      </c>
      <c r="H852" t="str">
        <f>IF(lmsi_v1_v2_comparison[[#This Row],[score_change]]&gt;0, "v2 Higher","v2 Lower")</f>
        <v>v2 Higher</v>
      </c>
    </row>
    <row r="853" spans="1:8" x14ac:dyDescent="0.2">
      <c r="A853" t="s">
        <v>63</v>
      </c>
      <c r="B853" t="s">
        <v>8</v>
      </c>
      <c r="C853" t="s">
        <v>14</v>
      </c>
      <c r="D853">
        <v>31.12</v>
      </c>
      <c r="E853">
        <v>30.41</v>
      </c>
      <c r="F853">
        <v>-0.71</v>
      </c>
      <c r="G853">
        <f>ABS(lmsi_v1_v2_comparison[[#This Row],[score_change]])</f>
        <v>0.71</v>
      </c>
      <c r="H853" t="str">
        <f>IF(lmsi_v1_v2_comparison[[#This Row],[score_change]]&gt;0, "v2 Higher","v2 Lower")</f>
        <v>v2 Lower</v>
      </c>
    </row>
    <row r="854" spans="1:8" x14ac:dyDescent="0.2">
      <c r="A854" t="s">
        <v>63</v>
      </c>
      <c r="B854" t="s">
        <v>15</v>
      </c>
      <c r="C854" t="s">
        <v>9</v>
      </c>
      <c r="D854">
        <v>39.299999999999997</v>
      </c>
      <c r="E854">
        <v>33.619999999999997</v>
      </c>
      <c r="F854">
        <v>-5.68</v>
      </c>
      <c r="G854">
        <f>ABS(lmsi_v1_v2_comparison[[#This Row],[score_change]])</f>
        <v>5.68</v>
      </c>
      <c r="H854" t="str">
        <f>IF(lmsi_v1_v2_comparison[[#This Row],[score_change]]&gt;0, "v2 Higher","v2 Lower")</f>
        <v>v2 Lower</v>
      </c>
    </row>
    <row r="855" spans="1:8" x14ac:dyDescent="0.2">
      <c r="A855" t="s">
        <v>63</v>
      </c>
      <c r="B855" t="s">
        <v>15</v>
      </c>
      <c r="C855" t="s">
        <v>10</v>
      </c>
      <c r="D855">
        <v>28.71</v>
      </c>
      <c r="E855">
        <v>27.14</v>
      </c>
      <c r="F855">
        <v>-1.57</v>
      </c>
      <c r="G855">
        <f>ABS(lmsi_v1_v2_comparison[[#This Row],[score_change]])</f>
        <v>1.57</v>
      </c>
      <c r="H855" t="str">
        <f>IF(lmsi_v1_v2_comparison[[#This Row],[score_change]]&gt;0, "v2 Higher","v2 Lower")</f>
        <v>v2 Lower</v>
      </c>
    </row>
    <row r="856" spans="1:8" x14ac:dyDescent="0.2">
      <c r="A856" t="s">
        <v>63</v>
      </c>
      <c r="B856" t="s">
        <v>15</v>
      </c>
      <c r="C856" t="s">
        <v>11</v>
      </c>
      <c r="D856">
        <v>17.04</v>
      </c>
      <c r="E856">
        <v>20.49</v>
      </c>
      <c r="F856">
        <v>3.45</v>
      </c>
      <c r="G856">
        <f>ABS(lmsi_v1_v2_comparison[[#This Row],[score_change]])</f>
        <v>3.45</v>
      </c>
      <c r="H856" t="str">
        <f>IF(lmsi_v1_v2_comparison[[#This Row],[score_change]]&gt;0, "v2 Higher","v2 Lower")</f>
        <v>v2 Higher</v>
      </c>
    </row>
    <row r="857" spans="1:8" x14ac:dyDescent="0.2">
      <c r="A857" t="s">
        <v>63</v>
      </c>
      <c r="B857" t="s">
        <v>15</v>
      </c>
      <c r="C857" t="s">
        <v>12</v>
      </c>
      <c r="D857">
        <v>28.52</v>
      </c>
      <c r="E857">
        <v>33.29</v>
      </c>
      <c r="F857">
        <v>4.7699999999999996</v>
      </c>
      <c r="G857">
        <f>ABS(lmsi_v1_v2_comparison[[#This Row],[score_change]])</f>
        <v>4.7699999999999996</v>
      </c>
      <c r="H857" t="str">
        <f>IF(lmsi_v1_v2_comparison[[#This Row],[score_change]]&gt;0, "v2 Higher","v2 Lower")</f>
        <v>v2 Higher</v>
      </c>
    </row>
    <row r="858" spans="1:8" x14ac:dyDescent="0.2">
      <c r="A858" t="s">
        <v>63</v>
      </c>
      <c r="B858" t="s">
        <v>15</v>
      </c>
      <c r="C858" t="s">
        <v>13</v>
      </c>
      <c r="D858">
        <v>26.69</v>
      </c>
      <c r="E858">
        <v>26.34</v>
      </c>
      <c r="F858">
        <v>-0.35</v>
      </c>
      <c r="G858">
        <f>ABS(lmsi_v1_v2_comparison[[#This Row],[score_change]])</f>
        <v>0.35</v>
      </c>
      <c r="H858" t="str">
        <f>IF(lmsi_v1_v2_comparison[[#This Row],[score_change]]&gt;0, "v2 Higher","v2 Lower")</f>
        <v>v2 Lower</v>
      </c>
    </row>
    <row r="859" spans="1:8" x14ac:dyDescent="0.2">
      <c r="A859" t="s">
        <v>63</v>
      </c>
      <c r="B859" t="s">
        <v>15</v>
      </c>
      <c r="C859" t="s">
        <v>14</v>
      </c>
      <c r="D859">
        <v>47.83</v>
      </c>
      <c r="E859">
        <v>43.53</v>
      </c>
      <c r="F859">
        <v>-4.3</v>
      </c>
      <c r="G859">
        <f>ABS(lmsi_v1_v2_comparison[[#This Row],[score_change]])</f>
        <v>4.3</v>
      </c>
      <c r="H859" t="str">
        <f>IF(lmsi_v1_v2_comparison[[#This Row],[score_change]]&gt;0, "v2 Higher","v2 Lower")</f>
        <v>v2 Lower</v>
      </c>
    </row>
    <row r="860" spans="1:8" x14ac:dyDescent="0.2">
      <c r="A860" t="s">
        <v>63</v>
      </c>
      <c r="B860" t="s">
        <v>16</v>
      </c>
      <c r="C860" t="s">
        <v>9</v>
      </c>
      <c r="D860">
        <v>37.840000000000003</v>
      </c>
      <c r="E860">
        <v>32.99</v>
      </c>
      <c r="F860">
        <v>-4.8499999999999996</v>
      </c>
      <c r="G860">
        <f>ABS(lmsi_v1_v2_comparison[[#This Row],[score_change]])</f>
        <v>4.8499999999999996</v>
      </c>
      <c r="H860" t="str">
        <f>IF(lmsi_v1_v2_comparison[[#This Row],[score_change]]&gt;0, "v2 Higher","v2 Lower")</f>
        <v>v2 Lower</v>
      </c>
    </row>
    <row r="861" spans="1:8" x14ac:dyDescent="0.2">
      <c r="A861" t="s">
        <v>63</v>
      </c>
      <c r="B861" t="s">
        <v>16</v>
      </c>
      <c r="C861" t="s">
        <v>10</v>
      </c>
      <c r="D861">
        <v>24.6</v>
      </c>
      <c r="E861">
        <v>26.16</v>
      </c>
      <c r="F861">
        <v>1.56</v>
      </c>
      <c r="G861">
        <f>ABS(lmsi_v1_v2_comparison[[#This Row],[score_change]])</f>
        <v>1.56</v>
      </c>
      <c r="H861" t="str">
        <f>IF(lmsi_v1_v2_comparison[[#This Row],[score_change]]&gt;0, "v2 Higher","v2 Lower")</f>
        <v>v2 Higher</v>
      </c>
    </row>
    <row r="862" spans="1:8" x14ac:dyDescent="0.2">
      <c r="A862" t="s">
        <v>63</v>
      </c>
      <c r="B862" t="s">
        <v>16</v>
      </c>
      <c r="C862" t="s">
        <v>11</v>
      </c>
      <c r="D862">
        <v>15.32</v>
      </c>
      <c r="E862">
        <v>17.11</v>
      </c>
      <c r="F862">
        <v>1.79</v>
      </c>
      <c r="G862">
        <f>ABS(lmsi_v1_v2_comparison[[#This Row],[score_change]])</f>
        <v>1.79</v>
      </c>
      <c r="H862" t="str">
        <f>IF(lmsi_v1_v2_comparison[[#This Row],[score_change]]&gt;0, "v2 Higher","v2 Lower")</f>
        <v>v2 Higher</v>
      </c>
    </row>
    <row r="863" spans="1:8" x14ac:dyDescent="0.2">
      <c r="A863" t="s">
        <v>63</v>
      </c>
      <c r="B863" t="s">
        <v>16</v>
      </c>
      <c r="C863" t="s">
        <v>12</v>
      </c>
      <c r="D863">
        <v>24.28</v>
      </c>
      <c r="E863">
        <v>31.8</v>
      </c>
      <c r="F863">
        <v>7.52</v>
      </c>
      <c r="G863">
        <f>ABS(lmsi_v1_v2_comparison[[#This Row],[score_change]])</f>
        <v>7.52</v>
      </c>
      <c r="H863" t="str">
        <f>IF(lmsi_v1_v2_comparison[[#This Row],[score_change]]&gt;0, "v2 Higher","v2 Lower")</f>
        <v>v2 Higher</v>
      </c>
    </row>
    <row r="864" spans="1:8" x14ac:dyDescent="0.2">
      <c r="A864" t="s">
        <v>63</v>
      </c>
      <c r="B864" t="s">
        <v>16</v>
      </c>
      <c r="C864" t="s">
        <v>13</v>
      </c>
      <c r="D864">
        <v>21.42</v>
      </c>
      <c r="E864">
        <v>25.61</v>
      </c>
      <c r="F864">
        <v>4.1900000000000004</v>
      </c>
      <c r="G864">
        <f>ABS(lmsi_v1_v2_comparison[[#This Row],[score_change]])</f>
        <v>4.1900000000000004</v>
      </c>
      <c r="H864" t="str">
        <f>IF(lmsi_v1_v2_comparison[[#This Row],[score_change]]&gt;0, "v2 Higher","v2 Lower")</f>
        <v>v2 Higher</v>
      </c>
    </row>
    <row r="865" spans="1:8" x14ac:dyDescent="0.2">
      <c r="A865" t="s">
        <v>63</v>
      </c>
      <c r="B865" t="s">
        <v>16</v>
      </c>
      <c r="C865" t="s">
        <v>14</v>
      </c>
      <c r="D865">
        <v>35.11</v>
      </c>
      <c r="E865">
        <v>39.69</v>
      </c>
      <c r="F865">
        <v>4.58</v>
      </c>
      <c r="G865">
        <f>ABS(lmsi_v1_v2_comparison[[#This Row],[score_change]])</f>
        <v>4.58</v>
      </c>
      <c r="H865" t="str">
        <f>IF(lmsi_v1_v2_comparison[[#This Row],[score_change]]&gt;0, "v2 Higher","v2 Lower")</f>
        <v>v2 Higher</v>
      </c>
    </row>
    <row r="866" spans="1:8" x14ac:dyDescent="0.2">
      <c r="A866" t="s">
        <v>64</v>
      </c>
      <c r="B866" t="s">
        <v>8</v>
      </c>
      <c r="C866" t="s">
        <v>9</v>
      </c>
      <c r="D866">
        <v>61.1</v>
      </c>
      <c r="E866">
        <v>47.56</v>
      </c>
      <c r="F866">
        <v>-13.54</v>
      </c>
      <c r="G866">
        <f>ABS(lmsi_v1_v2_comparison[[#This Row],[score_change]])</f>
        <v>13.54</v>
      </c>
      <c r="H866" t="str">
        <f>IF(lmsi_v1_v2_comparison[[#This Row],[score_change]]&gt;0, "v2 Higher","v2 Lower")</f>
        <v>v2 Lower</v>
      </c>
    </row>
    <row r="867" spans="1:8" x14ac:dyDescent="0.2">
      <c r="A867" t="s">
        <v>64</v>
      </c>
      <c r="B867" t="s">
        <v>8</v>
      </c>
      <c r="C867" t="s">
        <v>10</v>
      </c>
      <c r="D867">
        <v>25.75</v>
      </c>
      <c r="E867">
        <v>26.53</v>
      </c>
      <c r="F867">
        <v>0.78</v>
      </c>
      <c r="G867">
        <f>ABS(lmsi_v1_v2_comparison[[#This Row],[score_change]])</f>
        <v>0.78</v>
      </c>
      <c r="H867" t="str">
        <f>IF(lmsi_v1_v2_comparison[[#This Row],[score_change]]&gt;0, "v2 Higher","v2 Lower")</f>
        <v>v2 Higher</v>
      </c>
    </row>
    <row r="868" spans="1:8" x14ac:dyDescent="0.2">
      <c r="A868" t="s">
        <v>64</v>
      </c>
      <c r="B868" t="s">
        <v>8</v>
      </c>
      <c r="C868" t="s">
        <v>11</v>
      </c>
      <c r="D868">
        <v>13.69</v>
      </c>
      <c r="E868">
        <v>14.52</v>
      </c>
      <c r="F868">
        <v>0.83</v>
      </c>
      <c r="G868">
        <f>ABS(lmsi_v1_v2_comparison[[#This Row],[score_change]])</f>
        <v>0.83</v>
      </c>
      <c r="H868" t="str">
        <f>IF(lmsi_v1_v2_comparison[[#This Row],[score_change]]&gt;0, "v2 Higher","v2 Lower")</f>
        <v>v2 Higher</v>
      </c>
    </row>
    <row r="869" spans="1:8" x14ac:dyDescent="0.2">
      <c r="A869" t="s">
        <v>64</v>
      </c>
      <c r="B869" t="s">
        <v>8</v>
      </c>
      <c r="C869" t="s">
        <v>12</v>
      </c>
      <c r="D869">
        <v>28.46</v>
      </c>
      <c r="E869">
        <v>31.23</v>
      </c>
      <c r="F869">
        <v>2.77</v>
      </c>
      <c r="G869">
        <f>ABS(lmsi_v1_v2_comparison[[#This Row],[score_change]])</f>
        <v>2.77</v>
      </c>
      <c r="H869" t="str">
        <f>IF(lmsi_v1_v2_comparison[[#This Row],[score_change]]&gt;0, "v2 Higher","v2 Lower")</f>
        <v>v2 Higher</v>
      </c>
    </row>
    <row r="870" spans="1:8" x14ac:dyDescent="0.2">
      <c r="A870" t="s">
        <v>64</v>
      </c>
      <c r="B870" t="s">
        <v>8</v>
      </c>
      <c r="C870" t="s">
        <v>13</v>
      </c>
      <c r="D870">
        <v>33.049999999999997</v>
      </c>
      <c r="E870">
        <v>31.31</v>
      </c>
      <c r="F870">
        <v>-1.74</v>
      </c>
      <c r="G870">
        <f>ABS(lmsi_v1_v2_comparison[[#This Row],[score_change]])</f>
        <v>1.74</v>
      </c>
      <c r="H870" t="str">
        <f>IF(lmsi_v1_v2_comparison[[#This Row],[score_change]]&gt;0, "v2 Higher","v2 Lower")</f>
        <v>v2 Lower</v>
      </c>
    </row>
    <row r="871" spans="1:8" x14ac:dyDescent="0.2">
      <c r="A871" t="s">
        <v>64</v>
      </c>
      <c r="B871" t="s">
        <v>8</v>
      </c>
      <c r="C871" t="s">
        <v>14</v>
      </c>
      <c r="D871">
        <v>26.68</v>
      </c>
      <c r="E871">
        <v>27.6</v>
      </c>
      <c r="F871">
        <v>0.92</v>
      </c>
      <c r="G871">
        <f>ABS(lmsi_v1_v2_comparison[[#This Row],[score_change]])</f>
        <v>0.92</v>
      </c>
      <c r="H871" t="str">
        <f>IF(lmsi_v1_v2_comparison[[#This Row],[score_change]]&gt;0, "v2 Higher","v2 Lower")</f>
        <v>v2 Higher</v>
      </c>
    </row>
    <row r="872" spans="1:8" x14ac:dyDescent="0.2">
      <c r="A872" t="s">
        <v>64</v>
      </c>
      <c r="B872" t="s">
        <v>15</v>
      </c>
      <c r="C872" t="s">
        <v>9</v>
      </c>
      <c r="D872">
        <v>67.42</v>
      </c>
      <c r="E872">
        <v>53.45</v>
      </c>
      <c r="F872">
        <v>-13.97</v>
      </c>
      <c r="G872">
        <f>ABS(lmsi_v1_v2_comparison[[#This Row],[score_change]])</f>
        <v>13.97</v>
      </c>
      <c r="H872" t="str">
        <f>IF(lmsi_v1_v2_comparison[[#This Row],[score_change]]&gt;0, "v2 Higher","v2 Lower")</f>
        <v>v2 Lower</v>
      </c>
    </row>
    <row r="873" spans="1:8" x14ac:dyDescent="0.2">
      <c r="A873" t="s">
        <v>64</v>
      </c>
      <c r="B873" t="s">
        <v>15</v>
      </c>
      <c r="C873" t="s">
        <v>10</v>
      </c>
      <c r="D873">
        <v>32.520000000000003</v>
      </c>
      <c r="E873">
        <v>35.090000000000003</v>
      </c>
      <c r="F873">
        <v>2.57</v>
      </c>
      <c r="G873">
        <f>ABS(lmsi_v1_v2_comparison[[#This Row],[score_change]])</f>
        <v>2.57</v>
      </c>
      <c r="H873" t="str">
        <f>IF(lmsi_v1_v2_comparison[[#This Row],[score_change]]&gt;0, "v2 Higher","v2 Lower")</f>
        <v>v2 Higher</v>
      </c>
    </row>
    <row r="874" spans="1:8" x14ac:dyDescent="0.2">
      <c r="A874" t="s">
        <v>64</v>
      </c>
      <c r="B874" t="s">
        <v>15</v>
      </c>
      <c r="C874" t="s">
        <v>11</v>
      </c>
      <c r="D874">
        <v>16.260000000000002</v>
      </c>
      <c r="E874">
        <v>22.73</v>
      </c>
      <c r="F874">
        <v>6.47</v>
      </c>
      <c r="G874">
        <f>ABS(lmsi_v1_v2_comparison[[#This Row],[score_change]])</f>
        <v>6.47</v>
      </c>
      <c r="H874" t="str">
        <f>IF(lmsi_v1_v2_comparison[[#This Row],[score_change]]&gt;0, "v2 Higher","v2 Lower")</f>
        <v>v2 Higher</v>
      </c>
    </row>
    <row r="875" spans="1:8" x14ac:dyDescent="0.2">
      <c r="A875" t="s">
        <v>64</v>
      </c>
      <c r="B875" t="s">
        <v>15</v>
      </c>
      <c r="C875" t="s">
        <v>12</v>
      </c>
      <c r="D875">
        <v>36.14</v>
      </c>
      <c r="E875">
        <v>47.19</v>
      </c>
      <c r="F875">
        <v>11.05</v>
      </c>
      <c r="G875">
        <f>ABS(lmsi_v1_v2_comparison[[#This Row],[score_change]])</f>
        <v>11.05</v>
      </c>
      <c r="H875" t="str">
        <f>IF(lmsi_v1_v2_comparison[[#This Row],[score_change]]&gt;0, "v2 Higher","v2 Lower")</f>
        <v>v2 Higher</v>
      </c>
    </row>
    <row r="876" spans="1:8" x14ac:dyDescent="0.2">
      <c r="A876" t="s">
        <v>64</v>
      </c>
      <c r="B876" t="s">
        <v>15</v>
      </c>
      <c r="C876" t="s">
        <v>13</v>
      </c>
      <c r="D876">
        <v>39.229999999999997</v>
      </c>
      <c r="E876">
        <v>41.54</v>
      </c>
      <c r="F876">
        <v>2.31</v>
      </c>
      <c r="G876">
        <f>ABS(lmsi_v1_v2_comparison[[#This Row],[score_change]])</f>
        <v>2.31</v>
      </c>
      <c r="H876" t="str">
        <f>IF(lmsi_v1_v2_comparison[[#This Row],[score_change]]&gt;0, "v2 Higher","v2 Lower")</f>
        <v>v2 Higher</v>
      </c>
    </row>
    <row r="877" spans="1:8" x14ac:dyDescent="0.2">
      <c r="A877" t="s">
        <v>64</v>
      </c>
      <c r="B877" t="s">
        <v>15</v>
      </c>
      <c r="C877" t="s">
        <v>14</v>
      </c>
      <c r="D877">
        <v>41.21</v>
      </c>
      <c r="E877">
        <v>45.29</v>
      </c>
      <c r="F877">
        <v>4.08</v>
      </c>
      <c r="G877">
        <f>ABS(lmsi_v1_v2_comparison[[#This Row],[score_change]])</f>
        <v>4.08</v>
      </c>
      <c r="H877" t="str">
        <f>IF(lmsi_v1_v2_comparison[[#This Row],[score_change]]&gt;0, "v2 Higher","v2 Lower")</f>
        <v>v2 Higher</v>
      </c>
    </row>
    <row r="878" spans="1:8" x14ac:dyDescent="0.2">
      <c r="A878" t="s">
        <v>64</v>
      </c>
      <c r="B878" t="s">
        <v>16</v>
      </c>
      <c r="C878" t="s">
        <v>9</v>
      </c>
      <c r="D878">
        <v>67.569999999999993</v>
      </c>
      <c r="E878">
        <v>51.41</v>
      </c>
      <c r="F878">
        <v>-16.16</v>
      </c>
      <c r="G878">
        <f>ABS(lmsi_v1_v2_comparison[[#This Row],[score_change]])</f>
        <v>16.16</v>
      </c>
      <c r="H878" t="str">
        <f>IF(lmsi_v1_v2_comparison[[#This Row],[score_change]]&gt;0, "v2 Higher","v2 Lower")</f>
        <v>v2 Lower</v>
      </c>
    </row>
    <row r="879" spans="1:8" x14ac:dyDescent="0.2">
      <c r="A879" t="s">
        <v>64</v>
      </c>
      <c r="B879" t="s">
        <v>16</v>
      </c>
      <c r="C879" t="s">
        <v>10</v>
      </c>
      <c r="D879">
        <v>26.74</v>
      </c>
      <c r="E879">
        <v>28.55</v>
      </c>
      <c r="F879">
        <v>1.81</v>
      </c>
      <c r="G879">
        <f>ABS(lmsi_v1_v2_comparison[[#This Row],[score_change]])</f>
        <v>1.81</v>
      </c>
      <c r="H879" t="str">
        <f>IF(lmsi_v1_v2_comparison[[#This Row],[score_change]]&gt;0, "v2 Higher","v2 Lower")</f>
        <v>v2 Higher</v>
      </c>
    </row>
    <row r="880" spans="1:8" x14ac:dyDescent="0.2">
      <c r="A880" t="s">
        <v>64</v>
      </c>
      <c r="B880" t="s">
        <v>16</v>
      </c>
      <c r="C880" t="s">
        <v>11</v>
      </c>
      <c r="D880">
        <v>14.62</v>
      </c>
      <c r="E880">
        <v>17.68</v>
      </c>
      <c r="F880">
        <v>3.06</v>
      </c>
      <c r="G880">
        <f>ABS(lmsi_v1_v2_comparison[[#This Row],[score_change]])</f>
        <v>3.06</v>
      </c>
      <c r="H880" t="str">
        <f>IF(lmsi_v1_v2_comparison[[#This Row],[score_change]]&gt;0, "v2 Higher","v2 Lower")</f>
        <v>v2 Higher</v>
      </c>
    </row>
    <row r="881" spans="1:8" x14ac:dyDescent="0.2">
      <c r="A881" t="s">
        <v>64</v>
      </c>
      <c r="B881" t="s">
        <v>16</v>
      </c>
      <c r="C881" t="s">
        <v>12</v>
      </c>
      <c r="D881">
        <v>31.05</v>
      </c>
      <c r="E881">
        <v>38.97</v>
      </c>
      <c r="F881">
        <v>7.92</v>
      </c>
      <c r="G881">
        <f>ABS(lmsi_v1_v2_comparison[[#This Row],[score_change]])</f>
        <v>7.92</v>
      </c>
      <c r="H881" t="str">
        <f>IF(lmsi_v1_v2_comparison[[#This Row],[score_change]]&gt;0, "v2 Higher","v2 Lower")</f>
        <v>v2 Higher</v>
      </c>
    </row>
    <row r="882" spans="1:8" x14ac:dyDescent="0.2">
      <c r="A882" t="s">
        <v>64</v>
      </c>
      <c r="B882" t="s">
        <v>16</v>
      </c>
      <c r="C882" t="s">
        <v>13</v>
      </c>
      <c r="D882">
        <v>30.71</v>
      </c>
      <c r="E882">
        <v>35.76</v>
      </c>
      <c r="F882">
        <v>5.05</v>
      </c>
      <c r="G882">
        <f>ABS(lmsi_v1_v2_comparison[[#This Row],[score_change]])</f>
        <v>5.05</v>
      </c>
      <c r="H882" t="str">
        <f>IF(lmsi_v1_v2_comparison[[#This Row],[score_change]]&gt;0, "v2 Higher","v2 Lower")</f>
        <v>v2 Higher</v>
      </c>
    </row>
    <row r="883" spans="1:8" x14ac:dyDescent="0.2">
      <c r="A883" t="s">
        <v>64</v>
      </c>
      <c r="B883" t="s">
        <v>16</v>
      </c>
      <c r="C883" t="s">
        <v>14</v>
      </c>
      <c r="D883">
        <v>30.38</v>
      </c>
      <c r="E883">
        <v>29.65</v>
      </c>
      <c r="F883">
        <v>-0.73</v>
      </c>
      <c r="G883">
        <f>ABS(lmsi_v1_v2_comparison[[#This Row],[score_change]])</f>
        <v>0.73</v>
      </c>
      <c r="H883" t="str">
        <f>IF(lmsi_v1_v2_comparison[[#This Row],[score_change]]&gt;0, "v2 Higher","v2 Lower")</f>
        <v>v2 Lower</v>
      </c>
    </row>
    <row r="884" spans="1:8" x14ac:dyDescent="0.2">
      <c r="A884" t="s">
        <v>65</v>
      </c>
      <c r="B884" t="s">
        <v>8</v>
      </c>
      <c r="C884" t="s">
        <v>9</v>
      </c>
      <c r="D884">
        <v>48.66</v>
      </c>
      <c r="E884">
        <v>41.89</v>
      </c>
      <c r="F884">
        <v>-6.77</v>
      </c>
      <c r="G884">
        <f>ABS(lmsi_v1_v2_comparison[[#This Row],[score_change]])</f>
        <v>6.77</v>
      </c>
      <c r="H884" t="str">
        <f>IF(lmsi_v1_v2_comparison[[#This Row],[score_change]]&gt;0, "v2 Higher","v2 Lower")</f>
        <v>v2 Lower</v>
      </c>
    </row>
    <row r="885" spans="1:8" x14ac:dyDescent="0.2">
      <c r="A885" t="s">
        <v>65</v>
      </c>
      <c r="B885" t="s">
        <v>8</v>
      </c>
      <c r="C885" t="s">
        <v>10</v>
      </c>
      <c r="D885">
        <v>28.12</v>
      </c>
      <c r="E885">
        <v>28.41</v>
      </c>
      <c r="F885">
        <v>0.28999999999999998</v>
      </c>
      <c r="G885">
        <f>ABS(lmsi_v1_v2_comparison[[#This Row],[score_change]])</f>
        <v>0.28999999999999998</v>
      </c>
      <c r="H885" t="str">
        <f>IF(lmsi_v1_v2_comparison[[#This Row],[score_change]]&gt;0, "v2 Higher","v2 Lower")</f>
        <v>v2 Higher</v>
      </c>
    </row>
    <row r="886" spans="1:8" x14ac:dyDescent="0.2">
      <c r="A886" t="s">
        <v>65</v>
      </c>
      <c r="B886" t="s">
        <v>8</v>
      </c>
      <c r="C886" t="s">
        <v>11</v>
      </c>
      <c r="D886">
        <v>15.42</v>
      </c>
      <c r="E886">
        <v>16.05</v>
      </c>
      <c r="F886">
        <v>0.63</v>
      </c>
      <c r="G886">
        <f>ABS(lmsi_v1_v2_comparison[[#This Row],[score_change]])</f>
        <v>0.63</v>
      </c>
      <c r="H886" t="str">
        <f>IF(lmsi_v1_v2_comparison[[#This Row],[score_change]]&gt;0, "v2 Higher","v2 Lower")</f>
        <v>v2 Higher</v>
      </c>
    </row>
    <row r="887" spans="1:8" x14ac:dyDescent="0.2">
      <c r="A887" t="s">
        <v>65</v>
      </c>
      <c r="B887" t="s">
        <v>8</v>
      </c>
      <c r="C887" t="s">
        <v>12</v>
      </c>
      <c r="D887">
        <v>24.69</v>
      </c>
      <c r="E887">
        <v>28.87</v>
      </c>
      <c r="F887">
        <v>4.18</v>
      </c>
      <c r="G887">
        <f>ABS(lmsi_v1_v2_comparison[[#This Row],[score_change]])</f>
        <v>4.18</v>
      </c>
      <c r="H887" t="str">
        <f>IF(lmsi_v1_v2_comparison[[#This Row],[score_change]]&gt;0, "v2 Higher","v2 Lower")</f>
        <v>v2 Higher</v>
      </c>
    </row>
    <row r="888" spans="1:8" x14ac:dyDescent="0.2">
      <c r="A888" t="s">
        <v>65</v>
      </c>
      <c r="B888" t="s">
        <v>8</v>
      </c>
      <c r="C888" t="s">
        <v>13</v>
      </c>
      <c r="D888">
        <v>35.64</v>
      </c>
      <c r="E888">
        <v>39.770000000000003</v>
      </c>
      <c r="F888">
        <v>4.13</v>
      </c>
      <c r="G888">
        <f>ABS(lmsi_v1_v2_comparison[[#This Row],[score_change]])</f>
        <v>4.13</v>
      </c>
      <c r="H888" t="str">
        <f>IF(lmsi_v1_v2_comparison[[#This Row],[score_change]]&gt;0, "v2 Higher","v2 Lower")</f>
        <v>v2 Higher</v>
      </c>
    </row>
    <row r="889" spans="1:8" x14ac:dyDescent="0.2">
      <c r="A889" t="s">
        <v>65</v>
      </c>
      <c r="B889" t="s">
        <v>8</v>
      </c>
      <c r="C889" t="s">
        <v>14</v>
      </c>
      <c r="D889">
        <v>30.32</v>
      </c>
      <c r="E889">
        <v>40.78</v>
      </c>
      <c r="F889">
        <v>10.46</v>
      </c>
      <c r="G889">
        <f>ABS(lmsi_v1_v2_comparison[[#This Row],[score_change]])</f>
        <v>10.46</v>
      </c>
      <c r="H889" t="str">
        <f>IF(lmsi_v1_v2_comparison[[#This Row],[score_change]]&gt;0, "v2 Higher","v2 Lower")</f>
        <v>v2 Higher</v>
      </c>
    </row>
    <row r="890" spans="1:8" x14ac:dyDescent="0.2">
      <c r="A890" t="s">
        <v>65</v>
      </c>
      <c r="B890" t="s">
        <v>15</v>
      </c>
      <c r="C890" t="s">
        <v>9</v>
      </c>
      <c r="D890">
        <v>56.66</v>
      </c>
      <c r="E890">
        <v>49.35</v>
      </c>
      <c r="F890">
        <v>-7.31</v>
      </c>
      <c r="G890">
        <f>ABS(lmsi_v1_v2_comparison[[#This Row],[score_change]])</f>
        <v>7.31</v>
      </c>
      <c r="H890" t="str">
        <f>IF(lmsi_v1_v2_comparison[[#This Row],[score_change]]&gt;0, "v2 Higher","v2 Lower")</f>
        <v>v2 Lower</v>
      </c>
    </row>
    <row r="891" spans="1:8" x14ac:dyDescent="0.2">
      <c r="A891" t="s">
        <v>65</v>
      </c>
      <c r="B891" t="s">
        <v>15</v>
      </c>
      <c r="C891" t="s">
        <v>10</v>
      </c>
      <c r="D891">
        <v>36.43</v>
      </c>
      <c r="E891">
        <v>35.69</v>
      </c>
      <c r="F891">
        <v>-0.74</v>
      </c>
      <c r="G891">
        <f>ABS(lmsi_v1_v2_comparison[[#This Row],[score_change]])</f>
        <v>0.74</v>
      </c>
      <c r="H891" t="str">
        <f>IF(lmsi_v1_v2_comparison[[#This Row],[score_change]]&gt;0, "v2 Higher","v2 Lower")</f>
        <v>v2 Lower</v>
      </c>
    </row>
    <row r="892" spans="1:8" x14ac:dyDescent="0.2">
      <c r="A892" t="s">
        <v>65</v>
      </c>
      <c r="B892" t="s">
        <v>15</v>
      </c>
      <c r="C892" t="s">
        <v>11</v>
      </c>
      <c r="D892">
        <v>17.61</v>
      </c>
      <c r="E892">
        <v>17.5</v>
      </c>
      <c r="F892">
        <v>-0.11</v>
      </c>
      <c r="G892">
        <f>ABS(lmsi_v1_v2_comparison[[#This Row],[score_change]])</f>
        <v>0.11</v>
      </c>
      <c r="H892" t="str">
        <f>IF(lmsi_v1_v2_comparison[[#This Row],[score_change]]&gt;0, "v2 Higher","v2 Lower")</f>
        <v>v2 Lower</v>
      </c>
    </row>
    <row r="893" spans="1:8" x14ac:dyDescent="0.2">
      <c r="A893" t="s">
        <v>65</v>
      </c>
      <c r="B893" t="s">
        <v>15</v>
      </c>
      <c r="C893" t="s">
        <v>12</v>
      </c>
      <c r="D893">
        <v>31.09</v>
      </c>
      <c r="E893">
        <v>38.97</v>
      </c>
      <c r="F893">
        <v>7.88</v>
      </c>
      <c r="G893">
        <f>ABS(lmsi_v1_v2_comparison[[#This Row],[score_change]])</f>
        <v>7.88</v>
      </c>
      <c r="H893" t="str">
        <f>IF(lmsi_v1_v2_comparison[[#This Row],[score_change]]&gt;0, "v2 Higher","v2 Lower")</f>
        <v>v2 Higher</v>
      </c>
    </row>
    <row r="894" spans="1:8" x14ac:dyDescent="0.2">
      <c r="A894" t="s">
        <v>65</v>
      </c>
      <c r="B894" t="s">
        <v>15</v>
      </c>
      <c r="C894" t="s">
        <v>13</v>
      </c>
      <c r="D894">
        <v>40.93</v>
      </c>
      <c r="E894">
        <v>39.03</v>
      </c>
      <c r="F894">
        <v>-1.9</v>
      </c>
      <c r="G894">
        <f>ABS(lmsi_v1_v2_comparison[[#This Row],[score_change]])</f>
        <v>1.9</v>
      </c>
      <c r="H894" t="str">
        <f>IF(lmsi_v1_v2_comparison[[#This Row],[score_change]]&gt;0, "v2 Higher","v2 Lower")</f>
        <v>v2 Lower</v>
      </c>
    </row>
    <row r="895" spans="1:8" x14ac:dyDescent="0.2">
      <c r="A895" t="s">
        <v>65</v>
      </c>
      <c r="B895" t="s">
        <v>15</v>
      </c>
      <c r="C895" t="s">
        <v>14</v>
      </c>
      <c r="D895">
        <v>45.92</v>
      </c>
      <c r="E895">
        <v>54.55</v>
      </c>
      <c r="F895">
        <v>8.6300000000000008</v>
      </c>
      <c r="G895">
        <f>ABS(lmsi_v1_v2_comparison[[#This Row],[score_change]])</f>
        <v>8.6300000000000008</v>
      </c>
      <c r="H895" t="str">
        <f>IF(lmsi_v1_v2_comparison[[#This Row],[score_change]]&gt;0, "v2 Higher","v2 Lower")</f>
        <v>v2 Higher</v>
      </c>
    </row>
    <row r="896" spans="1:8" x14ac:dyDescent="0.2">
      <c r="A896" t="s">
        <v>65</v>
      </c>
      <c r="B896" t="s">
        <v>16</v>
      </c>
      <c r="C896" t="s">
        <v>9</v>
      </c>
      <c r="D896">
        <v>57.48</v>
      </c>
      <c r="E896">
        <v>48.45</v>
      </c>
      <c r="F896">
        <v>-9.0299999999999994</v>
      </c>
      <c r="G896">
        <f>ABS(lmsi_v1_v2_comparison[[#This Row],[score_change]])</f>
        <v>9.0299999999999994</v>
      </c>
      <c r="H896" t="str">
        <f>IF(lmsi_v1_v2_comparison[[#This Row],[score_change]]&gt;0, "v2 Higher","v2 Lower")</f>
        <v>v2 Lower</v>
      </c>
    </row>
    <row r="897" spans="1:8" x14ac:dyDescent="0.2">
      <c r="A897" t="s">
        <v>65</v>
      </c>
      <c r="B897" t="s">
        <v>16</v>
      </c>
      <c r="C897" t="s">
        <v>10</v>
      </c>
      <c r="D897">
        <v>31.1</v>
      </c>
      <c r="E897">
        <v>34.409999999999997</v>
      </c>
      <c r="F897">
        <v>3.31</v>
      </c>
      <c r="G897">
        <f>ABS(lmsi_v1_v2_comparison[[#This Row],[score_change]])</f>
        <v>3.31</v>
      </c>
      <c r="H897" t="str">
        <f>IF(lmsi_v1_v2_comparison[[#This Row],[score_change]]&gt;0, "v2 Higher","v2 Lower")</f>
        <v>v2 Higher</v>
      </c>
    </row>
    <row r="898" spans="1:8" x14ac:dyDescent="0.2">
      <c r="A898" t="s">
        <v>65</v>
      </c>
      <c r="B898" t="s">
        <v>16</v>
      </c>
      <c r="C898" t="s">
        <v>11</v>
      </c>
      <c r="D898">
        <v>15.91</v>
      </c>
      <c r="E898">
        <v>16.55</v>
      </c>
      <c r="F898">
        <v>0.64</v>
      </c>
      <c r="G898">
        <f>ABS(lmsi_v1_v2_comparison[[#This Row],[score_change]])</f>
        <v>0.64</v>
      </c>
      <c r="H898" t="str">
        <f>IF(lmsi_v1_v2_comparison[[#This Row],[score_change]]&gt;0, "v2 Higher","v2 Lower")</f>
        <v>v2 Higher</v>
      </c>
    </row>
    <row r="899" spans="1:8" x14ac:dyDescent="0.2">
      <c r="A899" t="s">
        <v>65</v>
      </c>
      <c r="B899" t="s">
        <v>16</v>
      </c>
      <c r="C899" t="s">
        <v>12</v>
      </c>
      <c r="D899">
        <v>27.86</v>
      </c>
      <c r="E899">
        <v>32.33</v>
      </c>
      <c r="F899">
        <v>4.47</v>
      </c>
      <c r="G899">
        <f>ABS(lmsi_v1_v2_comparison[[#This Row],[score_change]])</f>
        <v>4.47</v>
      </c>
      <c r="H899" t="str">
        <f>IF(lmsi_v1_v2_comparison[[#This Row],[score_change]]&gt;0, "v2 Higher","v2 Lower")</f>
        <v>v2 Higher</v>
      </c>
    </row>
    <row r="900" spans="1:8" x14ac:dyDescent="0.2">
      <c r="A900" t="s">
        <v>65</v>
      </c>
      <c r="B900" t="s">
        <v>16</v>
      </c>
      <c r="C900" t="s">
        <v>13</v>
      </c>
      <c r="D900">
        <v>33.21</v>
      </c>
      <c r="E900">
        <v>33.22</v>
      </c>
      <c r="F900">
        <v>0.01</v>
      </c>
      <c r="G900">
        <f>ABS(lmsi_v1_v2_comparison[[#This Row],[score_change]])</f>
        <v>0.01</v>
      </c>
      <c r="H900" t="str">
        <f>IF(lmsi_v1_v2_comparison[[#This Row],[score_change]]&gt;0, "v2 Higher","v2 Lower")</f>
        <v>v2 Higher</v>
      </c>
    </row>
    <row r="901" spans="1:8" x14ac:dyDescent="0.2">
      <c r="A901" t="s">
        <v>65</v>
      </c>
      <c r="B901" t="s">
        <v>16</v>
      </c>
      <c r="C901" t="s">
        <v>14</v>
      </c>
      <c r="D901">
        <v>32.14</v>
      </c>
      <c r="E901">
        <v>32.61</v>
      </c>
      <c r="F901">
        <v>0.47</v>
      </c>
      <c r="G901">
        <f>ABS(lmsi_v1_v2_comparison[[#This Row],[score_change]])</f>
        <v>0.47</v>
      </c>
      <c r="H901" t="str">
        <f>IF(lmsi_v1_v2_comparison[[#This Row],[score_change]]&gt;0, "v2 Higher","v2 Lower")</f>
        <v>v2 Higher</v>
      </c>
    </row>
    <row r="902" spans="1:8" x14ac:dyDescent="0.2">
      <c r="A902" t="s">
        <v>66</v>
      </c>
      <c r="B902" t="s">
        <v>8</v>
      </c>
      <c r="C902" t="s">
        <v>9</v>
      </c>
      <c r="D902">
        <v>50.49</v>
      </c>
      <c r="E902">
        <v>42.98</v>
      </c>
      <c r="F902">
        <v>-7.51</v>
      </c>
      <c r="G902">
        <f>ABS(lmsi_v1_v2_comparison[[#This Row],[score_change]])</f>
        <v>7.51</v>
      </c>
      <c r="H902" t="str">
        <f>IF(lmsi_v1_v2_comparison[[#This Row],[score_change]]&gt;0, "v2 Higher","v2 Lower")</f>
        <v>v2 Lower</v>
      </c>
    </row>
    <row r="903" spans="1:8" x14ac:dyDescent="0.2">
      <c r="A903" t="s">
        <v>66</v>
      </c>
      <c r="B903" t="s">
        <v>8</v>
      </c>
      <c r="C903" t="s">
        <v>10</v>
      </c>
      <c r="D903">
        <v>37.29</v>
      </c>
      <c r="E903">
        <v>36.22</v>
      </c>
      <c r="F903">
        <v>-1.07</v>
      </c>
      <c r="G903">
        <f>ABS(lmsi_v1_v2_comparison[[#This Row],[score_change]])</f>
        <v>1.07</v>
      </c>
      <c r="H903" t="str">
        <f>IF(lmsi_v1_v2_comparison[[#This Row],[score_change]]&gt;0, "v2 Higher","v2 Lower")</f>
        <v>v2 Lower</v>
      </c>
    </row>
    <row r="904" spans="1:8" x14ac:dyDescent="0.2">
      <c r="A904" t="s">
        <v>66</v>
      </c>
      <c r="B904" t="s">
        <v>8</v>
      </c>
      <c r="C904" t="s">
        <v>11</v>
      </c>
      <c r="D904">
        <v>16.510000000000002</v>
      </c>
      <c r="E904">
        <v>17.27</v>
      </c>
      <c r="F904">
        <v>0.76</v>
      </c>
      <c r="G904">
        <f>ABS(lmsi_v1_v2_comparison[[#This Row],[score_change]])</f>
        <v>0.76</v>
      </c>
      <c r="H904" t="str">
        <f>IF(lmsi_v1_v2_comparison[[#This Row],[score_change]]&gt;0, "v2 Higher","v2 Lower")</f>
        <v>v2 Higher</v>
      </c>
    </row>
    <row r="905" spans="1:8" x14ac:dyDescent="0.2">
      <c r="A905" t="s">
        <v>66</v>
      </c>
      <c r="B905" t="s">
        <v>8</v>
      </c>
      <c r="C905" t="s">
        <v>12</v>
      </c>
      <c r="D905">
        <v>29.4</v>
      </c>
      <c r="E905">
        <v>32.46</v>
      </c>
      <c r="F905">
        <v>3.06</v>
      </c>
      <c r="G905">
        <f>ABS(lmsi_v1_v2_comparison[[#This Row],[score_change]])</f>
        <v>3.06</v>
      </c>
      <c r="H905" t="str">
        <f>IF(lmsi_v1_v2_comparison[[#This Row],[score_change]]&gt;0, "v2 Higher","v2 Lower")</f>
        <v>v2 Higher</v>
      </c>
    </row>
    <row r="906" spans="1:8" x14ac:dyDescent="0.2">
      <c r="A906" t="s">
        <v>66</v>
      </c>
      <c r="B906" t="s">
        <v>8</v>
      </c>
      <c r="C906" t="s">
        <v>13</v>
      </c>
      <c r="D906">
        <v>36.909999999999997</v>
      </c>
      <c r="E906">
        <v>34.520000000000003</v>
      </c>
      <c r="F906">
        <v>-2.39</v>
      </c>
      <c r="G906">
        <f>ABS(lmsi_v1_v2_comparison[[#This Row],[score_change]])</f>
        <v>2.39</v>
      </c>
      <c r="H906" t="str">
        <f>IF(lmsi_v1_v2_comparison[[#This Row],[score_change]]&gt;0, "v2 Higher","v2 Lower")</f>
        <v>v2 Lower</v>
      </c>
    </row>
    <row r="907" spans="1:8" x14ac:dyDescent="0.2">
      <c r="A907" t="s">
        <v>66</v>
      </c>
      <c r="B907" t="s">
        <v>8</v>
      </c>
      <c r="C907" t="s">
        <v>14</v>
      </c>
      <c r="D907">
        <v>31.19</v>
      </c>
      <c r="E907">
        <v>33.39</v>
      </c>
      <c r="F907">
        <v>2.2000000000000002</v>
      </c>
      <c r="G907">
        <f>ABS(lmsi_v1_v2_comparison[[#This Row],[score_change]])</f>
        <v>2.2000000000000002</v>
      </c>
      <c r="H907" t="str">
        <f>IF(lmsi_v1_v2_comparison[[#This Row],[score_change]]&gt;0, "v2 Higher","v2 Lower")</f>
        <v>v2 Higher</v>
      </c>
    </row>
    <row r="908" spans="1:8" x14ac:dyDescent="0.2">
      <c r="A908" t="s">
        <v>66</v>
      </c>
      <c r="B908" t="s">
        <v>15</v>
      </c>
      <c r="C908" t="s">
        <v>9</v>
      </c>
      <c r="D908">
        <v>59.82</v>
      </c>
      <c r="E908">
        <v>50.07</v>
      </c>
      <c r="F908">
        <v>-9.75</v>
      </c>
      <c r="G908">
        <f>ABS(lmsi_v1_v2_comparison[[#This Row],[score_change]])</f>
        <v>9.75</v>
      </c>
      <c r="H908" t="str">
        <f>IF(lmsi_v1_v2_comparison[[#This Row],[score_change]]&gt;0, "v2 Higher","v2 Lower")</f>
        <v>v2 Lower</v>
      </c>
    </row>
    <row r="909" spans="1:8" x14ac:dyDescent="0.2">
      <c r="A909" t="s">
        <v>66</v>
      </c>
      <c r="B909" t="s">
        <v>15</v>
      </c>
      <c r="C909" t="s">
        <v>10</v>
      </c>
      <c r="D909">
        <v>48.8</v>
      </c>
      <c r="E909">
        <v>45.64</v>
      </c>
      <c r="F909">
        <v>-3.16</v>
      </c>
      <c r="G909">
        <f>ABS(lmsi_v1_v2_comparison[[#This Row],[score_change]])</f>
        <v>3.16</v>
      </c>
      <c r="H909" t="str">
        <f>IF(lmsi_v1_v2_comparison[[#This Row],[score_change]]&gt;0, "v2 Higher","v2 Lower")</f>
        <v>v2 Lower</v>
      </c>
    </row>
    <row r="910" spans="1:8" x14ac:dyDescent="0.2">
      <c r="A910" t="s">
        <v>66</v>
      </c>
      <c r="B910" t="s">
        <v>15</v>
      </c>
      <c r="C910" t="s">
        <v>11</v>
      </c>
      <c r="D910">
        <v>18.760000000000002</v>
      </c>
      <c r="E910">
        <v>21.66</v>
      </c>
      <c r="F910">
        <v>2.9</v>
      </c>
      <c r="G910">
        <f>ABS(lmsi_v1_v2_comparison[[#This Row],[score_change]])</f>
        <v>2.9</v>
      </c>
      <c r="H910" t="str">
        <f>IF(lmsi_v1_v2_comparison[[#This Row],[score_change]]&gt;0, "v2 Higher","v2 Lower")</f>
        <v>v2 Higher</v>
      </c>
    </row>
    <row r="911" spans="1:8" x14ac:dyDescent="0.2">
      <c r="A911" t="s">
        <v>66</v>
      </c>
      <c r="B911" t="s">
        <v>15</v>
      </c>
      <c r="C911" t="s">
        <v>12</v>
      </c>
      <c r="D911">
        <v>34.299999999999997</v>
      </c>
      <c r="E911">
        <v>45.59</v>
      </c>
      <c r="F911">
        <v>11.29</v>
      </c>
      <c r="G911">
        <f>ABS(lmsi_v1_v2_comparison[[#This Row],[score_change]])</f>
        <v>11.29</v>
      </c>
      <c r="H911" t="str">
        <f>IF(lmsi_v1_v2_comparison[[#This Row],[score_change]]&gt;0, "v2 Higher","v2 Lower")</f>
        <v>v2 Higher</v>
      </c>
    </row>
    <row r="912" spans="1:8" x14ac:dyDescent="0.2">
      <c r="A912" t="s">
        <v>66</v>
      </c>
      <c r="B912" t="s">
        <v>15</v>
      </c>
      <c r="C912" t="s">
        <v>13</v>
      </c>
      <c r="D912">
        <v>46</v>
      </c>
      <c r="E912">
        <v>41.27</v>
      </c>
      <c r="F912">
        <v>-4.7300000000000004</v>
      </c>
      <c r="G912">
        <f>ABS(lmsi_v1_v2_comparison[[#This Row],[score_change]])</f>
        <v>4.7300000000000004</v>
      </c>
      <c r="H912" t="str">
        <f>IF(lmsi_v1_v2_comparison[[#This Row],[score_change]]&gt;0, "v2 Higher","v2 Lower")</f>
        <v>v2 Lower</v>
      </c>
    </row>
    <row r="913" spans="1:8" x14ac:dyDescent="0.2">
      <c r="A913" t="s">
        <v>66</v>
      </c>
      <c r="B913" t="s">
        <v>15</v>
      </c>
      <c r="C913" t="s">
        <v>14</v>
      </c>
      <c r="D913">
        <v>49.01</v>
      </c>
      <c r="E913">
        <v>57.75</v>
      </c>
      <c r="F913">
        <v>8.74</v>
      </c>
      <c r="G913">
        <f>ABS(lmsi_v1_v2_comparison[[#This Row],[score_change]])</f>
        <v>8.74</v>
      </c>
      <c r="H913" t="str">
        <f>IF(lmsi_v1_v2_comparison[[#This Row],[score_change]]&gt;0, "v2 Higher","v2 Lower")</f>
        <v>v2 Higher</v>
      </c>
    </row>
    <row r="914" spans="1:8" x14ac:dyDescent="0.2">
      <c r="A914" t="s">
        <v>66</v>
      </c>
      <c r="B914" t="s">
        <v>16</v>
      </c>
      <c r="C914" t="s">
        <v>9</v>
      </c>
      <c r="D914">
        <v>57.33</v>
      </c>
      <c r="E914">
        <v>50.89</v>
      </c>
      <c r="F914">
        <v>-6.44</v>
      </c>
      <c r="G914">
        <f>ABS(lmsi_v1_v2_comparison[[#This Row],[score_change]])</f>
        <v>6.44</v>
      </c>
      <c r="H914" t="str">
        <f>IF(lmsi_v1_v2_comparison[[#This Row],[score_change]]&gt;0, "v2 Higher","v2 Lower")</f>
        <v>v2 Lower</v>
      </c>
    </row>
    <row r="915" spans="1:8" x14ac:dyDescent="0.2">
      <c r="A915" t="s">
        <v>66</v>
      </c>
      <c r="B915" t="s">
        <v>16</v>
      </c>
      <c r="C915" t="s">
        <v>10</v>
      </c>
      <c r="D915">
        <v>39.799999999999997</v>
      </c>
      <c r="E915">
        <v>41.78</v>
      </c>
      <c r="F915">
        <v>1.98</v>
      </c>
      <c r="G915">
        <f>ABS(lmsi_v1_v2_comparison[[#This Row],[score_change]])</f>
        <v>1.98</v>
      </c>
      <c r="H915" t="str">
        <f>IF(lmsi_v1_v2_comparison[[#This Row],[score_change]]&gt;0, "v2 Higher","v2 Lower")</f>
        <v>v2 Higher</v>
      </c>
    </row>
    <row r="916" spans="1:8" x14ac:dyDescent="0.2">
      <c r="A916" t="s">
        <v>66</v>
      </c>
      <c r="B916" t="s">
        <v>16</v>
      </c>
      <c r="C916" t="s">
        <v>11</v>
      </c>
      <c r="D916">
        <v>17.309999999999999</v>
      </c>
      <c r="E916">
        <v>23.2</v>
      </c>
      <c r="F916">
        <v>5.89</v>
      </c>
      <c r="G916">
        <f>ABS(lmsi_v1_v2_comparison[[#This Row],[score_change]])</f>
        <v>5.89</v>
      </c>
      <c r="H916" t="str">
        <f>IF(lmsi_v1_v2_comparison[[#This Row],[score_change]]&gt;0, "v2 Higher","v2 Lower")</f>
        <v>v2 Higher</v>
      </c>
    </row>
    <row r="917" spans="1:8" x14ac:dyDescent="0.2">
      <c r="A917" t="s">
        <v>66</v>
      </c>
      <c r="B917" t="s">
        <v>16</v>
      </c>
      <c r="C917" t="s">
        <v>12</v>
      </c>
      <c r="D917">
        <v>32.619999999999997</v>
      </c>
      <c r="E917">
        <v>34.11</v>
      </c>
      <c r="F917">
        <v>1.49</v>
      </c>
      <c r="G917">
        <f>ABS(lmsi_v1_v2_comparison[[#This Row],[score_change]])</f>
        <v>1.49</v>
      </c>
      <c r="H917" t="str">
        <f>IF(lmsi_v1_v2_comparison[[#This Row],[score_change]]&gt;0, "v2 Higher","v2 Lower")</f>
        <v>v2 Higher</v>
      </c>
    </row>
    <row r="918" spans="1:8" x14ac:dyDescent="0.2">
      <c r="A918" t="s">
        <v>66</v>
      </c>
      <c r="B918" t="s">
        <v>16</v>
      </c>
      <c r="C918" t="s">
        <v>13</v>
      </c>
      <c r="D918">
        <v>36.6</v>
      </c>
      <c r="E918">
        <v>34.76</v>
      </c>
      <c r="F918">
        <v>-1.84</v>
      </c>
      <c r="G918">
        <f>ABS(lmsi_v1_v2_comparison[[#This Row],[score_change]])</f>
        <v>1.84</v>
      </c>
      <c r="H918" t="str">
        <f>IF(lmsi_v1_v2_comparison[[#This Row],[score_change]]&gt;0, "v2 Higher","v2 Lower")</f>
        <v>v2 Lower</v>
      </c>
    </row>
    <row r="919" spans="1:8" x14ac:dyDescent="0.2">
      <c r="A919" t="s">
        <v>66</v>
      </c>
      <c r="B919" t="s">
        <v>16</v>
      </c>
      <c r="C919" t="s">
        <v>14</v>
      </c>
      <c r="D919">
        <v>34.94</v>
      </c>
      <c r="E919">
        <v>44.61</v>
      </c>
      <c r="F919">
        <v>9.67</v>
      </c>
      <c r="G919">
        <f>ABS(lmsi_v1_v2_comparison[[#This Row],[score_change]])</f>
        <v>9.67</v>
      </c>
      <c r="H919" t="str">
        <f>IF(lmsi_v1_v2_comparison[[#This Row],[score_change]]&gt;0, "v2 Higher","v2 Lower")</f>
        <v>v2 Higher</v>
      </c>
    </row>
    <row r="920" spans="1:8" x14ac:dyDescent="0.2">
      <c r="A920" t="s">
        <v>67</v>
      </c>
      <c r="B920" t="s">
        <v>8</v>
      </c>
      <c r="C920" t="s">
        <v>9</v>
      </c>
      <c r="D920">
        <v>58.82</v>
      </c>
      <c r="E920">
        <v>47.86</v>
      </c>
      <c r="F920">
        <v>-10.96</v>
      </c>
      <c r="G920">
        <f>ABS(lmsi_v1_v2_comparison[[#This Row],[score_change]])</f>
        <v>10.96</v>
      </c>
      <c r="H920" t="str">
        <f>IF(lmsi_v1_v2_comparison[[#This Row],[score_change]]&gt;0, "v2 Higher","v2 Lower")</f>
        <v>v2 Lower</v>
      </c>
    </row>
    <row r="921" spans="1:8" x14ac:dyDescent="0.2">
      <c r="A921" t="s">
        <v>67</v>
      </c>
      <c r="B921" t="s">
        <v>8</v>
      </c>
      <c r="C921" t="s">
        <v>10</v>
      </c>
      <c r="D921">
        <v>33.11</v>
      </c>
      <c r="E921">
        <v>32.159999999999997</v>
      </c>
      <c r="F921">
        <v>-0.95</v>
      </c>
      <c r="G921">
        <f>ABS(lmsi_v1_v2_comparison[[#This Row],[score_change]])</f>
        <v>0.95</v>
      </c>
      <c r="H921" t="str">
        <f>IF(lmsi_v1_v2_comparison[[#This Row],[score_change]]&gt;0, "v2 Higher","v2 Lower")</f>
        <v>v2 Lower</v>
      </c>
    </row>
    <row r="922" spans="1:8" x14ac:dyDescent="0.2">
      <c r="A922" t="s">
        <v>67</v>
      </c>
      <c r="B922" t="s">
        <v>8</v>
      </c>
      <c r="C922" t="s">
        <v>11</v>
      </c>
      <c r="D922">
        <v>15.05</v>
      </c>
      <c r="E922">
        <v>19.45</v>
      </c>
      <c r="F922">
        <v>4.4000000000000004</v>
      </c>
      <c r="G922">
        <f>ABS(lmsi_v1_v2_comparison[[#This Row],[score_change]])</f>
        <v>4.4000000000000004</v>
      </c>
      <c r="H922" t="str">
        <f>IF(lmsi_v1_v2_comparison[[#This Row],[score_change]]&gt;0, "v2 Higher","v2 Lower")</f>
        <v>v2 Higher</v>
      </c>
    </row>
    <row r="923" spans="1:8" x14ac:dyDescent="0.2">
      <c r="A923" t="s">
        <v>67</v>
      </c>
      <c r="B923" t="s">
        <v>8</v>
      </c>
      <c r="C923" t="s">
        <v>12</v>
      </c>
      <c r="D923">
        <v>35.21</v>
      </c>
      <c r="E923">
        <v>37.89</v>
      </c>
      <c r="F923">
        <v>2.68</v>
      </c>
      <c r="G923">
        <f>ABS(lmsi_v1_v2_comparison[[#This Row],[score_change]])</f>
        <v>2.68</v>
      </c>
      <c r="H923" t="str">
        <f>IF(lmsi_v1_v2_comparison[[#This Row],[score_change]]&gt;0, "v2 Higher","v2 Lower")</f>
        <v>v2 Higher</v>
      </c>
    </row>
    <row r="924" spans="1:8" x14ac:dyDescent="0.2">
      <c r="A924" t="s">
        <v>67</v>
      </c>
      <c r="B924" t="s">
        <v>8</v>
      </c>
      <c r="C924" t="s">
        <v>13</v>
      </c>
      <c r="D924">
        <v>41.11</v>
      </c>
      <c r="E924">
        <v>42.83</v>
      </c>
      <c r="F924">
        <v>1.72</v>
      </c>
      <c r="G924">
        <f>ABS(lmsi_v1_v2_comparison[[#This Row],[score_change]])</f>
        <v>1.72</v>
      </c>
      <c r="H924" t="str">
        <f>IF(lmsi_v1_v2_comparison[[#This Row],[score_change]]&gt;0, "v2 Higher","v2 Lower")</f>
        <v>v2 Higher</v>
      </c>
    </row>
    <row r="925" spans="1:8" x14ac:dyDescent="0.2">
      <c r="A925" t="s">
        <v>67</v>
      </c>
      <c r="B925" t="s">
        <v>8</v>
      </c>
      <c r="C925" t="s">
        <v>14</v>
      </c>
      <c r="D925">
        <v>34.869999999999997</v>
      </c>
      <c r="E925">
        <v>38.479999999999997</v>
      </c>
      <c r="F925">
        <v>3.61</v>
      </c>
      <c r="G925">
        <f>ABS(lmsi_v1_v2_comparison[[#This Row],[score_change]])</f>
        <v>3.61</v>
      </c>
      <c r="H925" t="str">
        <f>IF(lmsi_v1_v2_comparison[[#This Row],[score_change]]&gt;0, "v2 Higher","v2 Lower")</f>
        <v>v2 Higher</v>
      </c>
    </row>
    <row r="926" spans="1:8" x14ac:dyDescent="0.2">
      <c r="A926" t="s">
        <v>67</v>
      </c>
      <c r="B926" t="s">
        <v>15</v>
      </c>
      <c r="C926" t="s">
        <v>9</v>
      </c>
      <c r="D926">
        <v>70.14</v>
      </c>
      <c r="E926">
        <v>59.88</v>
      </c>
      <c r="F926">
        <v>-10.26</v>
      </c>
      <c r="G926">
        <f>ABS(lmsi_v1_v2_comparison[[#This Row],[score_change]])</f>
        <v>10.26</v>
      </c>
      <c r="H926" t="str">
        <f>IF(lmsi_v1_v2_comparison[[#This Row],[score_change]]&gt;0, "v2 Higher","v2 Lower")</f>
        <v>v2 Lower</v>
      </c>
    </row>
    <row r="927" spans="1:8" x14ac:dyDescent="0.2">
      <c r="A927" t="s">
        <v>67</v>
      </c>
      <c r="B927" t="s">
        <v>15</v>
      </c>
      <c r="C927" t="s">
        <v>10</v>
      </c>
      <c r="D927">
        <v>41.29</v>
      </c>
      <c r="E927">
        <v>41.6</v>
      </c>
      <c r="F927">
        <v>0.31</v>
      </c>
      <c r="G927">
        <f>ABS(lmsi_v1_v2_comparison[[#This Row],[score_change]])</f>
        <v>0.31</v>
      </c>
      <c r="H927" t="str">
        <f>IF(lmsi_v1_v2_comparison[[#This Row],[score_change]]&gt;0, "v2 Higher","v2 Lower")</f>
        <v>v2 Higher</v>
      </c>
    </row>
    <row r="928" spans="1:8" x14ac:dyDescent="0.2">
      <c r="A928" t="s">
        <v>67</v>
      </c>
      <c r="B928" t="s">
        <v>15</v>
      </c>
      <c r="C928" t="s">
        <v>11</v>
      </c>
      <c r="D928">
        <v>17.2</v>
      </c>
      <c r="E928">
        <v>24.14</v>
      </c>
      <c r="F928">
        <v>6.94</v>
      </c>
      <c r="G928">
        <f>ABS(lmsi_v1_v2_comparison[[#This Row],[score_change]])</f>
        <v>6.94</v>
      </c>
      <c r="H928" t="str">
        <f>IF(lmsi_v1_v2_comparison[[#This Row],[score_change]]&gt;0, "v2 Higher","v2 Lower")</f>
        <v>v2 Higher</v>
      </c>
    </row>
    <row r="929" spans="1:8" x14ac:dyDescent="0.2">
      <c r="A929" t="s">
        <v>67</v>
      </c>
      <c r="B929" t="s">
        <v>15</v>
      </c>
      <c r="C929" t="s">
        <v>12</v>
      </c>
      <c r="D929">
        <v>42.46</v>
      </c>
      <c r="E929">
        <v>50.07</v>
      </c>
      <c r="F929">
        <v>7.61</v>
      </c>
      <c r="G929">
        <f>ABS(lmsi_v1_v2_comparison[[#This Row],[score_change]])</f>
        <v>7.61</v>
      </c>
      <c r="H929" t="str">
        <f>IF(lmsi_v1_v2_comparison[[#This Row],[score_change]]&gt;0, "v2 Higher","v2 Lower")</f>
        <v>v2 Higher</v>
      </c>
    </row>
    <row r="930" spans="1:8" x14ac:dyDescent="0.2">
      <c r="A930" t="s">
        <v>67</v>
      </c>
      <c r="B930" t="s">
        <v>15</v>
      </c>
      <c r="C930" t="s">
        <v>13</v>
      </c>
      <c r="D930">
        <v>50.61</v>
      </c>
      <c r="E930">
        <v>48.02</v>
      </c>
      <c r="F930">
        <v>-2.59</v>
      </c>
      <c r="G930">
        <f>ABS(lmsi_v1_v2_comparison[[#This Row],[score_change]])</f>
        <v>2.59</v>
      </c>
      <c r="H930" t="str">
        <f>IF(lmsi_v1_v2_comparison[[#This Row],[score_change]]&gt;0, "v2 Higher","v2 Lower")</f>
        <v>v2 Lower</v>
      </c>
    </row>
    <row r="931" spans="1:8" x14ac:dyDescent="0.2">
      <c r="A931" t="s">
        <v>67</v>
      </c>
      <c r="B931" t="s">
        <v>16</v>
      </c>
      <c r="C931" t="s">
        <v>9</v>
      </c>
      <c r="D931">
        <v>68.2</v>
      </c>
      <c r="E931">
        <v>57.01</v>
      </c>
      <c r="F931">
        <v>-11.19</v>
      </c>
      <c r="G931">
        <f>ABS(lmsi_v1_v2_comparison[[#This Row],[score_change]])</f>
        <v>11.19</v>
      </c>
      <c r="H931" t="str">
        <f>IF(lmsi_v1_v2_comparison[[#This Row],[score_change]]&gt;0, "v2 Higher","v2 Lower")</f>
        <v>v2 Lower</v>
      </c>
    </row>
    <row r="932" spans="1:8" x14ac:dyDescent="0.2">
      <c r="A932" t="s">
        <v>67</v>
      </c>
      <c r="B932" t="s">
        <v>16</v>
      </c>
      <c r="C932" t="s">
        <v>10</v>
      </c>
      <c r="D932">
        <v>35.520000000000003</v>
      </c>
      <c r="E932">
        <v>38.06</v>
      </c>
      <c r="F932">
        <v>2.54</v>
      </c>
      <c r="G932">
        <f>ABS(lmsi_v1_v2_comparison[[#This Row],[score_change]])</f>
        <v>2.54</v>
      </c>
      <c r="H932" t="str">
        <f>IF(lmsi_v1_v2_comparison[[#This Row],[score_change]]&gt;0, "v2 Higher","v2 Lower")</f>
        <v>v2 Higher</v>
      </c>
    </row>
    <row r="933" spans="1:8" x14ac:dyDescent="0.2">
      <c r="A933" t="s">
        <v>67</v>
      </c>
      <c r="B933" t="s">
        <v>16</v>
      </c>
      <c r="C933" t="s">
        <v>11</v>
      </c>
      <c r="D933">
        <v>15.84</v>
      </c>
      <c r="E933">
        <v>19.97</v>
      </c>
      <c r="F933">
        <v>4.13</v>
      </c>
      <c r="G933">
        <f>ABS(lmsi_v1_v2_comparison[[#This Row],[score_change]])</f>
        <v>4.13</v>
      </c>
      <c r="H933" t="str">
        <f>IF(lmsi_v1_v2_comparison[[#This Row],[score_change]]&gt;0, "v2 Higher","v2 Lower")</f>
        <v>v2 Higher</v>
      </c>
    </row>
    <row r="934" spans="1:8" x14ac:dyDescent="0.2">
      <c r="A934" t="s">
        <v>67</v>
      </c>
      <c r="B934" t="s">
        <v>16</v>
      </c>
      <c r="C934" t="s">
        <v>12</v>
      </c>
      <c r="D934">
        <v>38.130000000000003</v>
      </c>
      <c r="E934">
        <v>40.19</v>
      </c>
      <c r="F934">
        <v>2.06</v>
      </c>
      <c r="G934">
        <f>ABS(lmsi_v1_v2_comparison[[#This Row],[score_change]])</f>
        <v>2.06</v>
      </c>
      <c r="H934" t="str">
        <f>IF(lmsi_v1_v2_comparison[[#This Row],[score_change]]&gt;0, "v2 Higher","v2 Lower")</f>
        <v>v2 Higher</v>
      </c>
    </row>
    <row r="935" spans="1:8" x14ac:dyDescent="0.2">
      <c r="A935" t="s">
        <v>67</v>
      </c>
      <c r="B935" t="s">
        <v>16</v>
      </c>
      <c r="C935" t="s">
        <v>13</v>
      </c>
      <c r="D935">
        <v>39.32</v>
      </c>
      <c r="E935">
        <v>36.21</v>
      </c>
      <c r="F935">
        <v>-3.11</v>
      </c>
      <c r="G935">
        <f>ABS(lmsi_v1_v2_comparison[[#This Row],[score_change]])</f>
        <v>3.11</v>
      </c>
      <c r="H935" t="str">
        <f>IF(lmsi_v1_v2_comparison[[#This Row],[score_change]]&gt;0, "v2 Higher","v2 Lower")</f>
        <v>v2 Lower</v>
      </c>
    </row>
    <row r="936" spans="1:8" x14ac:dyDescent="0.2">
      <c r="A936" t="s">
        <v>67</v>
      </c>
      <c r="B936" t="s">
        <v>16</v>
      </c>
      <c r="C936" t="s">
        <v>14</v>
      </c>
      <c r="D936">
        <v>39.67</v>
      </c>
      <c r="E936">
        <v>44.47</v>
      </c>
      <c r="F936">
        <v>4.8</v>
      </c>
      <c r="G936">
        <f>ABS(lmsi_v1_v2_comparison[[#This Row],[score_change]])</f>
        <v>4.8</v>
      </c>
      <c r="H936" t="str">
        <f>IF(lmsi_v1_v2_comparison[[#This Row],[score_change]]&gt;0, "v2 Higher","v2 Lower")</f>
        <v>v2 Higher</v>
      </c>
    </row>
    <row r="937" spans="1:8" x14ac:dyDescent="0.2">
      <c r="A937" t="s">
        <v>68</v>
      </c>
      <c r="B937" t="s">
        <v>8</v>
      </c>
      <c r="C937" t="s">
        <v>9</v>
      </c>
      <c r="D937">
        <v>61.56</v>
      </c>
      <c r="E937">
        <v>51.55</v>
      </c>
      <c r="F937">
        <v>-10.01</v>
      </c>
      <c r="G937">
        <f>ABS(lmsi_v1_v2_comparison[[#This Row],[score_change]])</f>
        <v>10.01</v>
      </c>
      <c r="H937" t="str">
        <f>IF(lmsi_v1_v2_comparison[[#This Row],[score_change]]&gt;0, "v2 Higher","v2 Lower")</f>
        <v>v2 Lower</v>
      </c>
    </row>
    <row r="938" spans="1:8" x14ac:dyDescent="0.2">
      <c r="A938" t="s">
        <v>68</v>
      </c>
      <c r="B938" t="s">
        <v>8</v>
      </c>
      <c r="C938" t="s">
        <v>10</v>
      </c>
      <c r="D938">
        <v>33.96</v>
      </c>
      <c r="E938">
        <v>33.72</v>
      </c>
      <c r="F938">
        <v>-0.24</v>
      </c>
      <c r="G938">
        <f>ABS(lmsi_v1_v2_comparison[[#This Row],[score_change]])</f>
        <v>0.24</v>
      </c>
      <c r="H938" t="str">
        <f>IF(lmsi_v1_v2_comparison[[#This Row],[score_change]]&gt;0, "v2 Higher","v2 Lower")</f>
        <v>v2 Lower</v>
      </c>
    </row>
    <row r="939" spans="1:8" x14ac:dyDescent="0.2">
      <c r="A939" t="s">
        <v>68</v>
      </c>
      <c r="B939" t="s">
        <v>8</v>
      </c>
      <c r="C939" t="s">
        <v>11</v>
      </c>
      <c r="D939">
        <v>16.11</v>
      </c>
      <c r="E939">
        <v>20.420000000000002</v>
      </c>
      <c r="F939">
        <v>4.3099999999999996</v>
      </c>
      <c r="G939">
        <f>ABS(lmsi_v1_v2_comparison[[#This Row],[score_change]])</f>
        <v>4.3099999999999996</v>
      </c>
      <c r="H939" t="str">
        <f>IF(lmsi_v1_v2_comparison[[#This Row],[score_change]]&gt;0, "v2 Higher","v2 Lower")</f>
        <v>v2 Higher</v>
      </c>
    </row>
    <row r="940" spans="1:8" x14ac:dyDescent="0.2">
      <c r="A940" t="s">
        <v>68</v>
      </c>
      <c r="B940" t="s">
        <v>8</v>
      </c>
      <c r="C940" t="s">
        <v>12</v>
      </c>
      <c r="D940">
        <v>32.020000000000003</v>
      </c>
      <c r="E940">
        <v>39.729999999999997</v>
      </c>
      <c r="F940">
        <v>7.71</v>
      </c>
      <c r="G940">
        <f>ABS(lmsi_v1_v2_comparison[[#This Row],[score_change]])</f>
        <v>7.71</v>
      </c>
      <c r="H940" t="str">
        <f>IF(lmsi_v1_v2_comparison[[#This Row],[score_change]]&gt;0, "v2 Higher","v2 Lower")</f>
        <v>v2 Higher</v>
      </c>
    </row>
    <row r="941" spans="1:8" x14ac:dyDescent="0.2">
      <c r="A941" t="s">
        <v>68</v>
      </c>
      <c r="B941" t="s">
        <v>8</v>
      </c>
      <c r="C941" t="s">
        <v>13</v>
      </c>
      <c r="D941">
        <v>40.33</v>
      </c>
      <c r="E941">
        <v>40.15</v>
      </c>
      <c r="F941">
        <v>-0.18</v>
      </c>
      <c r="G941">
        <f>ABS(lmsi_v1_v2_comparison[[#This Row],[score_change]])</f>
        <v>0.18</v>
      </c>
      <c r="H941" t="str">
        <f>IF(lmsi_v1_v2_comparison[[#This Row],[score_change]]&gt;0, "v2 Higher","v2 Lower")</f>
        <v>v2 Lower</v>
      </c>
    </row>
    <row r="942" spans="1:8" x14ac:dyDescent="0.2">
      <c r="A942" t="s">
        <v>68</v>
      </c>
      <c r="B942" t="s">
        <v>8</v>
      </c>
      <c r="C942" t="s">
        <v>14</v>
      </c>
      <c r="D942">
        <v>35.479999999999997</v>
      </c>
      <c r="E942">
        <v>40.69</v>
      </c>
      <c r="F942">
        <v>5.21</v>
      </c>
      <c r="G942">
        <f>ABS(lmsi_v1_v2_comparison[[#This Row],[score_change]])</f>
        <v>5.21</v>
      </c>
      <c r="H942" t="str">
        <f>IF(lmsi_v1_v2_comparison[[#This Row],[score_change]]&gt;0, "v2 Higher","v2 Lower")</f>
        <v>v2 Higher</v>
      </c>
    </row>
    <row r="943" spans="1:8" x14ac:dyDescent="0.2">
      <c r="A943" t="s">
        <v>68</v>
      </c>
      <c r="B943" t="s">
        <v>15</v>
      </c>
      <c r="C943" t="s">
        <v>9</v>
      </c>
      <c r="D943">
        <v>77.430000000000007</v>
      </c>
      <c r="E943">
        <v>61.69</v>
      </c>
      <c r="F943">
        <v>-15.74</v>
      </c>
      <c r="G943">
        <f>ABS(lmsi_v1_v2_comparison[[#This Row],[score_change]])</f>
        <v>15.74</v>
      </c>
      <c r="H943" t="str">
        <f>IF(lmsi_v1_v2_comparison[[#This Row],[score_change]]&gt;0, "v2 Higher","v2 Lower")</f>
        <v>v2 Lower</v>
      </c>
    </row>
    <row r="944" spans="1:8" x14ac:dyDescent="0.2">
      <c r="A944" t="s">
        <v>68</v>
      </c>
      <c r="B944" t="s">
        <v>15</v>
      </c>
      <c r="C944" t="s">
        <v>10</v>
      </c>
      <c r="D944">
        <v>41.87</v>
      </c>
      <c r="E944">
        <v>47.18</v>
      </c>
      <c r="F944">
        <v>5.31</v>
      </c>
      <c r="G944">
        <f>ABS(lmsi_v1_v2_comparison[[#This Row],[score_change]])</f>
        <v>5.31</v>
      </c>
      <c r="H944" t="str">
        <f>IF(lmsi_v1_v2_comparison[[#This Row],[score_change]]&gt;0, "v2 Higher","v2 Lower")</f>
        <v>v2 Higher</v>
      </c>
    </row>
    <row r="945" spans="1:8" x14ac:dyDescent="0.2">
      <c r="A945" t="s">
        <v>68</v>
      </c>
      <c r="B945" t="s">
        <v>15</v>
      </c>
      <c r="C945" t="s">
        <v>11</v>
      </c>
      <c r="D945">
        <v>18.64</v>
      </c>
      <c r="E945">
        <v>20.29</v>
      </c>
      <c r="F945">
        <v>1.65</v>
      </c>
      <c r="G945">
        <f>ABS(lmsi_v1_v2_comparison[[#This Row],[score_change]])</f>
        <v>1.65</v>
      </c>
      <c r="H945" t="str">
        <f>IF(lmsi_v1_v2_comparison[[#This Row],[score_change]]&gt;0, "v2 Higher","v2 Lower")</f>
        <v>v2 Higher</v>
      </c>
    </row>
    <row r="946" spans="1:8" x14ac:dyDescent="0.2">
      <c r="A946" t="s">
        <v>68</v>
      </c>
      <c r="B946" t="s">
        <v>15</v>
      </c>
      <c r="C946" t="s">
        <v>12</v>
      </c>
      <c r="D946">
        <v>39.46</v>
      </c>
      <c r="E946">
        <v>54.99</v>
      </c>
      <c r="F946">
        <v>15.53</v>
      </c>
      <c r="G946">
        <f>ABS(lmsi_v1_v2_comparison[[#This Row],[score_change]])</f>
        <v>15.53</v>
      </c>
      <c r="H946" t="str">
        <f>IF(lmsi_v1_v2_comparison[[#This Row],[score_change]]&gt;0, "v2 Higher","v2 Lower")</f>
        <v>v2 Higher</v>
      </c>
    </row>
    <row r="947" spans="1:8" x14ac:dyDescent="0.2">
      <c r="A947" t="s">
        <v>68</v>
      </c>
      <c r="B947" t="s">
        <v>15</v>
      </c>
      <c r="C947" t="s">
        <v>13</v>
      </c>
      <c r="D947">
        <v>50.05</v>
      </c>
      <c r="E947">
        <v>58.95</v>
      </c>
      <c r="F947">
        <v>8.9</v>
      </c>
      <c r="G947">
        <f>ABS(lmsi_v1_v2_comparison[[#This Row],[score_change]])</f>
        <v>8.9</v>
      </c>
      <c r="H947" t="str">
        <f>IF(lmsi_v1_v2_comparison[[#This Row],[score_change]]&gt;0, "v2 Higher","v2 Lower")</f>
        <v>v2 Higher</v>
      </c>
    </row>
    <row r="948" spans="1:8" x14ac:dyDescent="0.2">
      <c r="A948" t="s">
        <v>68</v>
      </c>
      <c r="B948" t="s">
        <v>15</v>
      </c>
      <c r="C948" t="s">
        <v>14</v>
      </c>
      <c r="D948">
        <v>53.91</v>
      </c>
      <c r="E948">
        <v>64.400000000000006</v>
      </c>
      <c r="F948">
        <v>10.49</v>
      </c>
      <c r="G948">
        <f>ABS(lmsi_v1_v2_comparison[[#This Row],[score_change]])</f>
        <v>10.49</v>
      </c>
      <c r="H948" t="str">
        <f>IF(lmsi_v1_v2_comparison[[#This Row],[score_change]]&gt;0, "v2 Higher","v2 Lower")</f>
        <v>v2 Higher</v>
      </c>
    </row>
    <row r="949" spans="1:8" x14ac:dyDescent="0.2">
      <c r="A949" t="s">
        <v>68</v>
      </c>
      <c r="B949" t="s">
        <v>16</v>
      </c>
      <c r="C949" t="s">
        <v>9</v>
      </c>
      <c r="D949">
        <v>75.849999999999994</v>
      </c>
      <c r="E949">
        <v>62.09</v>
      </c>
      <c r="F949">
        <v>-13.76</v>
      </c>
      <c r="G949">
        <f>ABS(lmsi_v1_v2_comparison[[#This Row],[score_change]])</f>
        <v>13.76</v>
      </c>
      <c r="H949" t="str">
        <f>IF(lmsi_v1_v2_comparison[[#This Row],[score_change]]&gt;0, "v2 Higher","v2 Lower")</f>
        <v>v2 Lower</v>
      </c>
    </row>
    <row r="950" spans="1:8" x14ac:dyDescent="0.2">
      <c r="A950" t="s">
        <v>68</v>
      </c>
      <c r="B950" t="s">
        <v>16</v>
      </c>
      <c r="C950" t="s">
        <v>10</v>
      </c>
      <c r="D950">
        <v>35.67</v>
      </c>
      <c r="E950">
        <v>38.04</v>
      </c>
      <c r="F950">
        <v>2.37</v>
      </c>
      <c r="G950">
        <f>ABS(lmsi_v1_v2_comparison[[#This Row],[score_change]])</f>
        <v>2.37</v>
      </c>
      <c r="H950" t="str">
        <f>IF(lmsi_v1_v2_comparison[[#This Row],[score_change]]&gt;0, "v2 Higher","v2 Lower")</f>
        <v>v2 Higher</v>
      </c>
    </row>
    <row r="951" spans="1:8" x14ac:dyDescent="0.2">
      <c r="A951" t="s">
        <v>68</v>
      </c>
      <c r="B951" t="s">
        <v>16</v>
      </c>
      <c r="C951" t="s">
        <v>11</v>
      </c>
      <c r="D951">
        <v>16.78</v>
      </c>
      <c r="E951">
        <v>30.7</v>
      </c>
      <c r="F951">
        <v>13.92</v>
      </c>
      <c r="G951">
        <f>ABS(lmsi_v1_v2_comparison[[#This Row],[score_change]])</f>
        <v>13.92</v>
      </c>
      <c r="H951" t="str">
        <f>IF(lmsi_v1_v2_comparison[[#This Row],[score_change]]&gt;0, "v2 Higher","v2 Lower")</f>
        <v>v2 Higher</v>
      </c>
    </row>
    <row r="952" spans="1:8" x14ac:dyDescent="0.2">
      <c r="A952" t="s">
        <v>68</v>
      </c>
      <c r="B952" t="s">
        <v>16</v>
      </c>
      <c r="C952" t="s">
        <v>12</v>
      </c>
      <c r="D952">
        <v>35.119999999999997</v>
      </c>
      <c r="E952">
        <v>42.01</v>
      </c>
      <c r="F952">
        <v>6.89</v>
      </c>
      <c r="G952">
        <f>ABS(lmsi_v1_v2_comparison[[#This Row],[score_change]])</f>
        <v>6.89</v>
      </c>
      <c r="H952" t="str">
        <f>IF(lmsi_v1_v2_comparison[[#This Row],[score_change]]&gt;0, "v2 Higher","v2 Lower")</f>
        <v>v2 Higher</v>
      </c>
    </row>
    <row r="953" spans="1:8" x14ac:dyDescent="0.2">
      <c r="A953" t="s">
        <v>68</v>
      </c>
      <c r="B953" t="s">
        <v>16</v>
      </c>
      <c r="C953" t="s">
        <v>13</v>
      </c>
      <c r="D953">
        <v>40.35</v>
      </c>
      <c r="E953">
        <v>38.9</v>
      </c>
      <c r="F953">
        <v>-1.45</v>
      </c>
      <c r="G953">
        <f>ABS(lmsi_v1_v2_comparison[[#This Row],[score_change]])</f>
        <v>1.45</v>
      </c>
      <c r="H953" t="str">
        <f>IF(lmsi_v1_v2_comparison[[#This Row],[score_change]]&gt;0, "v2 Higher","v2 Lower")</f>
        <v>v2 Lower</v>
      </c>
    </row>
    <row r="954" spans="1:8" x14ac:dyDescent="0.2">
      <c r="A954" t="s">
        <v>68</v>
      </c>
      <c r="B954" t="s">
        <v>16</v>
      </c>
      <c r="C954" t="s">
        <v>14</v>
      </c>
      <c r="D954">
        <v>40.729999999999997</v>
      </c>
      <c r="E954">
        <v>42.45</v>
      </c>
      <c r="F954">
        <v>1.72</v>
      </c>
      <c r="G954">
        <f>ABS(lmsi_v1_v2_comparison[[#This Row],[score_change]])</f>
        <v>1.72</v>
      </c>
      <c r="H954" t="str">
        <f>IF(lmsi_v1_v2_comparison[[#This Row],[score_change]]&gt;0, "v2 Higher","v2 Lower")</f>
        <v>v2 Higher</v>
      </c>
    </row>
    <row r="955" spans="1:8" x14ac:dyDescent="0.2">
      <c r="A955" t="s">
        <v>69</v>
      </c>
      <c r="B955" t="s">
        <v>8</v>
      </c>
      <c r="C955" t="s">
        <v>9</v>
      </c>
      <c r="D955">
        <v>59.82</v>
      </c>
      <c r="E955">
        <v>51.28</v>
      </c>
      <c r="F955">
        <v>-8.5399999999999991</v>
      </c>
      <c r="G955">
        <f>ABS(lmsi_v1_v2_comparison[[#This Row],[score_change]])</f>
        <v>8.5399999999999991</v>
      </c>
      <c r="H955" t="str">
        <f>IF(lmsi_v1_v2_comparison[[#This Row],[score_change]]&gt;0, "v2 Higher","v2 Lower")</f>
        <v>v2 Lower</v>
      </c>
    </row>
    <row r="956" spans="1:8" x14ac:dyDescent="0.2">
      <c r="A956" t="s">
        <v>69</v>
      </c>
      <c r="B956" t="s">
        <v>8</v>
      </c>
      <c r="C956" t="s">
        <v>10</v>
      </c>
      <c r="D956">
        <v>35.17</v>
      </c>
      <c r="E956">
        <v>33.159999999999997</v>
      </c>
      <c r="F956">
        <v>-2.0099999999999998</v>
      </c>
      <c r="G956">
        <f>ABS(lmsi_v1_v2_comparison[[#This Row],[score_change]])</f>
        <v>2.0099999999999998</v>
      </c>
      <c r="H956" t="str">
        <f>IF(lmsi_v1_v2_comparison[[#This Row],[score_change]]&gt;0, "v2 Higher","v2 Lower")</f>
        <v>v2 Lower</v>
      </c>
    </row>
    <row r="957" spans="1:8" x14ac:dyDescent="0.2">
      <c r="A957" t="s">
        <v>69</v>
      </c>
      <c r="B957" t="s">
        <v>8</v>
      </c>
      <c r="C957" t="s">
        <v>11</v>
      </c>
      <c r="D957">
        <v>22.08</v>
      </c>
      <c r="E957">
        <v>23.58</v>
      </c>
      <c r="F957">
        <v>1.5</v>
      </c>
      <c r="G957">
        <f>ABS(lmsi_v1_v2_comparison[[#This Row],[score_change]])</f>
        <v>1.5</v>
      </c>
      <c r="H957" t="str">
        <f>IF(lmsi_v1_v2_comparison[[#This Row],[score_change]]&gt;0, "v2 Higher","v2 Lower")</f>
        <v>v2 Higher</v>
      </c>
    </row>
    <row r="958" spans="1:8" x14ac:dyDescent="0.2">
      <c r="A958" t="s">
        <v>69</v>
      </c>
      <c r="B958" t="s">
        <v>8</v>
      </c>
      <c r="C958" t="s">
        <v>12</v>
      </c>
      <c r="D958">
        <v>36.11</v>
      </c>
      <c r="E958">
        <v>42.68</v>
      </c>
      <c r="F958">
        <v>6.57</v>
      </c>
      <c r="G958">
        <f>ABS(lmsi_v1_v2_comparison[[#This Row],[score_change]])</f>
        <v>6.57</v>
      </c>
      <c r="H958" t="str">
        <f>IF(lmsi_v1_v2_comparison[[#This Row],[score_change]]&gt;0, "v2 Higher","v2 Lower")</f>
        <v>v2 Higher</v>
      </c>
    </row>
    <row r="959" spans="1:8" x14ac:dyDescent="0.2">
      <c r="A959" t="s">
        <v>69</v>
      </c>
      <c r="B959" t="s">
        <v>8</v>
      </c>
      <c r="C959" t="s">
        <v>13</v>
      </c>
      <c r="D959">
        <v>43.26</v>
      </c>
      <c r="E959">
        <v>43.85</v>
      </c>
      <c r="F959">
        <v>0.59</v>
      </c>
      <c r="G959">
        <f>ABS(lmsi_v1_v2_comparison[[#This Row],[score_change]])</f>
        <v>0.59</v>
      </c>
      <c r="H959" t="str">
        <f>IF(lmsi_v1_v2_comparison[[#This Row],[score_change]]&gt;0, "v2 Higher","v2 Lower")</f>
        <v>v2 Higher</v>
      </c>
    </row>
    <row r="960" spans="1:8" x14ac:dyDescent="0.2">
      <c r="A960" t="s">
        <v>69</v>
      </c>
      <c r="B960" t="s">
        <v>8</v>
      </c>
      <c r="C960" t="s">
        <v>14</v>
      </c>
      <c r="D960">
        <v>40.69</v>
      </c>
      <c r="E960">
        <v>39.68</v>
      </c>
      <c r="F960">
        <v>-1.01</v>
      </c>
      <c r="G960">
        <f>ABS(lmsi_v1_v2_comparison[[#This Row],[score_change]])</f>
        <v>1.01</v>
      </c>
      <c r="H960" t="str">
        <f>IF(lmsi_v1_v2_comparison[[#This Row],[score_change]]&gt;0, "v2 Higher","v2 Lower")</f>
        <v>v2 Lower</v>
      </c>
    </row>
    <row r="961" spans="1:8" x14ac:dyDescent="0.2">
      <c r="A961" t="s">
        <v>69</v>
      </c>
      <c r="B961" t="s">
        <v>15</v>
      </c>
      <c r="C961" t="s">
        <v>9</v>
      </c>
      <c r="D961">
        <v>82.84</v>
      </c>
      <c r="E961">
        <v>65.02</v>
      </c>
      <c r="F961">
        <v>-17.82</v>
      </c>
      <c r="G961">
        <f>ABS(lmsi_v1_v2_comparison[[#This Row],[score_change]])</f>
        <v>17.82</v>
      </c>
      <c r="H961" t="str">
        <f>IF(lmsi_v1_v2_comparison[[#This Row],[score_change]]&gt;0, "v2 Higher","v2 Lower")</f>
        <v>v2 Lower</v>
      </c>
    </row>
    <row r="962" spans="1:8" x14ac:dyDescent="0.2">
      <c r="A962" t="s">
        <v>69</v>
      </c>
      <c r="B962" t="s">
        <v>15</v>
      </c>
      <c r="C962" t="s">
        <v>10</v>
      </c>
      <c r="D962">
        <v>43.49</v>
      </c>
      <c r="E962">
        <v>42.35</v>
      </c>
      <c r="F962">
        <v>-1.1399999999999999</v>
      </c>
      <c r="G962">
        <f>ABS(lmsi_v1_v2_comparison[[#This Row],[score_change]])</f>
        <v>1.1399999999999999</v>
      </c>
      <c r="H962" t="str">
        <f>IF(lmsi_v1_v2_comparison[[#This Row],[score_change]]&gt;0, "v2 Higher","v2 Lower")</f>
        <v>v2 Lower</v>
      </c>
    </row>
    <row r="963" spans="1:8" x14ac:dyDescent="0.2">
      <c r="A963" t="s">
        <v>69</v>
      </c>
      <c r="B963" t="s">
        <v>15</v>
      </c>
      <c r="C963" t="s">
        <v>11</v>
      </c>
      <c r="D963">
        <v>24.96</v>
      </c>
      <c r="E963">
        <v>24.96</v>
      </c>
      <c r="F963">
        <v>0</v>
      </c>
      <c r="G963">
        <f>ABS(lmsi_v1_v2_comparison[[#This Row],[score_change]])</f>
        <v>0</v>
      </c>
      <c r="H963" t="str">
        <f>IF(lmsi_v1_v2_comparison[[#This Row],[score_change]]&gt;0, "v2 Higher","v2 Lower")</f>
        <v>v2 Lower</v>
      </c>
    </row>
    <row r="964" spans="1:8" x14ac:dyDescent="0.2">
      <c r="A964" t="s">
        <v>69</v>
      </c>
      <c r="B964" t="s">
        <v>15</v>
      </c>
      <c r="C964" t="s">
        <v>12</v>
      </c>
      <c r="D964">
        <v>44.45</v>
      </c>
      <c r="E964">
        <v>50.72</v>
      </c>
      <c r="F964">
        <v>6.27</v>
      </c>
      <c r="G964">
        <f>ABS(lmsi_v1_v2_comparison[[#This Row],[score_change]])</f>
        <v>6.27</v>
      </c>
      <c r="H964" t="str">
        <f>IF(lmsi_v1_v2_comparison[[#This Row],[score_change]]&gt;0, "v2 Higher","v2 Lower")</f>
        <v>v2 Higher</v>
      </c>
    </row>
    <row r="965" spans="1:8" x14ac:dyDescent="0.2">
      <c r="A965" t="s">
        <v>69</v>
      </c>
      <c r="B965" t="s">
        <v>15</v>
      </c>
      <c r="C965" t="s">
        <v>13</v>
      </c>
      <c r="D965">
        <v>49.9</v>
      </c>
      <c r="E965">
        <v>45.6</v>
      </c>
      <c r="F965">
        <v>-4.3</v>
      </c>
      <c r="G965">
        <f>ABS(lmsi_v1_v2_comparison[[#This Row],[score_change]])</f>
        <v>4.3</v>
      </c>
      <c r="H965" t="str">
        <f>IF(lmsi_v1_v2_comparison[[#This Row],[score_change]]&gt;0, "v2 Higher","v2 Lower")</f>
        <v>v2 Lower</v>
      </c>
    </row>
    <row r="966" spans="1:8" x14ac:dyDescent="0.2">
      <c r="A966" t="s">
        <v>69</v>
      </c>
      <c r="B966" t="s">
        <v>15</v>
      </c>
      <c r="C966" t="s">
        <v>14</v>
      </c>
      <c r="D966">
        <v>64.83</v>
      </c>
      <c r="E966">
        <v>65.84</v>
      </c>
      <c r="F966">
        <v>1.01</v>
      </c>
      <c r="G966">
        <f>ABS(lmsi_v1_v2_comparison[[#This Row],[score_change]])</f>
        <v>1.01</v>
      </c>
      <c r="H966" t="str">
        <f>IF(lmsi_v1_v2_comparison[[#This Row],[score_change]]&gt;0, "v2 Higher","v2 Lower")</f>
        <v>v2 Higher</v>
      </c>
    </row>
    <row r="967" spans="1:8" x14ac:dyDescent="0.2">
      <c r="A967" t="s">
        <v>69</v>
      </c>
      <c r="B967" t="s">
        <v>16</v>
      </c>
      <c r="C967" t="s">
        <v>9</v>
      </c>
      <c r="D967">
        <v>70.290000000000006</v>
      </c>
      <c r="E967">
        <v>56.09</v>
      </c>
      <c r="F967">
        <v>-14.2</v>
      </c>
      <c r="G967">
        <f>ABS(lmsi_v1_v2_comparison[[#This Row],[score_change]])</f>
        <v>14.2</v>
      </c>
      <c r="H967" t="str">
        <f>IF(lmsi_v1_v2_comparison[[#This Row],[score_change]]&gt;0, "v2 Higher","v2 Lower")</f>
        <v>v2 Lower</v>
      </c>
    </row>
    <row r="968" spans="1:8" x14ac:dyDescent="0.2">
      <c r="A968" t="s">
        <v>69</v>
      </c>
      <c r="B968" t="s">
        <v>16</v>
      </c>
      <c r="C968" t="s">
        <v>10</v>
      </c>
      <c r="D968">
        <v>36.5</v>
      </c>
      <c r="E968">
        <v>37.700000000000003</v>
      </c>
      <c r="F968">
        <v>1.2</v>
      </c>
      <c r="G968">
        <f>ABS(lmsi_v1_v2_comparison[[#This Row],[score_change]])</f>
        <v>1.2</v>
      </c>
      <c r="H968" t="str">
        <f>IF(lmsi_v1_v2_comparison[[#This Row],[score_change]]&gt;0, "v2 Higher","v2 Lower")</f>
        <v>v2 Higher</v>
      </c>
    </row>
    <row r="969" spans="1:8" x14ac:dyDescent="0.2">
      <c r="A969" t="s">
        <v>69</v>
      </c>
      <c r="B969" t="s">
        <v>16</v>
      </c>
      <c r="C969" t="s">
        <v>11</v>
      </c>
      <c r="D969">
        <v>23.33</v>
      </c>
      <c r="E969">
        <v>23.12</v>
      </c>
      <c r="F969">
        <v>-0.21</v>
      </c>
      <c r="G969">
        <f>ABS(lmsi_v1_v2_comparison[[#This Row],[score_change]])</f>
        <v>0.21</v>
      </c>
      <c r="H969" t="str">
        <f>IF(lmsi_v1_v2_comparison[[#This Row],[score_change]]&gt;0, "v2 Higher","v2 Lower")</f>
        <v>v2 Lower</v>
      </c>
    </row>
    <row r="970" spans="1:8" x14ac:dyDescent="0.2">
      <c r="A970" t="s">
        <v>69</v>
      </c>
      <c r="B970" t="s">
        <v>16</v>
      </c>
      <c r="C970" t="s">
        <v>12</v>
      </c>
      <c r="D970">
        <v>39.32</v>
      </c>
      <c r="E970">
        <v>43.32</v>
      </c>
      <c r="F970">
        <v>4</v>
      </c>
      <c r="G970">
        <f>ABS(lmsi_v1_v2_comparison[[#This Row],[score_change]])</f>
        <v>4</v>
      </c>
      <c r="H970" t="str">
        <f>IF(lmsi_v1_v2_comparison[[#This Row],[score_change]]&gt;0, "v2 Higher","v2 Lower")</f>
        <v>v2 Higher</v>
      </c>
    </row>
    <row r="971" spans="1:8" x14ac:dyDescent="0.2">
      <c r="A971" t="s">
        <v>69</v>
      </c>
      <c r="B971" t="s">
        <v>16</v>
      </c>
      <c r="C971" t="s">
        <v>13</v>
      </c>
      <c r="D971">
        <v>41.58</v>
      </c>
      <c r="E971">
        <v>39.43</v>
      </c>
      <c r="F971">
        <v>-2.15</v>
      </c>
      <c r="G971">
        <f>ABS(lmsi_v1_v2_comparison[[#This Row],[score_change]])</f>
        <v>2.15</v>
      </c>
      <c r="H971" t="str">
        <f>IF(lmsi_v1_v2_comparison[[#This Row],[score_change]]&gt;0, "v2 Higher","v2 Lower")</f>
        <v>v2 Lower</v>
      </c>
    </row>
    <row r="972" spans="1:8" x14ac:dyDescent="0.2">
      <c r="A972" t="s">
        <v>69</v>
      </c>
      <c r="B972" t="s">
        <v>16</v>
      </c>
      <c r="C972" t="s">
        <v>14</v>
      </c>
      <c r="D972">
        <v>45.77</v>
      </c>
      <c r="E972">
        <v>43.97</v>
      </c>
      <c r="F972">
        <v>-1.8</v>
      </c>
      <c r="G972">
        <f>ABS(lmsi_v1_v2_comparison[[#This Row],[score_change]])</f>
        <v>1.8</v>
      </c>
      <c r="H972" t="str">
        <f>IF(lmsi_v1_v2_comparison[[#This Row],[score_change]]&gt;0, "v2 Higher","v2 Lower")</f>
        <v>v2 Lower</v>
      </c>
    </row>
    <row r="973" spans="1:8" x14ac:dyDescent="0.2">
      <c r="A973" t="s">
        <v>70</v>
      </c>
      <c r="B973" t="s">
        <v>8</v>
      </c>
      <c r="C973" t="s">
        <v>9</v>
      </c>
      <c r="D973">
        <v>50.09</v>
      </c>
      <c r="E973">
        <v>42</v>
      </c>
      <c r="F973">
        <v>-8.09</v>
      </c>
      <c r="G973">
        <f>ABS(lmsi_v1_v2_comparison[[#This Row],[score_change]])</f>
        <v>8.09</v>
      </c>
      <c r="H973" t="str">
        <f>IF(lmsi_v1_v2_comparison[[#This Row],[score_change]]&gt;0, "v2 Higher","v2 Lower")</f>
        <v>v2 Lower</v>
      </c>
    </row>
    <row r="974" spans="1:8" x14ac:dyDescent="0.2">
      <c r="A974" t="s">
        <v>70</v>
      </c>
      <c r="B974" t="s">
        <v>8</v>
      </c>
      <c r="C974" t="s">
        <v>10</v>
      </c>
      <c r="D974">
        <v>35.14</v>
      </c>
      <c r="E974">
        <v>38.28</v>
      </c>
      <c r="F974">
        <v>3.14</v>
      </c>
      <c r="G974">
        <f>ABS(lmsi_v1_v2_comparison[[#This Row],[score_change]])</f>
        <v>3.14</v>
      </c>
      <c r="H974" t="str">
        <f>IF(lmsi_v1_v2_comparison[[#This Row],[score_change]]&gt;0, "v2 Higher","v2 Lower")</f>
        <v>v2 Higher</v>
      </c>
    </row>
    <row r="975" spans="1:8" x14ac:dyDescent="0.2">
      <c r="A975" t="s">
        <v>70</v>
      </c>
      <c r="B975" t="s">
        <v>8</v>
      </c>
      <c r="C975" t="s">
        <v>11</v>
      </c>
      <c r="D975">
        <v>24.07</v>
      </c>
      <c r="E975">
        <v>26.3</v>
      </c>
      <c r="F975">
        <v>2.23</v>
      </c>
      <c r="G975">
        <f>ABS(lmsi_v1_v2_comparison[[#This Row],[score_change]])</f>
        <v>2.23</v>
      </c>
      <c r="H975" t="str">
        <f>IF(lmsi_v1_v2_comparison[[#This Row],[score_change]]&gt;0, "v2 Higher","v2 Lower")</f>
        <v>v2 Higher</v>
      </c>
    </row>
    <row r="976" spans="1:8" x14ac:dyDescent="0.2">
      <c r="A976" t="s">
        <v>70</v>
      </c>
      <c r="B976" t="s">
        <v>8</v>
      </c>
      <c r="C976" t="s">
        <v>12</v>
      </c>
      <c r="D976">
        <v>36.840000000000003</v>
      </c>
      <c r="E976">
        <v>39.35</v>
      </c>
      <c r="F976">
        <v>2.5099999999999998</v>
      </c>
      <c r="G976">
        <f>ABS(lmsi_v1_v2_comparison[[#This Row],[score_change]])</f>
        <v>2.5099999999999998</v>
      </c>
      <c r="H976" t="str">
        <f>IF(lmsi_v1_v2_comparison[[#This Row],[score_change]]&gt;0, "v2 Higher","v2 Lower")</f>
        <v>v2 Higher</v>
      </c>
    </row>
    <row r="977" spans="1:8" x14ac:dyDescent="0.2">
      <c r="A977" t="s">
        <v>70</v>
      </c>
      <c r="B977" t="s">
        <v>8</v>
      </c>
      <c r="C977" t="s">
        <v>13</v>
      </c>
      <c r="D977">
        <v>39.19</v>
      </c>
      <c r="E977">
        <v>46.3</v>
      </c>
      <c r="F977">
        <v>7.11</v>
      </c>
      <c r="G977">
        <f>ABS(lmsi_v1_v2_comparison[[#This Row],[score_change]])</f>
        <v>7.11</v>
      </c>
      <c r="H977" t="str">
        <f>IF(lmsi_v1_v2_comparison[[#This Row],[score_change]]&gt;0, "v2 Higher","v2 Lower")</f>
        <v>v2 Higher</v>
      </c>
    </row>
    <row r="978" spans="1:8" x14ac:dyDescent="0.2">
      <c r="A978" t="s">
        <v>70</v>
      </c>
      <c r="B978" t="s">
        <v>8</v>
      </c>
      <c r="C978" t="s">
        <v>14</v>
      </c>
      <c r="D978">
        <v>39.979999999999997</v>
      </c>
      <c r="E978">
        <v>40.659999999999997</v>
      </c>
      <c r="F978">
        <v>0.68</v>
      </c>
      <c r="G978">
        <f>ABS(lmsi_v1_v2_comparison[[#This Row],[score_change]])</f>
        <v>0.68</v>
      </c>
      <c r="H978" t="str">
        <f>IF(lmsi_v1_v2_comparison[[#This Row],[score_change]]&gt;0, "v2 Higher","v2 Lower")</f>
        <v>v2 Higher</v>
      </c>
    </row>
    <row r="979" spans="1:8" x14ac:dyDescent="0.2">
      <c r="A979" t="s">
        <v>70</v>
      </c>
      <c r="B979" t="s">
        <v>15</v>
      </c>
      <c r="C979" t="s">
        <v>9</v>
      </c>
      <c r="D979">
        <v>64.28</v>
      </c>
      <c r="E979">
        <v>48.69</v>
      </c>
      <c r="F979">
        <v>-15.59</v>
      </c>
      <c r="G979">
        <f>ABS(lmsi_v1_v2_comparison[[#This Row],[score_change]])</f>
        <v>15.59</v>
      </c>
      <c r="H979" t="str">
        <f>IF(lmsi_v1_v2_comparison[[#This Row],[score_change]]&gt;0, "v2 Higher","v2 Lower")</f>
        <v>v2 Lower</v>
      </c>
    </row>
    <row r="980" spans="1:8" x14ac:dyDescent="0.2">
      <c r="A980" t="s">
        <v>70</v>
      </c>
      <c r="B980" t="s">
        <v>15</v>
      </c>
      <c r="C980" t="s">
        <v>10</v>
      </c>
      <c r="D980">
        <v>43.65</v>
      </c>
      <c r="E980">
        <v>40.520000000000003</v>
      </c>
      <c r="F980">
        <v>-3.13</v>
      </c>
      <c r="G980">
        <f>ABS(lmsi_v1_v2_comparison[[#This Row],[score_change]])</f>
        <v>3.13</v>
      </c>
      <c r="H980" t="str">
        <f>IF(lmsi_v1_v2_comparison[[#This Row],[score_change]]&gt;0, "v2 Higher","v2 Lower")</f>
        <v>v2 Lower</v>
      </c>
    </row>
    <row r="981" spans="1:8" x14ac:dyDescent="0.2">
      <c r="A981" t="s">
        <v>70</v>
      </c>
      <c r="B981" t="s">
        <v>15</v>
      </c>
      <c r="C981" t="s">
        <v>11</v>
      </c>
      <c r="D981">
        <v>26.19</v>
      </c>
      <c r="E981">
        <v>27.77</v>
      </c>
      <c r="F981">
        <v>1.58</v>
      </c>
      <c r="G981">
        <f>ABS(lmsi_v1_v2_comparison[[#This Row],[score_change]])</f>
        <v>1.58</v>
      </c>
      <c r="H981" t="str">
        <f>IF(lmsi_v1_v2_comparison[[#This Row],[score_change]]&gt;0, "v2 Higher","v2 Lower")</f>
        <v>v2 Higher</v>
      </c>
    </row>
    <row r="982" spans="1:8" x14ac:dyDescent="0.2">
      <c r="A982" t="s">
        <v>70</v>
      </c>
      <c r="B982" t="s">
        <v>15</v>
      </c>
      <c r="C982" t="s">
        <v>12</v>
      </c>
      <c r="D982">
        <v>45.04</v>
      </c>
      <c r="E982">
        <v>51.48</v>
      </c>
      <c r="F982">
        <v>6.44</v>
      </c>
      <c r="G982">
        <f>ABS(lmsi_v1_v2_comparison[[#This Row],[score_change]])</f>
        <v>6.44</v>
      </c>
      <c r="H982" t="str">
        <f>IF(lmsi_v1_v2_comparison[[#This Row],[score_change]]&gt;0, "v2 Higher","v2 Lower")</f>
        <v>v2 Higher</v>
      </c>
    </row>
    <row r="983" spans="1:8" x14ac:dyDescent="0.2">
      <c r="A983" t="s">
        <v>70</v>
      </c>
      <c r="B983" t="s">
        <v>15</v>
      </c>
      <c r="C983" t="s">
        <v>13</v>
      </c>
      <c r="D983">
        <v>46.57</v>
      </c>
      <c r="E983">
        <v>41.33</v>
      </c>
      <c r="F983">
        <v>-5.24</v>
      </c>
      <c r="G983">
        <f>ABS(lmsi_v1_v2_comparison[[#This Row],[score_change]])</f>
        <v>5.24</v>
      </c>
      <c r="H983" t="str">
        <f>IF(lmsi_v1_v2_comparison[[#This Row],[score_change]]&gt;0, "v2 Higher","v2 Lower")</f>
        <v>v2 Lower</v>
      </c>
    </row>
    <row r="984" spans="1:8" x14ac:dyDescent="0.2">
      <c r="A984" t="s">
        <v>70</v>
      </c>
      <c r="B984" t="s">
        <v>15</v>
      </c>
      <c r="C984" t="s">
        <v>14</v>
      </c>
      <c r="D984">
        <v>59.28</v>
      </c>
      <c r="E984">
        <v>57.26</v>
      </c>
      <c r="F984">
        <v>-2.02</v>
      </c>
      <c r="G984">
        <f>ABS(lmsi_v1_v2_comparison[[#This Row],[score_change]])</f>
        <v>2.02</v>
      </c>
      <c r="H984" t="str">
        <f>IF(lmsi_v1_v2_comparison[[#This Row],[score_change]]&gt;0, "v2 Higher","v2 Lower")</f>
        <v>v2 Lower</v>
      </c>
    </row>
    <row r="985" spans="1:8" x14ac:dyDescent="0.2">
      <c r="A985" t="s">
        <v>70</v>
      </c>
      <c r="B985" t="s">
        <v>16</v>
      </c>
      <c r="C985" t="s">
        <v>9</v>
      </c>
      <c r="D985">
        <v>58.56</v>
      </c>
      <c r="E985">
        <v>47.1</v>
      </c>
      <c r="F985">
        <v>-11.46</v>
      </c>
      <c r="G985">
        <f>ABS(lmsi_v1_v2_comparison[[#This Row],[score_change]])</f>
        <v>11.46</v>
      </c>
      <c r="H985" t="str">
        <f>IF(lmsi_v1_v2_comparison[[#This Row],[score_change]]&gt;0, "v2 Higher","v2 Lower")</f>
        <v>v2 Lower</v>
      </c>
    </row>
    <row r="986" spans="1:8" x14ac:dyDescent="0.2">
      <c r="A986" t="s">
        <v>70</v>
      </c>
      <c r="B986" t="s">
        <v>16</v>
      </c>
      <c r="C986" t="s">
        <v>10</v>
      </c>
      <c r="D986">
        <v>38.700000000000003</v>
      </c>
      <c r="E986">
        <v>37.89</v>
      </c>
      <c r="F986">
        <v>-0.81</v>
      </c>
      <c r="G986">
        <f>ABS(lmsi_v1_v2_comparison[[#This Row],[score_change]])</f>
        <v>0.81</v>
      </c>
      <c r="H986" t="str">
        <f>IF(lmsi_v1_v2_comparison[[#This Row],[score_change]]&gt;0, "v2 Higher","v2 Lower")</f>
        <v>v2 Lower</v>
      </c>
    </row>
    <row r="987" spans="1:8" x14ac:dyDescent="0.2">
      <c r="A987" t="s">
        <v>70</v>
      </c>
      <c r="B987" t="s">
        <v>16</v>
      </c>
      <c r="C987" t="s">
        <v>11</v>
      </c>
      <c r="D987">
        <v>25.45</v>
      </c>
      <c r="E987">
        <v>25.41</v>
      </c>
      <c r="F987">
        <v>-0.04</v>
      </c>
      <c r="G987">
        <f>ABS(lmsi_v1_v2_comparison[[#This Row],[score_change]])</f>
        <v>0.04</v>
      </c>
      <c r="H987" t="str">
        <f>IF(lmsi_v1_v2_comparison[[#This Row],[score_change]]&gt;0, "v2 Higher","v2 Lower")</f>
        <v>v2 Lower</v>
      </c>
    </row>
    <row r="988" spans="1:8" x14ac:dyDescent="0.2">
      <c r="A988" t="s">
        <v>70</v>
      </c>
      <c r="B988" t="s">
        <v>16</v>
      </c>
      <c r="C988" t="s">
        <v>12</v>
      </c>
      <c r="D988">
        <v>40.28</v>
      </c>
      <c r="E988">
        <v>46.08</v>
      </c>
      <c r="F988">
        <v>5.8</v>
      </c>
      <c r="G988">
        <f>ABS(lmsi_v1_v2_comparison[[#This Row],[score_change]])</f>
        <v>5.8</v>
      </c>
      <c r="H988" t="str">
        <f>IF(lmsi_v1_v2_comparison[[#This Row],[score_change]]&gt;0, "v2 Higher","v2 Lower")</f>
        <v>v2 Higher</v>
      </c>
    </row>
    <row r="989" spans="1:8" x14ac:dyDescent="0.2">
      <c r="A989" t="s">
        <v>70</v>
      </c>
      <c r="B989" t="s">
        <v>16</v>
      </c>
      <c r="C989" t="s">
        <v>13</v>
      </c>
      <c r="D989">
        <v>37.08</v>
      </c>
      <c r="E989">
        <v>32.96</v>
      </c>
      <c r="F989">
        <v>-4.12</v>
      </c>
      <c r="G989">
        <f>ABS(lmsi_v1_v2_comparison[[#This Row],[score_change]])</f>
        <v>4.12</v>
      </c>
      <c r="H989" t="str">
        <f>IF(lmsi_v1_v2_comparison[[#This Row],[score_change]]&gt;0, "v2 Higher","v2 Lower")</f>
        <v>v2 Lower</v>
      </c>
    </row>
    <row r="990" spans="1:8" x14ac:dyDescent="0.2">
      <c r="A990" t="s">
        <v>70</v>
      </c>
      <c r="B990" t="s">
        <v>16</v>
      </c>
      <c r="C990" t="s">
        <v>14</v>
      </c>
      <c r="D990">
        <v>42.37</v>
      </c>
      <c r="E990">
        <v>48.7</v>
      </c>
      <c r="F990">
        <v>6.33</v>
      </c>
      <c r="G990">
        <f>ABS(lmsi_v1_v2_comparison[[#This Row],[score_change]])</f>
        <v>6.33</v>
      </c>
      <c r="H990" t="str">
        <f>IF(lmsi_v1_v2_comparison[[#This Row],[score_change]]&gt;0, "v2 Higher","v2 Lower")</f>
        <v>v2 Higher</v>
      </c>
    </row>
    <row r="991" spans="1:8" x14ac:dyDescent="0.2">
      <c r="A991" t="s">
        <v>71</v>
      </c>
      <c r="B991" t="s">
        <v>8</v>
      </c>
      <c r="C991" t="s">
        <v>9</v>
      </c>
      <c r="D991">
        <v>71</v>
      </c>
      <c r="E991">
        <v>55.84</v>
      </c>
      <c r="F991">
        <v>-15.16</v>
      </c>
      <c r="G991">
        <f>ABS(lmsi_v1_v2_comparison[[#This Row],[score_change]])</f>
        <v>15.16</v>
      </c>
      <c r="H991" t="str">
        <f>IF(lmsi_v1_v2_comparison[[#This Row],[score_change]]&gt;0, "v2 Higher","v2 Lower")</f>
        <v>v2 Lower</v>
      </c>
    </row>
    <row r="992" spans="1:8" x14ac:dyDescent="0.2">
      <c r="A992" t="s">
        <v>71</v>
      </c>
      <c r="B992" t="s">
        <v>8</v>
      </c>
      <c r="C992" t="s">
        <v>10</v>
      </c>
      <c r="D992">
        <v>36.85</v>
      </c>
      <c r="E992">
        <v>36.24</v>
      </c>
      <c r="F992">
        <v>-0.61</v>
      </c>
      <c r="G992">
        <f>ABS(lmsi_v1_v2_comparison[[#This Row],[score_change]])</f>
        <v>0.61</v>
      </c>
      <c r="H992" t="str">
        <f>IF(lmsi_v1_v2_comparison[[#This Row],[score_change]]&gt;0, "v2 Higher","v2 Lower")</f>
        <v>v2 Lower</v>
      </c>
    </row>
    <row r="993" spans="1:8" x14ac:dyDescent="0.2">
      <c r="A993" t="s">
        <v>71</v>
      </c>
      <c r="B993" t="s">
        <v>8</v>
      </c>
      <c r="C993" t="s">
        <v>11</v>
      </c>
      <c r="D993">
        <v>26.35</v>
      </c>
      <c r="E993">
        <v>29.48</v>
      </c>
      <c r="F993">
        <v>3.13</v>
      </c>
      <c r="G993">
        <f>ABS(lmsi_v1_v2_comparison[[#This Row],[score_change]])</f>
        <v>3.13</v>
      </c>
      <c r="H993" t="str">
        <f>IF(lmsi_v1_v2_comparison[[#This Row],[score_change]]&gt;0, "v2 Higher","v2 Lower")</f>
        <v>v2 Higher</v>
      </c>
    </row>
    <row r="994" spans="1:8" x14ac:dyDescent="0.2">
      <c r="A994" t="s">
        <v>71</v>
      </c>
      <c r="B994" t="s">
        <v>8</v>
      </c>
      <c r="C994" t="s">
        <v>12</v>
      </c>
      <c r="D994">
        <v>48.96</v>
      </c>
      <c r="E994">
        <v>47.16</v>
      </c>
      <c r="F994">
        <v>-1.8</v>
      </c>
      <c r="G994">
        <f>ABS(lmsi_v1_v2_comparison[[#This Row],[score_change]])</f>
        <v>1.8</v>
      </c>
      <c r="H994" t="str">
        <f>IF(lmsi_v1_v2_comparison[[#This Row],[score_change]]&gt;0, "v2 Higher","v2 Lower")</f>
        <v>v2 Lower</v>
      </c>
    </row>
    <row r="995" spans="1:8" x14ac:dyDescent="0.2">
      <c r="A995" t="s">
        <v>71</v>
      </c>
      <c r="B995" t="s">
        <v>8</v>
      </c>
      <c r="C995" t="s">
        <v>13</v>
      </c>
      <c r="D995">
        <v>42.29</v>
      </c>
      <c r="E995">
        <v>45.81</v>
      </c>
      <c r="F995">
        <v>3.52</v>
      </c>
      <c r="G995">
        <f>ABS(lmsi_v1_v2_comparison[[#This Row],[score_change]])</f>
        <v>3.52</v>
      </c>
      <c r="H995" t="str">
        <f>IF(lmsi_v1_v2_comparison[[#This Row],[score_change]]&gt;0, "v2 Higher","v2 Lower")</f>
        <v>v2 Higher</v>
      </c>
    </row>
    <row r="996" spans="1:8" x14ac:dyDescent="0.2">
      <c r="A996" t="s">
        <v>71</v>
      </c>
      <c r="B996" t="s">
        <v>8</v>
      </c>
      <c r="C996" t="s">
        <v>14</v>
      </c>
      <c r="D996">
        <v>37.630000000000003</v>
      </c>
      <c r="E996">
        <v>35.69</v>
      </c>
      <c r="F996">
        <v>-1.94</v>
      </c>
      <c r="G996">
        <f>ABS(lmsi_v1_v2_comparison[[#This Row],[score_change]])</f>
        <v>1.94</v>
      </c>
      <c r="H996" t="str">
        <f>IF(lmsi_v1_v2_comparison[[#This Row],[score_change]]&gt;0, "v2 Higher","v2 Lower")</f>
        <v>v2 Lower</v>
      </c>
    </row>
    <row r="997" spans="1:8" x14ac:dyDescent="0.2">
      <c r="A997" t="s">
        <v>71</v>
      </c>
      <c r="B997" t="s">
        <v>15</v>
      </c>
      <c r="C997" t="s">
        <v>9</v>
      </c>
      <c r="D997">
        <v>87.87</v>
      </c>
      <c r="E997">
        <v>63.19</v>
      </c>
      <c r="F997">
        <v>-24.68</v>
      </c>
      <c r="G997">
        <f>ABS(lmsi_v1_v2_comparison[[#This Row],[score_change]])</f>
        <v>24.68</v>
      </c>
      <c r="H997" t="str">
        <f>IF(lmsi_v1_v2_comparison[[#This Row],[score_change]]&gt;0, "v2 Higher","v2 Lower")</f>
        <v>v2 Lower</v>
      </c>
    </row>
    <row r="998" spans="1:8" x14ac:dyDescent="0.2">
      <c r="A998" t="s">
        <v>71</v>
      </c>
      <c r="B998" t="s">
        <v>15</v>
      </c>
      <c r="C998" t="s">
        <v>10</v>
      </c>
      <c r="D998">
        <v>42.79</v>
      </c>
      <c r="E998">
        <v>39.29</v>
      </c>
      <c r="F998">
        <v>-3.5</v>
      </c>
      <c r="G998">
        <f>ABS(lmsi_v1_v2_comparison[[#This Row],[score_change]])</f>
        <v>3.5</v>
      </c>
      <c r="H998" t="str">
        <f>IF(lmsi_v1_v2_comparison[[#This Row],[score_change]]&gt;0, "v2 Higher","v2 Lower")</f>
        <v>v2 Lower</v>
      </c>
    </row>
    <row r="999" spans="1:8" x14ac:dyDescent="0.2">
      <c r="A999" t="s">
        <v>71</v>
      </c>
      <c r="B999" t="s">
        <v>15</v>
      </c>
      <c r="C999" t="s">
        <v>11</v>
      </c>
      <c r="D999">
        <v>30.22</v>
      </c>
      <c r="E999">
        <v>32.5</v>
      </c>
      <c r="F999">
        <v>2.2799999999999998</v>
      </c>
      <c r="G999">
        <f>ABS(lmsi_v1_v2_comparison[[#This Row],[score_change]])</f>
        <v>2.2799999999999998</v>
      </c>
      <c r="H999" t="str">
        <f>IF(lmsi_v1_v2_comparison[[#This Row],[score_change]]&gt;0, "v2 Higher","v2 Lower")</f>
        <v>v2 Higher</v>
      </c>
    </row>
    <row r="1000" spans="1:8" x14ac:dyDescent="0.2">
      <c r="A1000" t="s">
        <v>71</v>
      </c>
      <c r="B1000" t="s">
        <v>15</v>
      </c>
      <c r="C1000" t="s">
        <v>12</v>
      </c>
      <c r="D1000">
        <v>58.66</v>
      </c>
      <c r="E1000">
        <v>53.72</v>
      </c>
      <c r="F1000">
        <v>-4.9400000000000004</v>
      </c>
      <c r="G1000">
        <f>ABS(lmsi_v1_v2_comparison[[#This Row],[score_change]])</f>
        <v>4.9400000000000004</v>
      </c>
      <c r="H1000" t="str">
        <f>IF(lmsi_v1_v2_comparison[[#This Row],[score_change]]&gt;0, "v2 Higher","v2 Lower")</f>
        <v>v2 Lower</v>
      </c>
    </row>
    <row r="1001" spans="1:8" x14ac:dyDescent="0.2">
      <c r="A1001" t="s">
        <v>71</v>
      </c>
      <c r="B1001" t="s">
        <v>15</v>
      </c>
      <c r="C1001" t="s">
        <v>13</v>
      </c>
      <c r="D1001">
        <v>55.47</v>
      </c>
      <c r="E1001">
        <v>51.92</v>
      </c>
      <c r="F1001">
        <v>-3.55</v>
      </c>
      <c r="G1001">
        <f>ABS(lmsi_v1_v2_comparison[[#This Row],[score_change]])</f>
        <v>3.55</v>
      </c>
      <c r="H1001" t="str">
        <f>IF(lmsi_v1_v2_comparison[[#This Row],[score_change]]&gt;0, "v2 Higher","v2 Lower")</f>
        <v>v2 Lower</v>
      </c>
    </row>
    <row r="1002" spans="1:8" x14ac:dyDescent="0.2">
      <c r="A1002" t="s">
        <v>71</v>
      </c>
      <c r="B1002" t="s">
        <v>15</v>
      </c>
      <c r="C1002" t="s">
        <v>14</v>
      </c>
      <c r="D1002">
        <v>57.66</v>
      </c>
      <c r="E1002">
        <v>50.24</v>
      </c>
      <c r="F1002">
        <v>-7.42</v>
      </c>
      <c r="G1002">
        <f>ABS(lmsi_v1_v2_comparison[[#This Row],[score_change]])</f>
        <v>7.42</v>
      </c>
      <c r="H1002" t="str">
        <f>IF(lmsi_v1_v2_comparison[[#This Row],[score_change]]&gt;0, "v2 Higher","v2 Lower")</f>
        <v>v2 Lower</v>
      </c>
    </row>
    <row r="1003" spans="1:8" x14ac:dyDescent="0.2">
      <c r="A1003" t="s">
        <v>71</v>
      </c>
      <c r="B1003" t="s">
        <v>16</v>
      </c>
      <c r="C1003" t="s">
        <v>9</v>
      </c>
      <c r="D1003">
        <v>78.650000000000006</v>
      </c>
      <c r="E1003">
        <v>57.43</v>
      </c>
      <c r="F1003">
        <v>-21.22</v>
      </c>
      <c r="G1003">
        <f>ABS(lmsi_v1_v2_comparison[[#This Row],[score_change]])</f>
        <v>21.22</v>
      </c>
      <c r="H1003" t="str">
        <f>IF(lmsi_v1_v2_comparison[[#This Row],[score_change]]&gt;0, "v2 Higher","v2 Lower")</f>
        <v>v2 Lower</v>
      </c>
    </row>
    <row r="1004" spans="1:8" x14ac:dyDescent="0.2">
      <c r="A1004" t="s">
        <v>71</v>
      </c>
      <c r="B1004" t="s">
        <v>16</v>
      </c>
      <c r="C1004" t="s">
        <v>10</v>
      </c>
      <c r="D1004">
        <v>40.43</v>
      </c>
      <c r="E1004">
        <v>38.46</v>
      </c>
      <c r="F1004">
        <v>-1.97</v>
      </c>
      <c r="G1004">
        <f>ABS(lmsi_v1_v2_comparison[[#This Row],[score_change]])</f>
        <v>1.97</v>
      </c>
      <c r="H1004" t="str">
        <f>IF(lmsi_v1_v2_comparison[[#This Row],[score_change]]&gt;0, "v2 Higher","v2 Lower")</f>
        <v>v2 Lower</v>
      </c>
    </row>
    <row r="1005" spans="1:8" x14ac:dyDescent="0.2">
      <c r="A1005" t="s">
        <v>71</v>
      </c>
      <c r="B1005" t="s">
        <v>16</v>
      </c>
      <c r="C1005" t="s">
        <v>11</v>
      </c>
      <c r="D1005">
        <v>28.01</v>
      </c>
      <c r="E1005">
        <v>28.75</v>
      </c>
      <c r="F1005">
        <v>0.74</v>
      </c>
      <c r="G1005">
        <f>ABS(lmsi_v1_v2_comparison[[#This Row],[score_change]])</f>
        <v>0.74</v>
      </c>
      <c r="H1005" t="str">
        <f>IF(lmsi_v1_v2_comparison[[#This Row],[score_change]]&gt;0, "v2 Higher","v2 Lower")</f>
        <v>v2 Higher</v>
      </c>
    </row>
    <row r="1006" spans="1:8" x14ac:dyDescent="0.2">
      <c r="A1006" t="s">
        <v>71</v>
      </c>
      <c r="B1006" t="s">
        <v>16</v>
      </c>
      <c r="C1006" t="s">
        <v>12</v>
      </c>
      <c r="D1006">
        <v>51.14</v>
      </c>
      <c r="E1006">
        <v>56.75</v>
      </c>
      <c r="F1006">
        <v>5.61</v>
      </c>
      <c r="G1006">
        <f>ABS(lmsi_v1_v2_comparison[[#This Row],[score_change]])</f>
        <v>5.61</v>
      </c>
      <c r="H1006" t="str">
        <f>IF(lmsi_v1_v2_comparison[[#This Row],[score_change]]&gt;0, "v2 Higher","v2 Lower")</f>
        <v>v2 Higher</v>
      </c>
    </row>
    <row r="1007" spans="1:8" x14ac:dyDescent="0.2">
      <c r="A1007" t="s">
        <v>71</v>
      </c>
      <c r="B1007" t="s">
        <v>16</v>
      </c>
      <c r="C1007" t="s">
        <v>13</v>
      </c>
      <c r="D1007">
        <v>40.35</v>
      </c>
      <c r="E1007">
        <v>43.98</v>
      </c>
      <c r="F1007">
        <v>3.63</v>
      </c>
      <c r="G1007">
        <f>ABS(lmsi_v1_v2_comparison[[#This Row],[score_change]])</f>
        <v>3.63</v>
      </c>
      <c r="H1007" t="str">
        <f>IF(lmsi_v1_v2_comparison[[#This Row],[score_change]]&gt;0, "v2 Higher","v2 Lower")</f>
        <v>v2 Higher</v>
      </c>
    </row>
    <row r="1008" spans="1:8" x14ac:dyDescent="0.2">
      <c r="A1008" t="s">
        <v>71</v>
      </c>
      <c r="B1008" t="s">
        <v>16</v>
      </c>
      <c r="C1008" t="s">
        <v>14</v>
      </c>
      <c r="D1008">
        <v>41.55</v>
      </c>
      <c r="E1008">
        <v>39.380000000000003</v>
      </c>
      <c r="F1008">
        <v>-2.17</v>
      </c>
      <c r="G1008">
        <f>ABS(lmsi_v1_v2_comparison[[#This Row],[score_change]])</f>
        <v>2.17</v>
      </c>
      <c r="H1008" t="str">
        <f>IF(lmsi_v1_v2_comparison[[#This Row],[score_change]]&gt;0, "v2 Higher","v2 Lower")</f>
        <v>v2 Lower</v>
      </c>
    </row>
    <row r="1009" spans="1:8" x14ac:dyDescent="0.2">
      <c r="A1009" t="s">
        <v>72</v>
      </c>
      <c r="B1009" t="s">
        <v>8</v>
      </c>
      <c r="C1009" t="s">
        <v>9</v>
      </c>
      <c r="D1009">
        <v>54.89</v>
      </c>
      <c r="E1009">
        <v>43.77</v>
      </c>
      <c r="F1009">
        <v>-11.12</v>
      </c>
      <c r="G1009">
        <f>ABS(lmsi_v1_v2_comparison[[#This Row],[score_change]])</f>
        <v>11.12</v>
      </c>
      <c r="H1009" t="str">
        <f>IF(lmsi_v1_v2_comparison[[#This Row],[score_change]]&gt;0, "v2 Higher","v2 Lower")</f>
        <v>v2 Lower</v>
      </c>
    </row>
    <row r="1010" spans="1:8" x14ac:dyDescent="0.2">
      <c r="A1010" t="s">
        <v>72</v>
      </c>
      <c r="B1010" t="s">
        <v>8</v>
      </c>
      <c r="C1010" t="s">
        <v>10</v>
      </c>
      <c r="D1010">
        <v>34.659999999999997</v>
      </c>
      <c r="E1010">
        <v>33.299999999999997</v>
      </c>
      <c r="F1010">
        <v>-1.36</v>
      </c>
      <c r="G1010">
        <f>ABS(lmsi_v1_v2_comparison[[#This Row],[score_change]])</f>
        <v>1.36</v>
      </c>
      <c r="H1010" t="str">
        <f>IF(lmsi_v1_v2_comparison[[#This Row],[score_change]]&gt;0, "v2 Higher","v2 Lower")</f>
        <v>v2 Lower</v>
      </c>
    </row>
    <row r="1011" spans="1:8" x14ac:dyDescent="0.2">
      <c r="A1011" t="s">
        <v>72</v>
      </c>
      <c r="B1011" t="s">
        <v>8</v>
      </c>
      <c r="C1011" t="s">
        <v>11</v>
      </c>
      <c r="D1011">
        <v>32.659999999999997</v>
      </c>
      <c r="E1011">
        <v>32.43</v>
      </c>
      <c r="F1011">
        <v>-0.23</v>
      </c>
      <c r="G1011">
        <f>ABS(lmsi_v1_v2_comparison[[#This Row],[score_change]])</f>
        <v>0.23</v>
      </c>
      <c r="H1011" t="str">
        <f>IF(lmsi_v1_v2_comparison[[#This Row],[score_change]]&gt;0, "v2 Higher","v2 Lower")</f>
        <v>v2 Lower</v>
      </c>
    </row>
    <row r="1012" spans="1:8" x14ac:dyDescent="0.2">
      <c r="A1012" t="s">
        <v>72</v>
      </c>
      <c r="B1012" t="s">
        <v>8</v>
      </c>
      <c r="C1012" t="s">
        <v>12</v>
      </c>
      <c r="D1012">
        <v>52.21</v>
      </c>
      <c r="E1012">
        <v>51.08</v>
      </c>
      <c r="F1012">
        <v>-1.1299999999999999</v>
      </c>
      <c r="G1012">
        <f>ABS(lmsi_v1_v2_comparison[[#This Row],[score_change]])</f>
        <v>1.1299999999999999</v>
      </c>
      <c r="H1012" t="str">
        <f>IF(lmsi_v1_v2_comparison[[#This Row],[score_change]]&gt;0, "v2 Higher","v2 Lower")</f>
        <v>v2 Lower</v>
      </c>
    </row>
    <row r="1013" spans="1:8" x14ac:dyDescent="0.2">
      <c r="A1013" t="s">
        <v>72</v>
      </c>
      <c r="B1013" t="s">
        <v>8</v>
      </c>
      <c r="C1013" t="s">
        <v>13</v>
      </c>
      <c r="D1013">
        <v>37.86</v>
      </c>
      <c r="E1013">
        <v>35.79</v>
      </c>
      <c r="F1013">
        <v>-2.0699999999999998</v>
      </c>
      <c r="G1013">
        <f>ABS(lmsi_v1_v2_comparison[[#This Row],[score_change]])</f>
        <v>2.0699999999999998</v>
      </c>
      <c r="H1013" t="str">
        <f>IF(lmsi_v1_v2_comparison[[#This Row],[score_change]]&gt;0, "v2 Higher","v2 Lower")</f>
        <v>v2 Lower</v>
      </c>
    </row>
    <row r="1014" spans="1:8" x14ac:dyDescent="0.2">
      <c r="A1014" t="s">
        <v>72</v>
      </c>
      <c r="B1014" t="s">
        <v>8</v>
      </c>
      <c r="C1014" t="s">
        <v>14</v>
      </c>
      <c r="D1014">
        <v>37.33</v>
      </c>
      <c r="E1014">
        <v>36.64</v>
      </c>
      <c r="F1014">
        <v>-0.69</v>
      </c>
      <c r="G1014">
        <f>ABS(lmsi_v1_v2_comparison[[#This Row],[score_change]])</f>
        <v>0.69</v>
      </c>
      <c r="H1014" t="str">
        <f>IF(lmsi_v1_v2_comparison[[#This Row],[score_change]]&gt;0, "v2 Higher","v2 Lower")</f>
        <v>v2 Lower</v>
      </c>
    </row>
    <row r="1015" spans="1:8" x14ac:dyDescent="0.2">
      <c r="A1015" t="s">
        <v>72</v>
      </c>
      <c r="B1015" t="s">
        <v>15</v>
      </c>
      <c r="C1015" t="s">
        <v>9</v>
      </c>
      <c r="D1015">
        <v>68.59</v>
      </c>
      <c r="E1015">
        <v>55.42</v>
      </c>
      <c r="F1015">
        <v>-13.17</v>
      </c>
      <c r="G1015">
        <f>ABS(lmsi_v1_v2_comparison[[#This Row],[score_change]])</f>
        <v>13.17</v>
      </c>
      <c r="H1015" t="str">
        <f>IF(lmsi_v1_v2_comparison[[#This Row],[score_change]]&gt;0, "v2 Higher","v2 Lower")</f>
        <v>v2 Lower</v>
      </c>
    </row>
    <row r="1016" spans="1:8" x14ac:dyDescent="0.2">
      <c r="A1016" t="s">
        <v>72</v>
      </c>
      <c r="B1016" t="s">
        <v>15</v>
      </c>
      <c r="C1016" t="s">
        <v>10</v>
      </c>
      <c r="D1016">
        <v>41.5</v>
      </c>
      <c r="E1016">
        <v>39.119999999999997</v>
      </c>
      <c r="F1016">
        <v>-2.38</v>
      </c>
      <c r="G1016">
        <f>ABS(lmsi_v1_v2_comparison[[#This Row],[score_change]])</f>
        <v>2.38</v>
      </c>
      <c r="H1016" t="str">
        <f>IF(lmsi_v1_v2_comparison[[#This Row],[score_change]]&gt;0, "v2 Higher","v2 Lower")</f>
        <v>v2 Lower</v>
      </c>
    </row>
    <row r="1017" spans="1:8" x14ac:dyDescent="0.2">
      <c r="A1017" t="s">
        <v>72</v>
      </c>
      <c r="B1017" t="s">
        <v>15</v>
      </c>
      <c r="C1017" t="s">
        <v>11</v>
      </c>
      <c r="D1017">
        <v>37.25</v>
      </c>
      <c r="E1017">
        <v>40.590000000000003</v>
      </c>
      <c r="F1017">
        <v>3.34</v>
      </c>
      <c r="G1017">
        <f>ABS(lmsi_v1_v2_comparison[[#This Row],[score_change]])</f>
        <v>3.34</v>
      </c>
      <c r="H1017" t="str">
        <f>IF(lmsi_v1_v2_comparison[[#This Row],[score_change]]&gt;0, "v2 Higher","v2 Lower")</f>
        <v>v2 Higher</v>
      </c>
    </row>
    <row r="1018" spans="1:8" x14ac:dyDescent="0.2">
      <c r="A1018" t="s">
        <v>72</v>
      </c>
      <c r="B1018" t="s">
        <v>15</v>
      </c>
      <c r="C1018" t="s">
        <v>12</v>
      </c>
      <c r="D1018">
        <v>63.34</v>
      </c>
      <c r="E1018">
        <v>58.26</v>
      </c>
      <c r="F1018">
        <v>-5.08</v>
      </c>
      <c r="G1018">
        <f>ABS(lmsi_v1_v2_comparison[[#This Row],[score_change]])</f>
        <v>5.08</v>
      </c>
      <c r="H1018" t="str">
        <f>IF(lmsi_v1_v2_comparison[[#This Row],[score_change]]&gt;0, "v2 Higher","v2 Lower")</f>
        <v>v2 Lower</v>
      </c>
    </row>
    <row r="1019" spans="1:8" x14ac:dyDescent="0.2">
      <c r="A1019" t="s">
        <v>72</v>
      </c>
      <c r="B1019" t="s">
        <v>15</v>
      </c>
      <c r="C1019" t="s">
        <v>13</v>
      </c>
      <c r="D1019">
        <v>47.43</v>
      </c>
      <c r="E1019">
        <v>45.19</v>
      </c>
      <c r="F1019">
        <v>-2.2400000000000002</v>
      </c>
      <c r="G1019">
        <f>ABS(lmsi_v1_v2_comparison[[#This Row],[score_change]])</f>
        <v>2.2400000000000002</v>
      </c>
      <c r="H1019" t="str">
        <f>IF(lmsi_v1_v2_comparison[[#This Row],[score_change]]&gt;0, "v2 Higher","v2 Lower")</f>
        <v>v2 Lower</v>
      </c>
    </row>
    <row r="1020" spans="1:8" x14ac:dyDescent="0.2">
      <c r="A1020" t="s">
        <v>72</v>
      </c>
      <c r="B1020" t="s">
        <v>15</v>
      </c>
      <c r="C1020" t="s">
        <v>14</v>
      </c>
      <c r="D1020">
        <v>53.6</v>
      </c>
      <c r="E1020">
        <v>45.65</v>
      </c>
      <c r="F1020">
        <v>-7.95</v>
      </c>
      <c r="G1020">
        <f>ABS(lmsi_v1_v2_comparison[[#This Row],[score_change]])</f>
        <v>7.95</v>
      </c>
      <c r="H1020" t="str">
        <f>IF(lmsi_v1_v2_comparison[[#This Row],[score_change]]&gt;0, "v2 Higher","v2 Lower")</f>
        <v>v2 Lower</v>
      </c>
    </row>
    <row r="1021" spans="1:8" x14ac:dyDescent="0.2">
      <c r="A1021" t="s">
        <v>72</v>
      </c>
      <c r="B1021" t="s">
        <v>16</v>
      </c>
      <c r="C1021" t="s">
        <v>9</v>
      </c>
      <c r="D1021">
        <v>63.66</v>
      </c>
      <c r="E1021">
        <v>49.52</v>
      </c>
      <c r="F1021">
        <v>-14.14</v>
      </c>
      <c r="G1021">
        <f>ABS(lmsi_v1_v2_comparison[[#This Row],[score_change]])</f>
        <v>14.14</v>
      </c>
      <c r="H1021" t="str">
        <f>IF(lmsi_v1_v2_comparison[[#This Row],[score_change]]&gt;0, "v2 Higher","v2 Lower")</f>
        <v>v2 Lower</v>
      </c>
    </row>
    <row r="1022" spans="1:8" x14ac:dyDescent="0.2">
      <c r="A1022" t="s">
        <v>72</v>
      </c>
      <c r="B1022" t="s">
        <v>16</v>
      </c>
      <c r="C1022" t="s">
        <v>10</v>
      </c>
      <c r="D1022">
        <v>37.130000000000003</v>
      </c>
      <c r="E1022">
        <v>38.26</v>
      </c>
      <c r="F1022">
        <v>1.1299999999999999</v>
      </c>
      <c r="G1022">
        <f>ABS(lmsi_v1_v2_comparison[[#This Row],[score_change]])</f>
        <v>1.1299999999999999</v>
      </c>
      <c r="H1022" t="str">
        <f>IF(lmsi_v1_v2_comparison[[#This Row],[score_change]]&gt;0, "v2 Higher","v2 Lower")</f>
        <v>v2 Higher</v>
      </c>
    </row>
    <row r="1023" spans="1:8" x14ac:dyDescent="0.2">
      <c r="A1023" t="s">
        <v>72</v>
      </c>
      <c r="B1023" t="s">
        <v>16</v>
      </c>
      <c r="C1023" t="s">
        <v>11</v>
      </c>
      <c r="D1023">
        <v>33.46</v>
      </c>
      <c r="E1023">
        <v>36.01</v>
      </c>
      <c r="F1023">
        <v>2.5499999999999998</v>
      </c>
      <c r="G1023">
        <f>ABS(lmsi_v1_v2_comparison[[#This Row],[score_change]])</f>
        <v>2.5499999999999998</v>
      </c>
      <c r="H1023" t="str">
        <f>IF(lmsi_v1_v2_comparison[[#This Row],[score_change]]&gt;0, "v2 Higher","v2 Lower")</f>
        <v>v2 Higher</v>
      </c>
    </row>
    <row r="1024" spans="1:8" x14ac:dyDescent="0.2">
      <c r="A1024" t="s">
        <v>72</v>
      </c>
      <c r="B1024" t="s">
        <v>16</v>
      </c>
      <c r="C1024" t="s">
        <v>12</v>
      </c>
      <c r="D1024">
        <v>55.17</v>
      </c>
      <c r="E1024">
        <v>53.22</v>
      </c>
      <c r="F1024">
        <v>-1.95</v>
      </c>
      <c r="G1024">
        <f>ABS(lmsi_v1_v2_comparison[[#This Row],[score_change]])</f>
        <v>1.95</v>
      </c>
      <c r="H1024" t="str">
        <f>IF(lmsi_v1_v2_comparison[[#This Row],[score_change]]&gt;0, "v2 Higher","v2 Lower")</f>
        <v>v2 Lower</v>
      </c>
    </row>
    <row r="1025" spans="1:8" x14ac:dyDescent="0.2">
      <c r="A1025" t="s">
        <v>72</v>
      </c>
      <c r="B1025" t="s">
        <v>16</v>
      </c>
      <c r="C1025" t="s">
        <v>13</v>
      </c>
      <c r="D1025">
        <v>39.799999999999997</v>
      </c>
      <c r="E1025">
        <v>39.14</v>
      </c>
      <c r="F1025">
        <v>-0.66</v>
      </c>
      <c r="G1025">
        <f>ABS(lmsi_v1_v2_comparison[[#This Row],[score_change]])</f>
        <v>0.66</v>
      </c>
      <c r="H1025" t="str">
        <f>IF(lmsi_v1_v2_comparison[[#This Row],[score_change]]&gt;0, "v2 Higher","v2 Lower")</f>
        <v>v2 Lower</v>
      </c>
    </row>
    <row r="1026" spans="1:8" x14ac:dyDescent="0.2">
      <c r="A1026" t="s">
        <v>72</v>
      </c>
      <c r="B1026" t="s">
        <v>16</v>
      </c>
      <c r="C1026" t="s">
        <v>14</v>
      </c>
      <c r="D1026">
        <v>41.15</v>
      </c>
      <c r="E1026">
        <v>41.69</v>
      </c>
      <c r="F1026">
        <v>0.54</v>
      </c>
      <c r="G1026">
        <f>ABS(lmsi_v1_v2_comparison[[#This Row],[score_change]])</f>
        <v>0.54</v>
      </c>
      <c r="H1026" t="str">
        <f>IF(lmsi_v1_v2_comparison[[#This Row],[score_change]]&gt;0, "v2 Higher","v2 Lower")</f>
        <v>v2 Higher</v>
      </c>
    </row>
    <row r="1027" spans="1:8" x14ac:dyDescent="0.2">
      <c r="A1027" t="s">
        <v>73</v>
      </c>
      <c r="B1027" t="s">
        <v>8</v>
      </c>
      <c r="C1027" t="s">
        <v>9</v>
      </c>
      <c r="D1027">
        <v>52.48</v>
      </c>
      <c r="E1027">
        <v>42.25</v>
      </c>
      <c r="F1027">
        <v>-10.23</v>
      </c>
      <c r="G1027">
        <f>ABS(lmsi_v1_v2_comparison[[#This Row],[score_change]])</f>
        <v>10.23</v>
      </c>
      <c r="H1027" t="str">
        <f>IF(lmsi_v1_v2_comparison[[#This Row],[score_change]]&gt;0, "v2 Higher","v2 Lower")</f>
        <v>v2 Lower</v>
      </c>
    </row>
    <row r="1028" spans="1:8" x14ac:dyDescent="0.2">
      <c r="A1028" t="s">
        <v>73</v>
      </c>
      <c r="B1028" t="s">
        <v>8</v>
      </c>
      <c r="C1028" t="s">
        <v>10</v>
      </c>
      <c r="D1028">
        <v>35.450000000000003</v>
      </c>
      <c r="E1028">
        <v>32.450000000000003</v>
      </c>
      <c r="F1028">
        <v>-3</v>
      </c>
      <c r="G1028">
        <f>ABS(lmsi_v1_v2_comparison[[#This Row],[score_change]])</f>
        <v>3</v>
      </c>
      <c r="H1028" t="str">
        <f>IF(lmsi_v1_v2_comparison[[#This Row],[score_change]]&gt;0, "v2 Higher","v2 Lower")</f>
        <v>v2 Lower</v>
      </c>
    </row>
    <row r="1029" spans="1:8" x14ac:dyDescent="0.2">
      <c r="A1029" t="s">
        <v>73</v>
      </c>
      <c r="B1029" t="s">
        <v>8</v>
      </c>
      <c r="C1029" t="s">
        <v>11</v>
      </c>
      <c r="D1029">
        <v>29.51</v>
      </c>
      <c r="E1029">
        <v>28.27</v>
      </c>
      <c r="F1029">
        <v>-1.24</v>
      </c>
      <c r="G1029">
        <f>ABS(lmsi_v1_v2_comparison[[#This Row],[score_change]])</f>
        <v>1.24</v>
      </c>
      <c r="H1029" t="str">
        <f>IF(lmsi_v1_v2_comparison[[#This Row],[score_change]]&gt;0, "v2 Higher","v2 Lower")</f>
        <v>v2 Lower</v>
      </c>
    </row>
    <row r="1030" spans="1:8" x14ac:dyDescent="0.2">
      <c r="A1030" t="s">
        <v>73</v>
      </c>
      <c r="B1030" t="s">
        <v>8</v>
      </c>
      <c r="C1030" t="s">
        <v>12</v>
      </c>
      <c r="D1030">
        <v>49.67</v>
      </c>
      <c r="E1030">
        <v>51.35</v>
      </c>
      <c r="F1030">
        <v>1.68</v>
      </c>
      <c r="G1030">
        <f>ABS(lmsi_v1_v2_comparison[[#This Row],[score_change]])</f>
        <v>1.68</v>
      </c>
      <c r="H1030" t="str">
        <f>IF(lmsi_v1_v2_comparison[[#This Row],[score_change]]&gt;0, "v2 Higher","v2 Lower")</f>
        <v>v2 Higher</v>
      </c>
    </row>
    <row r="1031" spans="1:8" x14ac:dyDescent="0.2">
      <c r="A1031" t="s">
        <v>73</v>
      </c>
      <c r="B1031" t="s">
        <v>8</v>
      </c>
      <c r="C1031" t="s">
        <v>13</v>
      </c>
      <c r="D1031">
        <v>36.630000000000003</v>
      </c>
      <c r="E1031">
        <v>34.96</v>
      </c>
      <c r="F1031">
        <v>-1.67</v>
      </c>
      <c r="G1031">
        <f>ABS(lmsi_v1_v2_comparison[[#This Row],[score_change]])</f>
        <v>1.67</v>
      </c>
      <c r="H1031" t="str">
        <f>IF(lmsi_v1_v2_comparison[[#This Row],[score_change]]&gt;0, "v2 Higher","v2 Lower")</f>
        <v>v2 Lower</v>
      </c>
    </row>
    <row r="1032" spans="1:8" x14ac:dyDescent="0.2">
      <c r="A1032" t="s">
        <v>73</v>
      </c>
      <c r="B1032" t="s">
        <v>8</v>
      </c>
      <c r="C1032" t="s">
        <v>14</v>
      </c>
      <c r="D1032">
        <v>32.299999999999997</v>
      </c>
      <c r="E1032">
        <v>31.05</v>
      </c>
      <c r="F1032">
        <v>-1.25</v>
      </c>
      <c r="G1032">
        <f>ABS(lmsi_v1_v2_comparison[[#This Row],[score_change]])</f>
        <v>1.25</v>
      </c>
      <c r="H1032" t="str">
        <f>IF(lmsi_v1_v2_comparison[[#This Row],[score_change]]&gt;0, "v2 Higher","v2 Lower")</f>
        <v>v2 Lower</v>
      </c>
    </row>
    <row r="1033" spans="1:8" x14ac:dyDescent="0.2">
      <c r="A1033" t="s">
        <v>73</v>
      </c>
      <c r="B1033" t="s">
        <v>15</v>
      </c>
      <c r="C1033" t="s">
        <v>9</v>
      </c>
      <c r="D1033">
        <v>61.52</v>
      </c>
      <c r="E1033">
        <v>47.92</v>
      </c>
      <c r="F1033">
        <v>-13.6</v>
      </c>
      <c r="G1033">
        <f>ABS(lmsi_v1_v2_comparison[[#This Row],[score_change]])</f>
        <v>13.6</v>
      </c>
      <c r="H1033" t="str">
        <f>IF(lmsi_v1_v2_comparison[[#This Row],[score_change]]&gt;0, "v2 Higher","v2 Lower")</f>
        <v>v2 Lower</v>
      </c>
    </row>
    <row r="1034" spans="1:8" x14ac:dyDescent="0.2">
      <c r="A1034" t="s">
        <v>73</v>
      </c>
      <c r="B1034" t="s">
        <v>15</v>
      </c>
      <c r="C1034" t="s">
        <v>10</v>
      </c>
      <c r="D1034">
        <v>42.71</v>
      </c>
      <c r="E1034">
        <v>38.18</v>
      </c>
      <c r="F1034">
        <v>-4.53</v>
      </c>
      <c r="G1034">
        <f>ABS(lmsi_v1_v2_comparison[[#This Row],[score_change]])</f>
        <v>4.53</v>
      </c>
      <c r="H1034" t="str">
        <f>IF(lmsi_v1_v2_comparison[[#This Row],[score_change]]&gt;0, "v2 Higher","v2 Lower")</f>
        <v>v2 Lower</v>
      </c>
    </row>
    <row r="1035" spans="1:8" x14ac:dyDescent="0.2">
      <c r="A1035" t="s">
        <v>73</v>
      </c>
      <c r="B1035" t="s">
        <v>15</v>
      </c>
      <c r="C1035" t="s">
        <v>11</v>
      </c>
      <c r="D1035">
        <v>34.01</v>
      </c>
      <c r="E1035">
        <v>33.270000000000003</v>
      </c>
      <c r="F1035">
        <v>-0.74</v>
      </c>
      <c r="G1035">
        <f>ABS(lmsi_v1_v2_comparison[[#This Row],[score_change]])</f>
        <v>0.74</v>
      </c>
      <c r="H1035" t="str">
        <f>IF(lmsi_v1_v2_comparison[[#This Row],[score_change]]&gt;0, "v2 Higher","v2 Lower")</f>
        <v>v2 Lower</v>
      </c>
    </row>
    <row r="1036" spans="1:8" x14ac:dyDescent="0.2">
      <c r="A1036" t="s">
        <v>73</v>
      </c>
      <c r="B1036" t="s">
        <v>15</v>
      </c>
      <c r="C1036" t="s">
        <v>12</v>
      </c>
      <c r="D1036">
        <v>61.19</v>
      </c>
      <c r="E1036">
        <v>54.69</v>
      </c>
      <c r="F1036">
        <v>-6.5</v>
      </c>
      <c r="G1036">
        <f>ABS(lmsi_v1_v2_comparison[[#This Row],[score_change]])</f>
        <v>6.5</v>
      </c>
      <c r="H1036" t="str">
        <f>IF(lmsi_v1_v2_comparison[[#This Row],[score_change]]&gt;0, "v2 Higher","v2 Lower")</f>
        <v>v2 Lower</v>
      </c>
    </row>
    <row r="1037" spans="1:8" x14ac:dyDescent="0.2">
      <c r="A1037" t="s">
        <v>73</v>
      </c>
      <c r="B1037" t="s">
        <v>15</v>
      </c>
      <c r="C1037" t="s">
        <v>13</v>
      </c>
      <c r="D1037">
        <v>45.86</v>
      </c>
      <c r="E1037">
        <v>39.9</v>
      </c>
      <c r="F1037">
        <v>-5.96</v>
      </c>
      <c r="G1037">
        <f>ABS(lmsi_v1_v2_comparison[[#This Row],[score_change]])</f>
        <v>5.96</v>
      </c>
      <c r="H1037" t="str">
        <f>IF(lmsi_v1_v2_comparison[[#This Row],[score_change]]&gt;0, "v2 Higher","v2 Lower")</f>
        <v>v2 Lower</v>
      </c>
    </row>
    <row r="1038" spans="1:8" x14ac:dyDescent="0.2">
      <c r="A1038" t="s">
        <v>73</v>
      </c>
      <c r="B1038" t="s">
        <v>15</v>
      </c>
      <c r="C1038" t="s">
        <v>14</v>
      </c>
      <c r="D1038">
        <v>44.2</v>
      </c>
      <c r="E1038">
        <v>41.28</v>
      </c>
      <c r="F1038">
        <v>-2.92</v>
      </c>
      <c r="G1038">
        <f>ABS(lmsi_v1_v2_comparison[[#This Row],[score_change]])</f>
        <v>2.92</v>
      </c>
      <c r="H1038" t="str">
        <f>IF(lmsi_v1_v2_comparison[[#This Row],[score_change]]&gt;0, "v2 Higher","v2 Lower")</f>
        <v>v2 Lower</v>
      </c>
    </row>
    <row r="1039" spans="1:8" x14ac:dyDescent="0.2">
      <c r="A1039" t="s">
        <v>73</v>
      </c>
      <c r="B1039" t="s">
        <v>16</v>
      </c>
      <c r="C1039" t="s">
        <v>9</v>
      </c>
      <c r="D1039">
        <v>57.44</v>
      </c>
      <c r="E1039">
        <v>44.31</v>
      </c>
      <c r="F1039">
        <v>-13.13</v>
      </c>
      <c r="G1039">
        <f>ABS(lmsi_v1_v2_comparison[[#This Row],[score_change]])</f>
        <v>13.13</v>
      </c>
      <c r="H1039" t="str">
        <f>IF(lmsi_v1_v2_comparison[[#This Row],[score_change]]&gt;0, "v2 Higher","v2 Lower")</f>
        <v>v2 Lower</v>
      </c>
    </row>
    <row r="1040" spans="1:8" x14ac:dyDescent="0.2">
      <c r="A1040" t="s">
        <v>73</v>
      </c>
      <c r="B1040" t="s">
        <v>16</v>
      </c>
      <c r="C1040" t="s">
        <v>10</v>
      </c>
      <c r="D1040">
        <v>37.630000000000003</v>
      </c>
      <c r="E1040">
        <v>35.020000000000003</v>
      </c>
      <c r="F1040">
        <v>-2.61</v>
      </c>
      <c r="G1040">
        <f>ABS(lmsi_v1_v2_comparison[[#This Row],[score_change]])</f>
        <v>2.61</v>
      </c>
      <c r="H1040" t="str">
        <f>IF(lmsi_v1_v2_comparison[[#This Row],[score_change]]&gt;0, "v2 Higher","v2 Lower")</f>
        <v>v2 Lower</v>
      </c>
    </row>
    <row r="1041" spans="1:8" x14ac:dyDescent="0.2">
      <c r="A1041" t="s">
        <v>73</v>
      </c>
      <c r="B1041" t="s">
        <v>16</v>
      </c>
      <c r="C1041" t="s">
        <v>11</v>
      </c>
      <c r="D1041">
        <v>30.81</v>
      </c>
      <c r="E1041">
        <v>29.34</v>
      </c>
      <c r="F1041">
        <v>-1.47</v>
      </c>
      <c r="G1041">
        <f>ABS(lmsi_v1_v2_comparison[[#This Row],[score_change]])</f>
        <v>1.47</v>
      </c>
      <c r="H1041" t="str">
        <f>IF(lmsi_v1_v2_comparison[[#This Row],[score_change]]&gt;0, "v2 Higher","v2 Lower")</f>
        <v>v2 Lower</v>
      </c>
    </row>
    <row r="1042" spans="1:8" x14ac:dyDescent="0.2">
      <c r="A1042" t="s">
        <v>73</v>
      </c>
      <c r="B1042" t="s">
        <v>16</v>
      </c>
      <c r="C1042" t="s">
        <v>12</v>
      </c>
      <c r="D1042">
        <v>53.36</v>
      </c>
      <c r="E1042">
        <v>49.98</v>
      </c>
      <c r="F1042">
        <v>-3.38</v>
      </c>
      <c r="G1042">
        <f>ABS(lmsi_v1_v2_comparison[[#This Row],[score_change]])</f>
        <v>3.38</v>
      </c>
      <c r="H1042" t="str">
        <f>IF(lmsi_v1_v2_comparison[[#This Row],[score_change]]&gt;0, "v2 Higher","v2 Lower")</f>
        <v>v2 Lower</v>
      </c>
    </row>
    <row r="1043" spans="1:8" x14ac:dyDescent="0.2">
      <c r="A1043" t="s">
        <v>73</v>
      </c>
      <c r="B1043" t="s">
        <v>16</v>
      </c>
      <c r="C1043" t="s">
        <v>13</v>
      </c>
      <c r="D1043">
        <v>38.01</v>
      </c>
      <c r="E1043">
        <v>33.369999999999997</v>
      </c>
      <c r="F1043">
        <v>-4.6399999999999997</v>
      </c>
      <c r="G1043">
        <f>ABS(lmsi_v1_v2_comparison[[#This Row],[score_change]])</f>
        <v>4.6399999999999997</v>
      </c>
      <c r="H1043" t="str">
        <f>IF(lmsi_v1_v2_comparison[[#This Row],[score_change]]&gt;0, "v2 Higher","v2 Lower")</f>
        <v>v2 Lower</v>
      </c>
    </row>
    <row r="1044" spans="1:8" x14ac:dyDescent="0.2">
      <c r="A1044" t="s">
        <v>73</v>
      </c>
      <c r="B1044" t="s">
        <v>16</v>
      </c>
      <c r="C1044" t="s">
        <v>14</v>
      </c>
      <c r="D1044">
        <v>36.659999999999997</v>
      </c>
      <c r="E1044">
        <v>33.94</v>
      </c>
      <c r="F1044">
        <v>-2.72</v>
      </c>
      <c r="G1044">
        <f>ABS(lmsi_v1_v2_comparison[[#This Row],[score_change]])</f>
        <v>2.72</v>
      </c>
      <c r="H1044" t="str">
        <f>IF(lmsi_v1_v2_comparison[[#This Row],[score_change]]&gt;0, "v2 Higher","v2 Lower")</f>
        <v>v2 Lower</v>
      </c>
    </row>
    <row r="1045" spans="1:8" x14ac:dyDescent="0.2">
      <c r="A1045" t="s">
        <v>74</v>
      </c>
      <c r="B1045" t="s">
        <v>8</v>
      </c>
      <c r="C1045" t="s">
        <v>9</v>
      </c>
      <c r="D1045">
        <v>53.7</v>
      </c>
      <c r="E1045">
        <v>44.05</v>
      </c>
      <c r="F1045">
        <v>-9.65</v>
      </c>
      <c r="G1045">
        <f>ABS(lmsi_v1_v2_comparison[[#This Row],[score_change]])</f>
        <v>9.65</v>
      </c>
      <c r="H1045" t="str">
        <f>IF(lmsi_v1_v2_comparison[[#This Row],[score_change]]&gt;0, "v2 Higher","v2 Lower")</f>
        <v>v2 Lower</v>
      </c>
    </row>
    <row r="1046" spans="1:8" x14ac:dyDescent="0.2">
      <c r="A1046" t="s">
        <v>74</v>
      </c>
      <c r="B1046" t="s">
        <v>8</v>
      </c>
      <c r="C1046" t="s">
        <v>10</v>
      </c>
      <c r="D1046">
        <v>30.8</v>
      </c>
      <c r="E1046">
        <v>29.44</v>
      </c>
      <c r="F1046">
        <v>-1.36</v>
      </c>
      <c r="G1046">
        <f>ABS(lmsi_v1_v2_comparison[[#This Row],[score_change]])</f>
        <v>1.36</v>
      </c>
      <c r="H1046" t="str">
        <f>IF(lmsi_v1_v2_comparison[[#This Row],[score_change]]&gt;0, "v2 Higher","v2 Lower")</f>
        <v>v2 Lower</v>
      </c>
    </row>
    <row r="1047" spans="1:8" x14ac:dyDescent="0.2">
      <c r="A1047" t="s">
        <v>74</v>
      </c>
      <c r="B1047" t="s">
        <v>8</v>
      </c>
      <c r="C1047" t="s">
        <v>11</v>
      </c>
      <c r="D1047">
        <v>28.56</v>
      </c>
      <c r="E1047">
        <v>30.39</v>
      </c>
      <c r="F1047">
        <v>1.83</v>
      </c>
      <c r="G1047">
        <f>ABS(lmsi_v1_v2_comparison[[#This Row],[score_change]])</f>
        <v>1.83</v>
      </c>
      <c r="H1047" t="str">
        <f>IF(lmsi_v1_v2_comparison[[#This Row],[score_change]]&gt;0, "v2 Higher","v2 Lower")</f>
        <v>v2 Higher</v>
      </c>
    </row>
    <row r="1048" spans="1:8" x14ac:dyDescent="0.2">
      <c r="A1048" t="s">
        <v>74</v>
      </c>
      <c r="B1048" t="s">
        <v>8</v>
      </c>
      <c r="C1048" t="s">
        <v>12</v>
      </c>
      <c r="D1048">
        <v>45.7</v>
      </c>
      <c r="E1048">
        <v>45.81</v>
      </c>
      <c r="F1048">
        <v>0.11</v>
      </c>
      <c r="G1048">
        <f>ABS(lmsi_v1_v2_comparison[[#This Row],[score_change]])</f>
        <v>0.11</v>
      </c>
      <c r="H1048" t="str">
        <f>IF(lmsi_v1_v2_comparison[[#This Row],[score_change]]&gt;0, "v2 Higher","v2 Lower")</f>
        <v>v2 Higher</v>
      </c>
    </row>
    <row r="1049" spans="1:8" x14ac:dyDescent="0.2">
      <c r="A1049" t="s">
        <v>74</v>
      </c>
      <c r="B1049" t="s">
        <v>8</v>
      </c>
      <c r="C1049" t="s">
        <v>13</v>
      </c>
      <c r="D1049">
        <v>32.79</v>
      </c>
      <c r="E1049">
        <v>31.01</v>
      </c>
      <c r="F1049">
        <v>-1.78</v>
      </c>
      <c r="G1049">
        <f>ABS(lmsi_v1_v2_comparison[[#This Row],[score_change]])</f>
        <v>1.78</v>
      </c>
      <c r="H1049" t="str">
        <f>IF(lmsi_v1_v2_comparison[[#This Row],[score_change]]&gt;0, "v2 Higher","v2 Lower")</f>
        <v>v2 Lower</v>
      </c>
    </row>
    <row r="1050" spans="1:8" x14ac:dyDescent="0.2">
      <c r="A1050" t="s">
        <v>74</v>
      </c>
      <c r="B1050" t="s">
        <v>8</v>
      </c>
      <c r="C1050" t="s">
        <v>14</v>
      </c>
      <c r="D1050">
        <v>34.26</v>
      </c>
      <c r="E1050">
        <v>32.99</v>
      </c>
      <c r="F1050">
        <v>-1.27</v>
      </c>
      <c r="G1050">
        <f>ABS(lmsi_v1_v2_comparison[[#This Row],[score_change]])</f>
        <v>1.27</v>
      </c>
      <c r="H1050" t="str">
        <f>IF(lmsi_v1_v2_comparison[[#This Row],[score_change]]&gt;0, "v2 Higher","v2 Lower")</f>
        <v>v2 Lower</v>
      </c>
    </row>
    <row r="1051" spans="1:8" x14ac:dyDescent="0.2">
      <c r="A1051" t="s">
        <v>74</v>
      </c>
      <c r="B1051" t="s">
        <v>15</v>
      </c>
      <c r="C1051" t="s">
        <v>9</v>
      </c>
      <c r="D1051">
        <v>65.22</v>
      </c>
      <c r="E1051">
        <v>50.58</v>
      </c>
      <c r="F1051">
        <v>-14.64</v>
      </c>
      <c r="G1051">
        <f>ABS(lmsi_v1_v2_comparison[[#This Row],[score_change]])</f>
        <v>14.64</v>
      </c>
      <c r="H1051" t="str">
        <f>IF(lmsi_v1_v2_comparison[[#This Row],[score_change]]&gt;0, "v2 Higher","v2 Lower")</f>
        <v>v2 Lower</v>
      </c>
    </row>
    <row r="1052" spans="1:8" x14ac:dyDescent="0.2">
      <c r="A1052" t="s">
        <v>74</v>
      </c>
      <c r="B1052" t="s">
        <v>15</v>
      </c>
      <c r="C1052" t="s">
        <v>10</v>
      </c>
      <c r="D1052">
        <v>37.03</v>
      </c>
      <c r="E1052">
        <v>36.200000000000003</v>
      </c>
      <c r="F1052">
        <v>-0.83</v>
      </c>
      <c r="G1052">
        <f>ABS(lmsi_v1_v2_comparison[[#This Row],[score_change]])</f>
        <v>0.83</v>
      </c>
      <c r="H1052" t="str">
        <f>IF(lmsi_v1_v2_comparison[[#This Row],[score_change]]&gt;0, "v2 Higher","v2 Lower")</f>
        <v>v2 Lower</v>
      </c>
    </row>
    <row r="1053" spans="1:8" x14ac:dyDescent="0.2">
      <c r="A1053" t="s">
        <v>74</v>
      </c>
      <c r="B1053" t="s">
        <v>15</v>
      </c>
      <c r="C1053" t="s">
        <v>11</v>
      </c>
      <c r="D1053">
        <v>32.28</v>
      </c>
      <c r="E1053">
        <v>33.75</v>
      </c>
      <c r="F1053">
        <v>1.47</v>
      </c>
      <c r="G1053">
        <f>ABS(lmsi_v1_v2_comparison[[#This Row],[score_change]])</f>
        <v>1.47</v>
      </c>
      <c r="H1053" t="str">
        <f>IF(lmsi_v1_v2_comparison[[#This Row],[score_change]]&gt;0, "v2 Higher","v2 Lower")</f>
        <v>v2 Higher</v>
      </c>
    </row>
    <row r="1054" spans="1:8" x14ac:dyDescent="0.2">
      <c r="A1054" t="s">
        <v>74</v>
      </c>
      <c r="B1054" t="s">
        <v>15</v>
      </c>
      <c r="C1054" t="s">
        <v>12</v>
      </c>
      <c r="D1054">
        <v>55.4</v>
      </c>
      <c r="E1054">
        <v>52.99</v>
      </c>
      <c r="F1054">
        <v>-2.41</v>
      </c>
      <c r="G1054">
        <f>ABS(lmsi_v1_v2_comparison[[#This Row],[score_change]])</f>
        <v>2.41</v>
      </c>
      <c r="H1054" t="str">
        <f>IF(lmsi_v1_v2_comparison[[#This Row],[score_change]]&gt;0, "v2 Higher","v2 Lower")</f>
        <v>v2 Lower</v>
      </c>
    </row>
    <row r="1055" spans="1:8" x14ac:dyDescent="0.2">
      <c r="A1055" t="s">
        <v>74</v>
      </c>
      <c r="B1055" t="s">
        <v>15</v>
      </c>
      <c r="C1055" t="s">
        <v>13</v>
      </c>
      <c r="D1055">
        <v>36.85</v>
      </c>
      <c r="E1055">
        <v>33.57</v>
      </c>
      <c r="F1055">
        <v>-3.28</v>
      </c>
      <c r="G1055">
        <f>ABS(lmsi_v1_v2_comparison[[#This Row],[score_change]])</f>
        <v>3.28</v>
      </c>
      <c r="H1055" t="str">
        <f>IF(lmsi_v1_v2_comparison[[#This Row],[score_change]]&gt;0, "v2 Higher","v2 Lower")</f>
        <v>v2 Lower</v>
      </c>
    </row>
    <row r="1056" spans="1:8" x14ac:dyDescent="0.2">
      <c r="A1056" t="s">
        <v>74</v>
      </c>
      <c r="B1056" t="s">
        <v>15</v>
      </c>
      <c r="C1056" t="s">
        <v>14</v>
      </c>
      <c r="D1056">
        <v>54.39</v>
      </c>
      <c r="E1056">
        <v>55.69</v>
      </c>
      <c r="F1056">
        <v>1.3</v>
      </c>
      <c r="G1056">
        <f>ABS(lmsi_v1_v2_comparison[[#This Row],[score_change]])</f>
        <v>1.3</v>
      </c>
      <c r="H1056" t="str">
        <f>IF(lmsi_v1_v2_comparison[[#This Row],[score_change]]&gt;0, "v2 Higher","v2 Lower")</f>
        <v>v2 Higher</v>
      </c>
    </row>
    <row r="1057" spans="1:8" x14ac:dyDescent="0.2">
      <c r="A1057" t="s">
        <v>74</v>
      </c>
      <c r="B1057" t="s">
        <v>16</v>
      </c>
      <c r="C1057" t="s">
        <v>9</v>
      </c>
      <c r="D1057">
        <v>63.97</v>
      </c>
      <c r="E1057">
        <v>49.76</v>
      </c>
      <c r="F1057">
        <v>-14.21</v>
      </c>
      <c r="G1057">
        <f>ABS(lmsi_v1_v2_comparison[[#This Row],[score_change]])</f>
        <v>14.21</v>
      </c>
      <c r="H1057" t="str">
        <f>IF(lmsi_v1_v2_comparison[[#This Row],[score_change]]&gt;0, "v2 Higher","v2 Lower")</f>
        <v>v2 Lower</v>
      </c>
    </row>
    <row r="1058" spans="1:8" x14ac:dyDescent="0.2">
      <c r="A1058" t="s">
        <v>74</v>
      </c>
      <c r="B1058" t="s">
        <v>16</v>
      </c>
      <c r="C1058" t="s">
        <v>10</v>
      </c>
      <c r="D1058">
        <v>32.450000000000003</v>
      </c>
      <c r="E1058">
        <v>32.71</v>
      </c>
      <c r="F1058">
        <v>0.26</v>
      </c>
      <c r="G1058">
        <f>ABS(lmsi_v1_v2_comparison[[#This Row],[score_change]])</f>
        <v>0.26</v>
      </c>
      <c r="H1058" t="str">
        <f>IF(lmsi_v1_v2_comparison[[#This Row],[score_change]]&gt;0, "v2 Higher","v2 Lower")</f>
        <v>v2 Higher</v>
      </c>
    </row>
    <row r="1059" spans="1:8" x14ac:dyDescent="0.2">
      <c r="A1059" t="s">
        <v>74</v>
      </c>
      <c r="B1059" t="s">
        <v>16</v>
      </c>
      <c r="C1059" t="s">
        <v>11</v>
      </c>
      <c r="D1059">
        <v>29.99</v>
      </c>
      <c r="E1059">
        <v>31.64</v>
      </c>
      <c r="F1059">
        <v>1.65</v>
      </c>
      <c r="G1059">
        <f>ABS(lmsi_v1_v2_comparison[[#This Row],[score_change]])</f>
        <v>1.65</v>
      </c>
      <c r="H1059" t="str">
        <f>IF(lmsi_v1_v2_comparison[[#This Row],[score_change]]&gt;0, "v2 Higher","v2 Lower")</f>
        <v>v2 Higher</v>
      </c>
    </row>
    <row r="1060" spans="1:8" x14ac:dyDescent="0.2">
      <c r="A1060" t="s">
        <v>74</v>
      </c>
      <c r="B1060" t="s">
        <v>16</v>
      </c>
      <c r="C1060" t="s">
        <v>12</v>
      </c>
      <c r="D1060">
        <v>49.57</v>
      </c>
      <c r="E1060">
        <v>50.92</v>
      </c>
      <c r="F1060">
        <v>1.35</v>
      </c>
      <c r="G1060">
        <f>ABS(lmsi_v1_v2_comparison[[#This Row],[score_change]])</f>
        <v>1.35</v>
      </c>
      <c r="H1060" t="str">
        <f>IF(lmsi_v1_v2_comparison[[#This Row],[score_change]]&gt;0, "v2 Higher","v2 Lower")</f>
        <v>v2 Higher</v>
      </c>
    </row>
    <row r="1061" spans="1:8" x14ac:dyDescent="0.2">
      <c r="A1061" t="s">
        <v>74</v>
      </c>
      <c r="B1061" t="s">
        <v>16</v>
      </c>
      <c r="C1061" t="s">
        <v>13</v>
      </c>
      <c r="D1061">
        <v>31.06</v>
      </c>
      <c r="E1061">
        <v>28.54</v>
      </c>
      <c r="F1061">
        <v>-2.52</v>
      </c>
      <c r="G1061">
        <f>ABS(lmsi_v1_v2_comparison[[#This Row],[score_change]])</f>
        <v>2.52</v>
      </c>
      <c r="H1061" t="str">
        <f>IF(lmsi_v1_v2_comparison[[#This Row],[score_change]]&gt;0, "v2 Higher","v2 Lower")</f>
        <v>v2 Lower</v>
      </c>
    </row>
    <row r="1062" spans="1:8" x14ac:dyDescent="0.2">
      <c r="A1062" t="s">
        <v>74</v>
      </c>
      <c r="B1062" t="s">
        <v>16</v>
      </c>
      <c r="C1062" t="s">
        <v>14</v>
      </c>
      <c r="D1062">
        <v>41.51</v>
      </c>
      <c r="E1062">
        <v>37.85</v>
      </c>
      <c r="F1062">
        <v>-3.66</v>
      </c>
      <c r="G1062">
        <f>ABS(lmsi_v1_v2_comparison[[#This Row],[score_change]])</f>
        <v>3.66</v>
      </c>
      <c r="H1062" t="str">
        <f>IF(lmsi_v1_v2_comparison[[#This Row],[score_change]]&gt;0, "v2 Higher","v2 Lower")</f>
        <v>v2 Lower</v>
      </c>
    </row>
    <row r="1063" spans="1:8" x14ac:dyDescent="0.2">
      <c r="A1063" t="s">
        <v>75</v>
      </c>
      <c r="B1063" t="s">
        <v>8</v>
      </c>
      <c r="C1063" t="s">
        <v>9</v>
      </c>
      <c r="D1063">
        <v>41.8</v>
      </c>
      <c r="E1063">
        <v>34.5</v>
      </c>
      <c r="F1063">
        <v>-7.3</v>
      </c>
      <c r="G1063">
        <f>ABS(lmsi_v1_v2_comparison[[#This Row],[score_change]])</f>
        <v>7.3</v>
      </c>
      <c r="H1063" t="str">
        <f>IF(lmsi_v1_v2_comparison[[#This Row],[score_change]]&gt;0, "v2 Higher","v2 Lower")</f>
        <v>v2 Lower</v>
      </c>
    </row>
    <row r="1064" spans="1:8" x14ac:dyDescent="0.2">
      <c r="A1064" t="s">
        <v>75</v>
      </c>
      <c r="B1064" t="s">
        <v>8</v>
      </c>
      <c r="C1064" t="s">
        <v>10</v>
      </c>
      <c r="D1064">
        <v>29.79</v>
      </c>
      <c r="E1064">
        <v>28.22</v>
      </c>
      <c r="F1064">
        <v>-1.57</v>
      </c>
      <c r="G1064">
        <f>ABS(lmsi_v1_v2_comparison[[#This Row],[score_change]])</f>
        <v>1.57</v>
      </c>
      <c r="H1064" t="str">
        <f>IF(lmsi_v1_v2_comparison[[#This Row],[score_change]]&gt;0, "v2 Higher","v2 Lower")</f>
        <v>v2 Lower</v>
      </c>
    </row>
    <row r="1065" spans="1:8" x14ac:dyDescent="0.2">
      <c r="A1065" t="s">
        <v>75</v>
      </c>
      <c r="B1065" t="s">
        <v>8</v>
      </c>
      <c r="C1065" t="s">
        <v>11</v>
      </c>
      <c r="D1065">
        <v>28.84</v>
      </c>
      <c r="E1065">
        <v>28.88</v>
      </c>
      <c r="F1065">
        <v>0.04</v>
      </c>
      <c r="G1065">
        <f>ABS(lmsi_v1_v2_comparison[[#This Row],[score_change]])</f>
        <v>0.04</v>
      </c>
      <c r="H1065" t="str">
        <f>IF(lmsi_v1_v2_comparison[[#This Row],[score_change]]&gt;0, "v2 Higher","v2 Lower")</f>
        <v>v2 Higher</v>
      </c>
    </row>
    <row r="1066" spans="1:8" x14ac:dyDescent="0.2">
      <c r="A1066" t="s">
        <v>75</v>
      </c>
      <c r="B1066" t="s">
        <v>8</v>
      </c>
      <c r="C1066" t="s">
        <v>12</v>
      </c>
      <c r="D1066">
        <v>34.89</v>
      </c>
      <c r="E1066">
        <v>40.1</v>
      </c>
      <c r="F1066">
        <v>5.21</v>
      </c>
      <c r="G1066">
        <f>ABS(lmsi_v1_v2_comparison[[#This Row],[score_change]])</f>
        <v>5.21</v>
      </c>
      <c r="H1066" t="str">
        <f>IF(lmsi_v1_v2_comparison[[#This Row],[score_change]]&gt;0, "v2 Higher","v2 Lower")</f>
        <v>v2 Higher</v>
      </c>
    </row>
    <row r="1067" spans="1:8" x14ac:dyDescent="0.2">
      <c r="A1067" t="s">
        <v>75</v>
      </c>
      <c r="B1067" t="s">
        <v>8</v>
      </c>
      <c r="C1067" t="s">
        <v>13</v>
      </c>
      <c r="D1067">
        <v>31.75</v>
      </c>
      <c r="E1067">
        <v>31.34</v>
      </c>
      <c r="F1067">
        <v>-0.41</v>
      </c>
      <c r="G1067">
        <f>ABS(lmsi_v1_v2_comparison[[#This Row],[score_change]])</f>
        <v>0.41</v>
      </c>
      <c r="H1067" t="str">
        <f>IF(lmsi_v1_v2_comparison[[#This Row],[score_change]]&gt;0, "v2 Higher","v2 Lower")</f>
        <v>v2 Lower</v>
      </c>
    </row>
    <row r="1068" spans="1:8" x14ac:dyDescent="0.2">
      <c r="A1068" t="s">
        <v>75</v>
      </c>
      <c r="B1068" t="s">
        <v>8</v>
      </c>
      <c r="C1068" t="s">
        <v>14</v>
      </c>
      <c r="D1068">
        <v>29.81</v>
      </c>
      <c r="E1068">
        <v>29.57</v>
      </c>
      <c r="F1068">
        <v>-0.24</v>
      </c>
      <c r="G1068">
        <f>ABS(lmsi_v1_v2_comparison[[#This Row],[score_change]])</f>
        <v>0.24</v>
      </c>
      <c r="H1068" t="str">
        <f>IF(lmsi_v1_v2_comparison[[#This Row],[score_change]]&gt;0, "v2 Higher","v2 Lower")</f>
        <v>v2 Lower</v>
      </c>
    </row>
    <row r="1069" spans="1:8" x14ac:dyDescent="0.2">
      <c r="A1069" t="s">
        <v>75</v>
      </c>
      <c r="B1069" t="s">
        <v>15</v>
      </c>
      <c r="C1069" t="s">
        <v>9</v>
      </c>
      <c r="D1069">
        <v>48.73</v>
      </c>
      <c r="E1069">
        <v>43.07</v>
      </c>
      <c r="F1069">
        <v>-5.66</v>
      </c>
      <c r="G1069">
        <f>ABS(lmsi_v1_v2_comparison[[#This Row],[score_change]])</f>
        <v>5.66</v>
      </c>
      <c r="H1069" t="str">
        <f>IF(lmsi_v1_v2_comparison[[#This Row],[score_change]]&gt;0, "v2 Higher","v2 Lower")</f>
        <v>v2 Lower</v>
      </c>
    </row>
    <row r="1070" spans="1:8" x14ac:dyDescent="0.2">
      <c r="A1070" t="s">
        <v>75</v>
      </c>
      <c r="B1070" t="s">
        <v>15</v>
      </c>
      <c r="C1070" t="s">
        <v>10</v>
      </c>
      <c r="D1070">
        <v>35.17</v>
      </c>
      <c r="E1070">
        <v>31.67</v>
      </c>
      <c r="F1070">
        <v>-3.5</v>
      </c>
      <c r="G1070">
        <f>ABS(lmsi_v1_v2_comparison[[#This Row],[score_change]])</f>
        <v>3.5</v>
      </c>
      <c r="H1070" t="str">
        <f>IF(lmsi_v1_v2_comparison[[#This Row],[score_change]]&gt;0, "v2 Higher","v2 Lower")</f>
        <v>v2 Lower</v>
      </c>
    </row>
    <row r="1071" spans="1:8" x14ac:dyDescent="0.2">
      <c r="A1071" t="s">
        <v>75</v>
      </c>
      <c r="B1071" t="s">
        <v>15</v>
      </c>
      <c r="C1071" t="s">
        <v>11</v>
      </c>
      <c r="D1071">
        <v>32.75</v>
      </c>
      <c r="E1071">
        <v>32.130000000000003</v>
      </c>
      <c r="F1071">
        <v>-0.62</v>
      </c>
      <c r="G1071">
        <f>ABS(lmsi_v1_v2_comparison[[#This Row],[score_change]])</f>
        <v>0.62</v>
      </c>
      <c r="H1071" t="str">
        <f>IF(lmsi_v1_v2_comparison[[#This Row],[score_change]]&gt;0, "v2 Higher","v2 Lower")</f>
        <v>v2 Lower</v>
      </c>
    </row>
    <row r="1072" spans="1:8" x14ac:dyDescent="0.2">
      <c r="A1072" t="s">
        <v>75</v>
      </c>
      <c r="B1072" t="s">
        <v>15</v>
      </c>
      <c r="C1072" t="s">
        <v>12</v>
      </c>
      <c r="D1072">
        <v>44.38</v>
      </c>
      <c r="E1072">
        <v>42.07</v>
      </c>
      <c r="F1072">
        <v>-2.31</v>
      </c>
      <c r="G1072">
        <f>ABS(lmsi_v1_v2_comparison[[#This Row],[score_change]])</f>
        <v>2.31</v>
      </c>
      <c r="H1072" t="str">
        <f>IF(lmsi_v1_v2_comparison[[#This Row],[score_change]]&gt;0, "v2 Higher","v2 Lower")</f>
        <v>v2 Lower</v>
      </c>
    </row>
    <row r="1073" spans="1:8" x14ac:dyDescent="0.2">
      <c r="A1073" t="s">
        <v>75</v>
      </c>
      <c r="B1073" t="s">
        <v>15</v>
      </c>
      <c r="C1073" t="s">
        <v>13</v>
      </c>
      <c r="D1073">
        <v>35.22</v>
      </c>
      <c r="E1073">
        <v>32.43</v>
      </c>
      <c r="F1073">
        <v>-2.79</v>
      </c>
      <c r="G1073">
        <f>ABS(lmsi_v1_v2_comparison[[#This Row],[score_change]])</f>
        <v>2.79</v>
      </c>
      <c r="H1073" t="str">
        <f>IF(lmsi_v1_v2_comparison[[#This Row],[score_change]]&gt;0, "v2 Higher","v2 Lower")</f>
        <v>v2 Lower</v>
      </c>
    </row>
    <row r="1074" spans="1:8" x14ac:dyDescent="0.2">
      <c r="A1074" t="s">
        <v>75</v>
      </c>
      <c r="B1074" t="s">
        <v>15</v>
      </c>
      <c r="C1074" t="s">
        <v>14</v>
      </c>
      <c r="D1074">
        <v>46.43</v>
      </c>
      <c r="E1074">
        <v>45.79</v>
      </c>
      <c r="F1074">
        <v>-0.64</v>
      </c>
      <c r="G1074">
        <f>ABS(lmsi_v1_v2_comparison[[#This Row],[score_change]])</f>
        <v>0.64</v>
      </c>
      <c r="H1074" t="str">
        <f>IF(lmsi_v1_v2_comparison[[#This Row],[score_change]]&gt;0, "v2 Higher","v2 Lower")</f>
        <v>v2 Lower</v>
      </c>
    </row>
    <row r="1075" spans="1:8" x14ac:dyDescent="0.2">
      <c r="A1075" t="s">
        <v>75</v>
      </c>
      <c r="B1075" t="s">
        <v>16</v>
      </c>
      <c r="C1075" t="s">
        <v>9</v>
      </c>
      <c r="D1075">
        <v>50.6</v>
      </c>
      <c r="E1075">
        <v>40.18</v>
      </c>
      <c r="F1075">
        <v>-10.42</v>
      </c>
      <c r="G1075">
        <f>ABS(lmsi_v1_v2_comparison[[#This Row],[score_change]])</f>
        <v>10.42</v>
      </c>
      <c r="H1075" t="str">
        <f>IF(lmsi_v1_v2_comparison[[#This Row],[score_change]]&gt;0, "v2 Higher","v2 Lower")</f>
        <v>v2 Lower</v>
      </c>
    </row>
    <row r="1076" spans="1:8" x14ac:dyDescent="0.2">
      <c r="A1076" t="s">
        <v>75</v>
      </c>
      <c r="B1076" t="s">
        <v>16</v>
      </c>
      <c r="C1076" t="s">
        <v>10</v>
      </c>
      <c r="D1076">
        <v>30.99</v>
      </c>
      <c r="E1076">
        <v>30.31</v>
      </c>
      <c r="F1076">
        <v>-0.68</v>
      </c>
      <c r="G1076">
        <f>ABS(lmsi_v1_v2_comparison[[#This Row],[score_change]])</f>
        <v>0.68</v>
      </c>
      <c r="H1076" t="str">
        <f>IF(lmsi_v1_v2_comparison[[#This Row],[score_change]]&gt;0, "v2 Higher","v2 Lower")</f>
        <v>v2 Lower</v>
      </c>
    </row>
    <row r="1077" spans="1:8" x14ac:dyDescent="0.2">
      <c r="A1077" t="s">
        <v>75</v>
      </c>
      <c r="B1077" t="s">
        <v>16</v>
      </c>
      <c r="C1077" t="s">
        <v>11</v>
      </c>
      <c r="D1077">
        <v>30.01</v>
      </c>
      <c r="E1077">
        <v>29.96</v>
      </c>
      <c r="F1077">
        <v>-0.05</v>
      </c>
      <c r="G1077">
        <f>ABS(lmsi_v1_v2_comparison[[#This Row],[score_change]])</f>
        <v>0.05</v>
      </c>
      <c r="H1077" t="str">
        <f>IF(lmsi_v1_v2_comparison[[#This Row],[score_change]]&gt;0, "v2 Higher","v2 Lower")</f>
        <v>v2 Lower</v>
      </c>
    </row>
    <row r="1078" spans="1:8" x14ac:dyDescent="0.2">
      <c r="A1078" t="s">
        <v>75</v>
      </c>
      <c r="B1078" t="s">
        <v>16</v>
      </c>
      <c r="C1078" t="s">
        <v>12</v>
      </c>
      <c r="D1078">
        <v>37.49</v>
      </c>
      <c r="E1078">
        <v>36.36</v>
      </c>
      <c r="F1078">
        <v>-1.1299999999999999</v>
      </c>
      <c r="G1078">
        <f>ABS(lmsi_v1_v2_comparison[[#This Row],[score_change]])</f>
        <v>1.1299999999999999</v>
      </c>
      <c r="H1078" t="str">
        <f>IF(lmsi_v1_v2_comparison[[#This Row],[score_change]]&gt;0, "v2 Higher","v2 Lower")</f>
        <v>v2 Lower</v>
      </c>
    </row>
    <row r="1079" spans="1:8" x14ac:dyDescent="0.2">
      <c r="A1079" t="s">
        <v>75</v>
      </c>
      <c r="B1079" t="s">
        <v>16</v>
      </c>
      <c r="C1079" t="s">
        <v>13</v>
      </c>
      <c r="D1079">
        <v>29</v>
      </c>
      <c r="E1079">
        <v>28.03</v>
      </c>
      <c r="F1079">
        <v>-0.97</v>
      </c>
      <c r="G1079">
        <f>ABS(lmsi_v1_v2_comparison[[#This Row],[score_change]])</f>
        <v>0.97</v>
      </c>
      <c r="H1079" t="str">
        <f>IF(lmsi_v1_v2_comparison[[#This Row],[score_change]]&gt;0, "v2 Higher","v2 Lower")</f>
        <v>v2 Lower</v>
      </c>
    </row>
    <row r="1080" spans="1:8" x14ac:dyDescent="0.2">
      <c r="A1080" t="s">
        <v>75</v>
      </c>
      <c r="B1080" t="s">
        <v>16</v>
      </c>
      <c r="C1080" t="s">
        <v>14</v>
      </c>
      <c r="D1080">
        <v>33.58</v>
      </c>
      <c r="E1080">
        <v>34.29</v>
      </c>
      <c r="F1080">
        <v>0.71</v>
      </c>
      <c r="G1080">
        <f>ABS(lmsi_v1_v2_comparison[[#This Row],[score_change]])</f>
        <v>0.71</v>
      </c>
      <c r="H1080" t="str">
        <f>IF(lmsi_v1_v2_comparison[[#This Row],[score_change]]&gt;0, "v2 Higher","v2 Lower")</f>
        <v>v2 Higher</v>
      </c>
    </row>
    <row r="1081" spans="1:8" x14ac:dyDescent="0.2">
      <c r="A1081" t="s">
        <v>76</v>
      </c>
      <c r="B1081" t="s">
        <v>8</v>
      </c>
      <c r="C1081" t="s">
        <v>9</v>
      </c>
      <c r="D1081">
        <v>44.13</v>
      </c>
      <c r="E1081">
        <v>37.840000000000003</v>
      </c>
      <c r="F1081">
        <v>-6.29</v>
      </c>
      <c r="G1081">
        <f>ABS(lmsi_v1_v2_comparison[[#This Row],[score_change]])</f>
        <v>6.29</v>
      </c>
      <c r="H1081" t="str">
        <f>IF(lmsi_v1_v2_comparison[[#This Row],[score_change]]&gt;0, "v2 Higher","v2 Lower")</f>
        <v>v2 Lower</v>
      </c>
    </row>
    <row r="1082" spans="1:8" x14ac:dyDescent="0.2">
      <c r="A1082" t="s">
        <v>76</v>
      </c>
      <c r="B1082" t="s">
        <v>8</v>
      </c>
      <c r="C1082" t="s">
        <v>10</v>
      </c>
      <c r="D1082">
        <v>26.87</v>
      </c>
      <c r="E1082">
        <v>28.01</v>
      </c>
      <c r="F1082">
        <v>1.1399999999999999</v>
      </c>
      <c r="G1082">
        <f>ABS(lmsi_v1_v2_comparison[[#This Row],[score_change]])</f>
        <v>1.1399999999999999</v>
      </c>
      <c r="H1082" t="str">
        <f>IF(lmsi_v1_v2_comparison[[#This Row],[score_change]]&gt;0, "v2 Higher","v2 Lower")</f>
        <v>v2 Higher</v>
      </c>
    </row>
    <row r="1083" spans="1:8" x14ac:dyDescent="0.2">
      <c r="A1083" t="s">
        <v>76</v>
      </c>
      <c r="B1083" t="s">
        <v>8</v>
      </c>
      <c r="C1083" t="s">
        <v>11</v>
      </c>
      <c r="D1083">
        <v>21.14</v>
      </c>
      <c r="E1083">
        <v>21.91</v>
      </c>
      <c r="F1083">
        <v>0.77</v>
      </c>
      <c r="G1083">
        <f>ABS(lmsi_v1_v2_comparison[[#This Row],[score_change]])</f>
        <v>0.77</v>
      </c>
      <c r="H1083" t="str">
        <f>IF(lmsi_v1_v2_comparison[[#This Row],[score_change]]&gt;0, "v2 Higher","v2 Lower")</f>
        <v>v2 Higher</v>
      </c>
    </row>
    <row r="1084" spans="1:8" x14ac:dyDescent="0.2">
      <c r="A1084" t="s">
        <v>76</v>
      </c>
      <c r="B1084" t="s">
        <v>8</v>
      </c>
      <c r="C1084" t="s">
        <v>12</v>
      </c>
      <c r="D1084">
        <v>29.16</v>
      </c>
      <c r="E1084">
        <v>31.76</v>
      </c>
      <c r="F1084">
        <v>2.6</v>
      </c>
      <c r="G1084">
        <f>ABS(lmsi_v1_v2_comparison[[#This Row],[score_change]])</f>
        <v>2.6</v>
      </c>
      <c r="H1084" t="str">
        <f>IF(lmsi_v1_v2_comparison[[#This Row],[score_change]]&gt;0, "v2 Higher","v2 Lower")</f>
        <v>v2 Higher</v>
      </c>
    </row>
    <row r="1085" spans="1:8" x14ac:dyDescent="0.2">
      <c r="A1085" t="s">
        <v>76</v>
      </c>
      <c r="B1085" t="s">
        <v>8</v>
      </c>
      <c r="C1085" t="s">
        <v>13</v>
      </c>
      <c r="D1085">
        <v>29.98</v>
      </c>
      <c r="E1085">
        <v>28.7</v>
      </c>
      <c r="F1085">
        <v>-1.28</v>
      </c>
      <c r="G1085">
        <f>ABS(lmsi_v1_v2_comparison[[#This Row],[score_change]])</f>
        <v>1.28</v>
      </c>
      <c r="H1085" t="str">
        <f>IF(lmsi_v1_v2_comparison[[#This Row],[score_change]]&gt;0, "v2 Higher","v2 Lower")</f>
        <v>v2 Lower</v>
      </c>
    </row>
    <row r="1086" spans="1:8" x14ac:dyDescent="0.2">
      <c r="A1086" t="s">
        <v>76</v>
      </c>
      <c r="B1086" t="s">
        <v>8</v>
      </c>
      <c r="C1086" t="s">
        <v>14</v>
      </c>
      <c r="D1086">
        <v>29.71</v>
      </c>
      <c r="E1086">
        <v>30.75</v>
      </c>
      <c r="F1086">
        <v>1.04</v>
      </c>
      <c r="G1086">
        <f>ABS(lmsi_v1_v2_comparison[[#This Row],[score_change]])</f>
        <v>1.04</v>
      </c>
      <c r="H1086" t="str">
        <f>IF(lmsi_v1_v2_comparison[[#This Row],[score_change]]&gt;0, "v2 Higher","v2 Lower")</f>
        <v>v2 Higher</v>
      </c>
    </row>
    <row r="1087" spans="1:8" x14ac:dyDescent="0.2">
      <c r="A1087" t="s">
        <v>76</v>
      </c>
      <c r="B1087" t="s">
        <v>15</v>
      </c>
      <c r="C1087" t="s">
        <v>9</v>
      </c>
      <c r="D1087">
        <v>55.81</v>
      </c>
      <c r="E1087">
        <v>46.96</v>
      </c>
      <c r="F1087">
        <v>-8.85</v>
      </c>
      <c r="G1087">
        <f>ABS(lmsi_v1_v2_comparison[[#This Row],[score_change]])</f>
        <v>8.85</v>
      </c>
      <c r="H1087" t="str">
        <f>IF(lmsi_v1_v2_comparison[[#This Row],[score_change]]&gt;0, "v2 Higher","v2 Lower")</f>
        <v>v2 Lower</v>
      </c>
    </row>
    <row r="1088" spans="1:8" x14ac:dyDescent="0.2">
      <c r="A1088" t="s">
        <v>76</v>
      </c>
      <c r="B1088" t="s">
        <v>15</v>
      </c>
      <c r="C1088" t="s">
        <v>10</v>
      </c>
      <c r="D1088">
        <v>31.07</v>
      </c>
      <c r="E1088">
        <v>32.21</v>
      </c>
      <c r="F1088">
        <v>1.1399999999999999</v>
      </c>
      <c r="G1088">
        <f>ABS(lmsi_v1_v2_comparison[[#This Row],[score_change]])</f>
        <v>1.1399999999999999</v>
      </c>
      <c r="H1088" t="str">
        <f>IF(lmsi_v1_v2_comparison[[#This Row],[score_change]]&gt;0, "v2 Higher","v2 Lower")</f>
        <v>v2 Higher</v>
      </c>
    </row>
    <row r="1089" spans="1:8" x14ac:dyDescent="0.2">
      <c r="A1089" t="s">
        <v>76</v>
      </c>
      <c r="B1089" t="s">
        <v>15</v>
      </c>
      <c r="C1089" t="s">
        <v>11</v>
      </c>
      <c r="D1089">
        <v>24.14</v>
      </c>
      <c r="E1089">
        <v>27.31</v>
      </c>
      <c r="F1089">
        <v>3.17</v>
      </c>
      <c r="G1089">
        <f>ABS(lmsi_v1_v2_comparison[[#This Row],[score_change]])</f>
        <v>3.17</v>
      </c>
      <c r="H1089" t="str">
        <f>IF(lmsi_v1_v2_comparison[[#This Row],[score_change]]&gt;0, "v2 Higher","v2 Lower")</f>
        <v>v2 Higher</v>
      </c>
    </row>
    <row r="1090" spans="1:8" x14ac:dyDescent="0.2">
      <c r="A1090" t="s">
        <v>76</v>
      </c>
      <c r="B1090" t="s">
        <v>15</v>
      </c>
      <c r="C1090" t="s">
        <v>12</v>
      </c>
      <c r="D1090">
        <v>35.9</v>
      </c>
      <c r="E1090">
        <v>39.03</v>
      </c>
      <c r="F1090">
        <v>3.13</v>
      </c>
      <c r="G1090">
        <f>ABS(lmsi_v1_v2_comparison[[#This Row],[score_change]])</f>
        <v>3.13</v>
      </c>
      <c r="H1090" t="str">
        <f>IF(lmsi_v1_v2_comparison[[#This Row],[score_change]]&gt;0, "v2 Higher","v2 Lower")</f>
        <v>v2 Higher</v>
      </c>
    </row>
    <row r="1091" spans="1:8" x14ac:dyDescent="0.2">
      <c r="A1091" t="s">
        <v>76</v>
      </c>
      <c r="B1091" t="s">
        <v>15</v>
      </c>
      <c r="C1091" t="s">
        <v>13</v>
      </c>
      <c r="D1091">
        <v>35.64</v>
      </c>
      <c r="E1091">
        <v>35.049999999999997</v>
      </c>
      <c r="F1091">
        <v>-0.59</v>
      </c>
      <c r="G1091">
        <f>ABS(lmsi_v1_v2_comparison[[#This Row],[score_change]])</f>
        <v>0.59</v>
      </c>
      <c r="H1091" t="str">
        <f>IF(lmsi_v1_v2_comparison[[#This Row],[score_change]]&gt;0, "v2 Higher","v2 Lower")</f>
        <v>v2 Lower</v>
      </c>
    </row>
    <row r="1092" spans="1:8" x14ac:dyDescent="0.2">
      <c r="A1092" t="s">
        <v>76</v>
      </c>
      <c r="B1092" t="s">
        <v>15</v>
      </c>
      <c r="C1092" t="s">
        <v>14</v>
      </c>
      <c r="D1092">
        <v>46.52</v>
      </c>
      <c r="E1092">
        <v>50.02</v>
      </c>
      <c r="F1092">
        <v>3.5</v>
      </c>
      <c r="G1092">
        <f>ABS(lmsi_v1_v2_comparison[[#This Row],[score_change]])</f>
        <v>3.5</v>
      </c>
      <c r="H1092" t="str">
        <f>IF(lmsi_v1_v2_comparison[[#This Row],[score_change]]&gt;0, "v2 Higher","v2 Lower")</f>
        <v>v2 Higher</v>
      </c>
    </row>
    <row r="1093" spans="1:8" x14ac:dyDescent="0.2">
      <c r="A1093" t="s">
        <v>76</v>
      </c>
      <c r="B1093" t="s">
        <v>16</v>
      </c>
      <c r="C1093" t="s">
        <v>9</v>
      </c>
      <c r="D1093">
        <v>50.95</v>
      </c>
      <c r="E1093">
        <v>41.84</v>
      </c>
      <c r="F1093">
        <v>-9.11</v>
      </c>
      <c r="G1093">
        <f>ABS(lmsi_v1_v2_comparison[[#This Row],[score_change]])</f>
        <v>9.11</v>
      </c>
      <c r="H1093" t="str">
        <f>IF(lmsi_v1_v2_comparison[[#This Row],[score_change]]&gt;0, "v2 Higher","v2 Lower")</f>
        <v>v2 Lower</v>
      </c>
    </row>
    <row r="1094" spans="1:8" x14ac:dyDescent="0.2">
      <c r="A1094" t="s">
        <v>76</v>
      </c>
      <c r="B1094" t="s">
        <v>16</v>
      </c>
      <c r="C1094" t="s">
        <v>10</v>
      </c>
      <c r="D1094">
        <v>28.74</v>
      </c>
      <c r="E1094">
        <v>28.16</v>
      </c>
      <c r="F1094">
        <v>-0.57999999999999996</v>
      </c>
      <c r="G1094">
        <f>ABS(lmsi_v1_v2_comparison[[#This Row],[score_change]])</f>
        <v>0.57999999999999996</v>
      </c>
      <c r="H1094" t="str">
        <f>IF(lmsi_v1_v2_comparison[[#This Row],[score_change]]&gt;0, "v2 Higher","v2 Lower")</f>
        <v>v2 Lower</v>
      </c>
    </row>
    <row r="1095" spans="1:8" x14ac:dyDescent="0.2">
      <c r="A1095" t="s">
        <v>76</v>
      </c>
      <c r="B1095" t="s">
        <v>16</v>
      </c>
      <c r="C1095" t="s">
        <v>11</v>
      </c>
      <c r="D1095">
        <v>21.79</v>
      </c>
      <c r="E1095">
        <v>25.71</v>
      </c>
      <c r="F1095">
        <v>3.92</v>
      </c>
      <c r="G1095">
        <f>ABS(lmsi_v1_v2_comparison[[#This Row],[score_change]])</f>
        <v>3.92</v>
      </c>
      <c r="H1095" t="str">
        <f>IF(lmsi_v1_v2_comparison[[#This Row],[score_change]]&gt;0, "v2 Higher","v2 Lower")</f>
        <v>v2 Higher</v>
      </c>
    </row>
    <row r="1096" spans="1:8" x14ac:dyDescent="0.2">
      <c r="A1096" t="s">
        <v>76</v>
      </c>
      <c r="B1096" t="s">
        <v>16</v>
      </c>
      <c r="C1096" t="s">
        <v>12</v>
      </c>
      <c r="D1096">
        <v>31.99</v>
      </c>
      <c r="E1096">
        <v>35.79</v>
      </c>
      <c r="F1096">
        <v>3.8</v>
      </c>
      <c r="G1096">
        <f>ABS(lmsi_v1_v2_comparison[[#This Row],[score_change]])</f>
        <v>3.8</v>
      </c>
      <c r="H1096" t="str">
        <f>IF(lmsi_v1_v2_comparison[[#This Row],[score_change]]&gt;0, "v2 Higher","v2 Lower")</f>
        <v>v2 Higher</v>
      </c>
    </row>
    <row r="1097" spans="1:8" x14ac:dyDescent="0.2">
      <c r="A1097" t="s">
        <v>76</v>
      </c>
      <c r="B1097" t="s">
        <v>16</v>
      </c>
      <c r="C1097" t="s">
        <v>13</v>
      </c>
      <c r="D1097">
        <v>28.49</v>
      </c>
      <c r="E1097">
        <v>27.61</v>
      </c>
      <c r="F1097">
        <v>-0.88</v>
      </c>
      <c r="G1097">
        <f>ABS(lmsi_v1_v2_comparison[[#This Row],[score_change]])</f>
        <v>0.88</v>
      </c>
      <c r="H1097" t="str">
        <f>IF(lmsi_v1_v2_comparison[[#This Row],[score_change]]&gt;0, "v2 Higher","v2 Lower")</f>
        <v>v2 Lower</v>
      </c>
    </row>
    <row r="1098" spans="1:8" x14ac:dyDescent="0.2">
      <c r="A1098" t="s">
        <v>76</v>
      </c>
      <c r="B1098" t="s">
        <v>16</v>
      </c>
      <c r="C1098" t="s">
        <v>14</v>
      </c>
      <c r="D1098">
        <v>31.89</v>
      </c>
      <c r="E1098">
        <v>32.14</v>
      </c>
      <c r="F1098">
        <v>0.25</v>
      </c>
      <c r="G1098">
        <f>ABS(lmsi_v1_v2_comparison[[#This Row],[score_change]])</f>
        <v>0.25</v>
      </c>
      <c r="H1098" t="str">
        <f>IF(lmsi_v1_v2_comparison[[#This Row],[score_change]]&gt;0, "v2 Higher","v2 Lower")</f>
        <v>v2 Higher</v>
      </c>
    </row>
    <row r="1099" spans="1:8" x14ac:dyDescent="0.2">
      <c r="A1099" t="s">
        <v>77</v>
      </c>
      <c r="B1099" t="s">
        <v>8</v>
      </c>
      <c r="C1099" t="s">
        <v>9</v>
      </c>
      <c r="D1099">
        <v>43.59</v>
      </c>
      <c r="E1099">
        <v>36.5</v>
      </c>
      <c r="F1099">
        <v>-7.09</v>
      </c>
      <c r="G1099">
        <f>ABS(lmsi_v1_v2_comparison[[#This Row],[score_change]])</f>
        <v>7.09</v>
      </c>
      <c r="H1099" t="str">
        <f>IF(lmsi_v1_v2_comparison[[#This Row],[score_change]]&gt;0, "v2 Higher","v2 Lower")</f>
        <v>v2 Lower</v>
      </c>
    </row>
    <row r="1100" spans="1:8" x14ac:dyDescent="0.2">
      <c r="A1100" t="s">
        <v>77</v>
      </c>
      <c r="B1100" t="s">
        <v>8</v>
      </c>
      <c r="C1100" t="s">
        <v>10</v>
      </c>
      <c r="D1100">
        <v>25.12</v>
      </c>
      <c r="E1100">
        <v>25.16</v>
      </c>
      <c r="F1100">
        <v>0.04</v>
      </c>
      <c r="G1100">
        <f>ABS(lmsi_v1_v2_comparison[[#This Row],[score_change]])</f>
        <v>0.04</v>
      </c>
      <c r="H1100" t="str">
        <f>IF(lmsi_v1_v2_comparison[[#This Row],[score_change]]&gt;0, "v2 Higher","v2 Lower")</f>
        <v>v2 Higher</v>
      </c>
    </row>
    <row r="1101" spans="1:8" x14ac:dyDescent="0.2">
      <c r="A1101" t="s">
        <v>77</v>
      </c>
      <c r="B1101" t="s">
        <v>8</v>
      </c>
      <c r="C1101" t="s">
        <v>11</v>
      </c>
      <c r="D1101">
        <v>25.01</v>
      </c>
      <c r="E1101">
        <v>24.84</v>
      </c>
      <c r="F1101">
        <v>-0.17</v>
      </c>
      <c r="G1101">
        <f>ABS(lmsi_v1_v2_comparison[[#This Row],[score_change]])</f>
        <v>0.17</v>
      </c>
      <c r="H1101" t="str">
        <f>IF(lmsi_v1_v2_comparison[[#This Row],[score_change]]&gt;0, "v2 Higher","v2 Lower")</f>
        <v>v2 Lower</v>
      </c>
    </row>
    <row r="1102" spans="1:8" x14ac:dyDescent="0.2">
      <c r="A1102" t="s">
        <v>77</v>
      </c>
      <c r="B1102" t="s">
        <v>8</v>
      </c>
      <c r="C1102" t="s">
        <v>12</v>
      </c>
      <c r="D1102">
        <v>35.270000000000003</v>
      </c>
      <c r="E1102">
        <v>36.15</v>
      </c>
      <c r="F1102">
        <v>0.88</v>
      </c>
      <c r="G1102">
        <f>ABS(lmsi_v1_v2_comparison[[#This Row],[score_change]])</f>
        <v>0.88</v>
      </c>
      <c r="H1102" t="str">
        <f>IF(lmsi_v1_v2_comparison[[#This Row],[score_change]]&gt;0, "v2 Higher","v2 Lower")</f>
        <v>v2 Higher</v>
      </c>
    </row>
    <row r="1103" spans="1:8" x14ac:dyDescent="0.2">
      <c r="A1103" t="s">
        <v>77</v>
      </c>
      <c r="B1103" t="s">
        <v>8</v>
      </c>
      <c r="C1103" t="s">
        <v>13</v>
      </c>
      <c r="D1103">
        <v>30.81</v>
      </c>
      <c r="E1103">
        <v>28.49</v>
      </c>
      <c r="F1103">
        <v>-2.3199999999999998</v>
      </c>
      <c r="G1103">
        <f>ABS(lmsi_v1_v2_comparison[[#This Row],[score_change]])</f>
        <v>2.3199999999999998</v>
      </c>
      <c r="H1103" t="str">
        <f>IF(lmsi_v1_v2_comparison[[#This Row],[score_change]]&gt;0, "v2 Higher","v2 Lower")</f>
        <v>v2 Lower</v>
      </c>
    </row>
    <row r="1104" spans="1:8" x14ac:dyDescent="0.2">
      <c r="A1104" t="s">
        <v>77</v>
      </c>
      <c r="B1104" t="s">
        <v>8</v>
      </c>
      <c r="C1104" t="s">
        <v>14</v>
      </c>
      <c r="D1104">
        <v>28.51</v>
      </c>
      <c r="E1104">
        <v>26.73</v>
      </c>
      <c r="F1104">
        <v>-1.78</v>
      </c>
      <c r="G1104">
        <f>ABS(lmsi_v1_v2_comparison[[#This Row],[score_change]])</f>
        <v>1.78</v>
      </c>
      <c r="H1104" t="str">
        <f>IF(lmsi_v1_v2_comparison[[#This Row],[score_change]]&gt;0, "v2 Higher","v2 Lower")</f>
        <v>v2 Lower</v>
      </c>
    </row>
    <row r="1105" spans="1:8" x14ac:dyDescent="0.2">
      <c r="A1105" t="s">
        <v>77</v>
      </c>
      <c r="B1105" t="s">
        <v>15</v>
      </c>
      <c r="C1105" t="s">
        <v>9</v>
      </c>
      <c r="D1105">
        <v>55.77</v>
      </c>
      <c r="E1105">
        <v>46.8</v>
      </c>
      <c r="F1105">
        <v>-8.9700000000000006</v>
      </c>
      <c r="G1105">
        <f>ABS(lmsi_v1_v2_comparison[[#This Row],[score_change]])</f>
        <v>8.9700000000000006</v>
      </c>
      <c r="H1105" t="str">
        <f>IF(lmsi_v1_v2_comparison[[#This Row],[score_change]]&gt;0, "v2 Higher","v2 Lower")</f>
        <v>v2 Lower</v>
      </c>
    </row>
    <row r="1106" spans="1:8" x14ac:dyDescent="0.2">
      <c r="A1106" t="s">
        <v>77</v>
      </c>
      <c r="B1106" t="s">
        <v>15</v>
      </c>
      <c r="C1106" t="s">
        <v>10</v>
      </c>
      <c r="D1106">
        <v>29.45</v>
      </c>
      <c r="E1106">
        <v>28.2</v>
      </c>
      <c r="F1106">
        <v>-1.25</v>
      </c>
      <c r="G1106">
        <f>ABS(lmsi_v1_v2_comparison[[#This Row],[score_change]])</f>
        <v>1.25</v>
      </c>
      <c r="H1106" t="str">
        <f>IF(lmsi_v1_v2_comparison[[#This Row],[score_change]]&gt;0, "v2 Higher","v2 Lower")</f>
        <v>v2 Lower</v>
      </c>
    </row>
    <row r="1107" spans="1:8" x14ac:dyDescent="0.2">
      <c r="A1107" t="s">
        <v>77</v>
      </c>
      <c r="B1107" t="s">
        <v>15</v>
      </c>
      <c r="C1107" t="s">
        <v>11</v>
      </c>
      <c r="D1107">
        <v>28.81</v>
      </c>
      <c r="E1107">
        <v>27.65</v>
      </c>
      <c r="F1107">
        <v>-1.1599999999999999</v>
      </c>
      <c r="G1107">
        <f>ABS(lmsi_v1_v2_comparison[[#This Row],[score_change]])</f>
        <v>1.1599999999999999</v>
      </c>
      <c r="H1107" t="str">
        <f>IF(lmsi_v1_v2_comparison[[#This Row],[score_change]]&gt;0, "v2 Higher","v2 Lower")</f>
        <v>v2 Lower</v>
      </c>
    </row>
    <row r="1108" spans="1:8" x14ac:dyDescent="0.2">
      <c r="A1108" t="s">
        <v>77</v>
      </c>
      <c r="B1108" t="s">
        <v>15</v>
      </c>
      <c r="C1108" t="s">
        <v>12</v>
      </c>
      <c r="D1108">
        <v>42.24</v>
      </c>
      <c r="E1108">
        <v>45.73</v>
      </c>
      <c r="F1108">
        <v>3.49</v>
      </c>
      <c r="G1108">
        <f>ABS(lmsi_v1_v2_comparison[[#This Row],[score_change]])</f>
        <v>3.49</v>
      </c>
      <c r="H1108" t="str">
        <f>IF(lmsi_v1_v2_comparison[[#This Row],[score_change]]&gt;0, "v2 Higher","v2 Lower")</f>
        <v>v2 Higher</v>
      </c>
    </row>
    <row r="1109" spans="1:8" x14ac:dyDescent="0.2">
      <c r="A1109" t="s">
        <v>77</v>
      </c>
      <c r="B1109" t="s">
        <v>15</v>
      </c>
      <c r="C1109" t="s">
        <v>13</v>
      </c>
      <c r="D1109">
        <v>37.520000000000003</v>
      </c>
      <c r="E1109">
        <v>33.64</v>
      </c>
      <c r="F1109">
        <v>-3.88</v>
      </c>
      <c r="G1109">
        <f>ABS(lmsi_v1_v2_comparison[[#This Row],[score_change]])</f>
        <v>3.88</v>
      </c>
      <c r="H1109" t="str">
        <f>IF(lmsi_v1_v2_comparison[[#This Row],[score_change]]&gt;0, "v2 Higher","v2 Lower")</f>
        <v>v2 Lower</v>
      </c>
    </row>
    <row r="1110" spans="1:8" x14ac:dyDescent="0.2">
      <c r="A1110" t="s">
        <v>77</v>
      </c>
      <c r="B1110" t="s">
        <v>15</v>
      </c>
      <c r="C1110" t="s">
        <v>14</v>
      </c>
      <c r="D1110">
        <v>40.75</v>
      </c>
      <c r="E1110">
        <v>37.32</v>
      </c>
      <c r="F1110">
        <v>-3.43</v>
      </c>
      <c r="G1110">
        <f>ABS(lmsi_v1_v2_comparison[[#This Row],[score_change]])</f>
        <v>3.43</v>
      </c>
      <c r="H1110" t="str">
        <f>IF(lmsi_v1_v2_comparison[[#This Row],[score_change]]&gt;0, "v2 Higher","v2 Lower")</f>
        <v>v2 Lower</v>
      </c>
    </row>
    <row r="1111" spans="1:8" x14ac:dyDescent="0.2">
      <c r="A1111" t="s">
        <v>77</v>
      </c>
      <c r="B1111" t="s">
        <v>16</v>
      </c>
      <c r="C1111" t="s">
        <v>9</v>
      </c>
      <c r="D1111">
        <v>53.13</v>
      </c>
      <c r="E1111">
        <v>41.91</v>
      </c>
      <c r="F1111">
        <v>-11.22</v>
      </c>
      <c r="G1111">
        <f>ABS(lmsi_v1_v2_comparison[[#This Row],[score_change]])</f>
        <v>11.22</v>
      </c>
      <c r="H1111" t="str">
        <f>IF(lmsi_v1_v2_comparison[[#This Row],[score_change]]&gt;0, "v2 Higher","v2 Lower")</f>
        <v>v2 Lower</v>
      </c>
    </row>
    <row r="1112" spans="1:8" x14ac:dyDescent="0.2">
      <c r="A1112" t="s">
        <v>77</v>
      </c>
      <c r="B1112" t="s">
        <v>16</v>
      </c>
      <c r="C1112" t="s">
        <v>10</v>
      </c>
      <c r="D1112">
        <v>27.18</v>
      </c>
      <c r="E1112">
        <v>26.35</v>
      </c>
      <c r="F1112">
        <v>-0.83</v>
      </c>
      <c r="G1112">
        <f>ABS(lmsi_v1_v2_comparison[[#This Row],[score_change]])</f>
        <v>0.83</v>
      </c>
      <c r="H1112" t="str">
        <f>IF(lmsi_v1_v2_comparison[[#This Row],[score_change]]&gt;0, "v2 Higher","v2 Lower")</f>
        <v>v2 Lower</v>
      </c>
    </row>
    <row r="1113" spans="1:8" x14ac:dyDescent="0.2">
      <c r="A1113" t="s">
        <v>77</v>
      </c>
      <c r="B1113" t="s">
        <v>16</v>
      </c>
      <c r="C1113" t="s">
        <v>11</v>
      </c>
      <c r="D1113">
        <v>25.68</v>
      </c>
      <c r="E1113">
        <v>25.78</v>
      </c>
      <c r="F1113">
        <v>0.1</v>
      </c>
      <c r="G1113">
        <f>ABS(lmsi_v1_v2_comparison[[#This Row],[score_change]])</f>
        <v>0.1</v>
      </c>
      <c r="H1113" t="str">
        <f>IF(lmsi_v1_v2_comparison[[#This Row],[score_change]]&gt;0, "v2 Higher","v2 Lower")</f>
        <v>v2 Higher</v>
      </c>
    </row>
    <row r="1114" spans="1:8" x14ac:dyDescent="0.2">
      <c r="A1114" t="s">
        <v>77</v>
      </c>
      <c r="B1114" t="s">
        <v>16</v>
      </c>
      <c r="C1114" t="s">
        <v>12</v>
      </c>
      <c r="D1114">
        <v>38.11</v>
      </c>
      <c r="E1114">
        <v>36.08</v>
      </c>
      <c r="F1114">
        <v>-2.0299999999999998</v>
      </c>
      <c r="G1114">
        <f>ABS(lmsi_v1_v2_comparison[[#This Row],[score_change]])</f>
        <v>2.0299999999999998</v>
      </c>
      <c r="H1114" t="str">
        <f>IF(lmsi_v1_v2_comparison[[#This Row],[score_change]]&gt;0, "v2 Higher","v2 Lower")</f>
        <v>v2 Lower</v>
      </c>
    </row>
    <row r="1115" spans="1:8" x14ac:dyDescent="0.2">
      <c r="A1115" t="s">
        <v>77</v>
      </c>
      <c r="B1115" t="s">
        <v>16</v>
      </c>
      <c r="C1115" t="s">
        <v>13</v>
      </c>
      <c r="D1115">
        <v>30.02</v>
      </c>
      <c r="E1115">
        <v>27.98</v>
      </c>
      <c r="F1115">
        <v>-2.04</v>
      </c>
      <c r="G1115">
        <f>ABS(lmsi_v1_v2_comparison[[#This Row],[score_change]])</f>
        <v>2.04</v>
      </c>
      <c r="H1115" t="str">
        <f>IF(lmsi_v1_v2_comparison[[#This Row],[score_change]]&gt;0, "v2 Higher","v2 Lower")</f>
        <v>v2 Lower</v>
      </c>
    </row>
    <row r="1116" spans="1:8" x14ac:dyDescent="0.2">
      <c r="A1116" t="s">
        <v>77</v>
      </c>
      <c r="B1116" t="s">
        <v>16</v>
      </c>
      <c r="C1116" t="s">
        <v>14</v>
      </c>
      <c r="D1116">
        <v>30.43</v>
      </c>
      <c r="E1116">
        <v>27.99</v>
      </c>
      <c r="F1116">
        <v>-2.44</v>
      </c>
      <c r="G1116">
        <f>ABS(lmsi_v1_v2_comparison[[#This Row],[score_change]])</f>
        <v>2.44</v>
      </c>
      <c r="H1116" t="str">
        <f>IF(lmsi_v1_v2_comparison[[#This Row],[score_change]]&gt;0, "v2 Higher","v2 Lower")</f>
        <v>v2 Lower</v>
      </c>
    </row>
    <row r="1117" spans="1:8" x14ac:dyDescent="0.2">
      <c r="A1117" t="s">
        <v>78</v>
      </c>
      <c r="B1117" t="s">
        <v>8</v>
      </c>
      <c r="C1117" t="s">
        <v>9</v>
      </c>
      <c r="D1117">
        <v>49.05</v>
      </c>
      <c r="E1117">
        <v>41.28</v>
      </c>
      <c r="F1117">
        <v>-7.77</v>
      </c>
      <c r="G1117">
        <f>ABS(lmsi_v1_v2_comparison[[#This Row],[score_change]])</f>
        <v>7.77</v>
      </c>
      <c r="H1117" t="str">
        <f>IF(lmsi_v1_v2_comparison[[#This Row],[score_change]]&gt;0, "v2 Higher","v2 Lower")</f>
        <v>v2 Lower</v>
      </c>
    </row>
    <row r="1118" spans="1:8" x14ac:dyDescent="0.2">
      <c r="A1118" t="s">
        <v>78</v>
      </c>
      <c r="B1118" t="s">
        <v>8</v>
      </c>
      <c r="C1118" t="s">
        <v>10</v>
      </c>
      <c r="D1118">
        <v>25.73</v>
      </c>
      <c r="E1118">
        <v>25.56</v>
      </c>
      <c r="F1118">
        <v>-0.17</v>
      </c>
      <c r="G1118">
        <f>ABS(lmsi_v1_v2_comparison[[#This Row],[score_change]])</f>
        <v>0.17</v>
      </c>
      <c r="H1118" t="str">
        <f>IF(lmsi_v1_v2_comparison[[#This Row],[score_change]]&gt;0, "v2 Higher","v2 Lower")</f>
        <v>v2 Lower</v>
      </c>
    </row>
    <row r="1119" spans="1:8" x14ac:dyDescent="0.2">
      <c r="A1119" t="s">
        <v>78</v>
      </c>
      <c r="B1119" t="s">
        <v>8</v>
      </c>
      <c r="C1119" t="s">
        <v>11</v>
      </c>
      <c r="D1119">
        <v>23.71</v>
      </c>
      <c r="E1119">
        <v>23.35</v>
      </c>
      <c r="F1119">
        <v>-0.36</v>
      </c>
      <c r="G1119">
        <f>ABS(lmsi_v1_v2_comparison[[#This Row],[score_change]])</f>
        <v>0.36</v>
      </c>
      <c r="H1119" t="str">
        <f>IF(lmsi_v1_v2_comparison[[#This Row],[score_change]]&gt;0, "v2 Higher","v2 Lower")</f>
        <v>v2 Lower</v>
      </c>
    </row>
    <row r="1120" spans="1:8" x14ac:dyDescent="0.2">
      <c r="A1120" t="s">
        <v>78</v>
      </c>
      <c r="B1120" t="s">
        <v>8</v>
      </c>
      <c r="C1120" t="s">
        <v>12</v>
      </c>
      <c r="D1120">
        <v>34.880000000000003</v>
      </c>
      <c r="E1120">
        <v>37.17</v>
      </c>
      <c r="F1120">
        <v>2.29</v>
      </c>
      <c r="G1120">
        <f>ABS(lmsi_v1_v2_comparison[[#This Row],[score_change]])</f>
        <v>2.29</v>
      </c>
      <c r="H1120" t="str">
        <f>IF(lmsi_v1_v2_comparison[[#This Row],[score_change]]&gt;0, "v2 Higher","v2 Lower")</f>
        <v>v2 Higher</v>
      </c>
    </row>
    <row r="1121" spans="1:8" x14ac:dyDescent="0.2">
      <c r="A1121" t="s">
        <v>78</v>
      </c>
      <c r="B1121" t="s">
        <v>8</v>
      </c>
      <c r="C1121" t="s">
        <v>13</v>
      </c>
      <c r="D1121">
        <v>31.47</v>
      </c>
      <c r="E1121">
        <v>28.6</v>
      </c>
      <c r="F1121">
        <v>-2.87</v>
      </c>
      <c r="G1121">
        <f>ABS(lmsi_v1_v2_comparison[[#This Row],[score_change]])</f>
        <v>2.87</v>
      </c>
      <c r="H1121" t="str">
        <f>IF(lmsi_v1_v2_comparison[[#This Row],[score_change]]&gt;0, "v2 Higher","v2 Lower")</f>
        <v>v2 Lower</v>
      </c>
    </row>
    <row r="1122" spans="1:8" x14ac:dyDescent="0.2">
      <c r="A1122" t="s">
        <v>78</v>
      </c>
      <c r="B1122" t="s">
        <v>8</v>
      </c>
      <c r="C1122" t="s">
        <v>14</v>
      </c>
      <c r="D1122">
        <v>29.07</v>
      </c>
      <c r="E1122">
        <v>30.15</v>
      </c>
      <c r="F1122">
        <v>1.08</v>
      </c>
      <c r="G1122">
        <f>ABS(lmsi_v1_v2_comparison[[#This Row],[score_change]])</f>
        <v>1.08</v>
      </c>
      <c r="H1122" t="str">
        <f>IF(lmsi_v1_v2_comparison[[#This Row],[score_change]]&gt;0, "v2 Higher","v2 Lower")</f>
        <v>v2 Higher</v>
      </c>
    </row>
    <row r="1123" spans="1:8" x14ac:dyDescent="0.2">
      <c r="A1123" t="s">
        <v>78</v>
      </c>
      <c r="B1123" t="s">
        <v>15</v>
      </c>
      <c r="C1123" t="s">
        <v>9</v>
      </c>
      <c r="D1123">
        <v>55.39</v>
      </c>
      <c r="E1123">
        <v>44.37</v>
      </c>
      <c r="F1123">
        <v>-11.02</v>
      </c>
      <c r="G1123">
        <f>ABS(lmsi_v1_v2_comparison[[#This Row],[score_change]])</f>
        <v>11.02</v>
      </c>
      <c r="H1123" t="str">
        <f>IF(lmsi_v1_v2_comparison[[#This Row],[score_change]]&gt;0, "v2 Higher","v2 Lower")</f>
        <v>v2 Lower</v>
      </c>
    </row>
    <row r="1124" spans="1:8" x14ac:dyDescent="0.2">
      <c r="A1124" t="s">
        <v>78</v>
      </c>
      <c r="B1124" t="s">
        <v>15</v>
      </c>
      <c r="C1124" t="s">
        <v>10</v>
      </c>
      <c r="D1124">
        <v>29.86</v>
      </c>
      <c r="E1124">
        <v>34</v>
      </c>
      <c r="F1124">
        <v>4.1399999999999997</v>
      </c>
      <c r="G1124">
        <f>ABS(lmsi_v1_v2_comparison[[#This Row],[score_change]])</f>
        <v>4.1399999999999997</v>
      </c>
      <c r="H1124" t="str">
        <f>IF(lmsi_v1_v2_comparison[[#This Row],[score_change]]&gt;0, "v2 Higher","v2 Lower")</f>
        <v>v2 Higher</v>
      </c>
    </row>
    <row r="1125" spans="1:8" x14ac:dyDescent="0.2">
      <c r="A1125" t="s">
        <v>78</v>
      </c>
      <c r="B1125" t="s">
        <v>15</v>
      </c>
      <c r="C1125" t="s">
        <v>11</v>
      </c>
      <c r="D1125">
        <v>27.42</v>
      </c>
      <c r="E1125">
        <v>28.96</v>
      </c>
      <c r="F1125">
        <v>1.54</v>
      </c>
      <c r="G1125">
        <f>ABS(lmsi_v1_v2_comparison[[#This Row],[score_change]])</f>
        <v>1.54</v>
      </c>
      <c r="H1125" t="str">
        <f>IF(lmsi_v1_v2_comparison[[#This Row],[score_change]]&gt;0, "v2 Higher","v2 Lower")</f>
        <v>v2 Higher</v>
      </c>
    </row>
    <row r="1126" spans="1:8" x14ac:dyDescent="0.2">
      <c r="A1126" t="s">
        <v>78</v>
      </c>
      <c r="B1126" t="s">
        <v>15</v>
      </c>
      <c r="C1126" t="s">
        <v>12</v>
      </c>
      <c r="D1126">
        <v>39.75</v>
      </c>
      <c r="E1126">
        <v>61.45</v>
      </c>
      <c r="F1126">
        <v>21.7</v>
      </c>
      <c r="G1126">
        <f>ABS(lmsi_v1_v2_comparison[[#This Row],[score_change]])</f>
        <v>21.7</v>
      </c>
      <c r="H1126" t="str">
        <f>IF(lmsi_v1_v2_comparison[[#This Row],[score_change]]&gt;0, "v2 Higher","v2 Lower")</f>
        <v>v2 Higher</v>
      </c>
    </row>
    <row r="1127" spans="1:8" x14ac:dyDescent="0.2">
      <c r="A1127" t="s">
        <v>78</v>
      </c>
      <c r="B1127" t="s">
        <v>15</v>
      </c>
      <c r="C1127" t="s">
        <v>13</v>
      </c>
      <c r="D1127">
        <v>37.85</v>
      </c>
      <c r="E1127">
        <v>37.64</v>
      </c>
      <c r="F1127">
        <v>-0.21</v>
      </c>
      <c r="G1127">
        <f>ABS(lmsi_v1_v2_comparison[[#This Row],[score_change]])</f>
        <v>0.21</v>
      </c>
      <c r="H1127" t="str">
        <f>IF(lmsi_v1_v2_comparison[[#This Row],[score_change]]&gt;0, "v2 Higher","v2 Lower")</f>
        <v>v2 Lower</v>
      </c>
    </row>
    <row r="1128" spans="1:8" x14ac:dyDescent="0.2">
      <c r="A1128" t="s">
        <v>78</v>
      </c>
      <c r="B1128" t="s">
        <v>15</v>
      </c>
      <c r="C1128" t="s">
        <v>14</v>
      </c>
      <c r="D1128">
        <v>42.49</v>
      </c>
      <c r="E1128">
        <v>41.22</v>
      </c>
      <c r="F1128">
        <v>-1.27</v>
      </c>
      <c r="G1128">
        <f>ABS(lmsi_v1_v2_comparison[[#This Row],[score_change]])</f>
        <v>1.27</v>
      </c>
      <c r="H1128" t="str">
        <f>IF(lmsi_v1_v2_comparison[[#This Row],[score_change]]&gt;0, "v2 Higher","v2 Lower")</f>
        <v>v2 Lower</v>
      </c>
    </row>
    <row r="1129" spans="1:8" x14ac:dyDescent="0.2">
      <c r="A1129" t="s">
        <v>78</v>
      </c>
      <c r="B1129" t="s">
        <v>16</v>
      </c>
      <c r="C1129" t="s">
        <v>9</v>
      </c>
      <c r="D1129">
        <v>49.31</v>
      </c>
      <c r="E1129">
        <v>42.7</v>
      </c>
      <c r="F1129">
        <v>-6.61</v>
      </c>
      <c r="G1129">
        <f>ABS(lmsi_v1_v2_comparison[[#This Row],[score_change]])</f>
        <v>6.61</v>
      </c>
      <c r="H1129" t="str">
        <f>IF(lmsi_v1_v2_comparison[[#This Row],[score_change]]&gt;0, "v2 Higher","v2 Lower")</f>
        <v>v2 Lower</v>
      </c>
    </row>
    <row r="1130" spans="1:8" x14ac:dyDescent="0.2">
      <c r="A1130" t="s">
        <v>78</v>
      </c>
      <c r="B1130" t="s">
        <v>16</v>
      </c>
      <c r="C1130" t="s">
        <v>10</v>
      </c>
      <c r="D1130">
        <v>27.58</v>
      </c>
      <c r="E1130">
        <v>29.68</v>
      </c>
      <c r="F1130">
        <v>2.1</v>
      </c>
      <c r="G1130">
        <f>ABS(lmsi_v1_v2_comparison[[#This Row],[score_change]])</f>
        <v>2.1</v>
      </c>
      <c r="H1130" t="str">
        <f>IF(lmsi_v1_v2_comparison[[#This Row],[score_change]]&gt;0, "v2 Higher","v2 Lower")</f>
        <v>v2 Higher</v>
      </c>
    </row>
    <row r="1131" spans="1:8" x14ac:dyDescent="0.2">
      <c r="A1131" t="s">
        <v>78</v>
      </c>
      <c r="B1131" t="s">
        <v>16</v>
      </c>
      <c r="C1131" t="s">
        <v>11</v>
      </c>
      <c r="D1131">
        <v>24.86</v>
      </c>
      <c r="E1131">
        <v>24.53</v>
      </c>
      <c r="F1131">
        <v>-0.33</v>
      </c>
      <c r="G1131">
        <f>ABS(lmsi_v1_v2_comparison[[#This Row],[score_change]])</f>
        <v>0.33</v>
      </c>
      <c r="H1131" t="str">
        <f>IF(lmsi_v1_v2_comparison[[#This Row],[score_change]]&gt;0, "v2 Higher","v2 Lower")</f>
        <v>v2 Lower</v>
      </c>
    </row>
    <row r="1132" spans="1:8" x14ac:dyDescent="0.2">
      <c r="A1132" t="s">
        <v>78</v>
      </c>
      <c r="B1132" t="s">
        <v>16</v>
      </c>
      <c r="C1132" t="s">
        <v>12</v>
      </c>
      <c r="D1132">
        <v>37.479999999999997</v>
      </c>
      <c r="E1132">
        <v>39.14</v>
      </c>
      <c r="F1132">
        <v>1.66</v>
      </c>
      <c r="G1132">
        <f>ABS(lmsi_v1_v2_comparison[[#This Row],[score_change]])</f>
        <v>1.66</v>
      </c>
      <c r="H1132" t="str">
        <f>IF(lmsi_v1_v2_comparison[[#This Row],[score_change]]&gt;0, "v2 Higher","v2 Lower")</f>
        <v>v2 Higher</v>
      </c>
    </row>
    <row r="1133" spans="1:8" x14ac:dyDescent="0.2">
      <c r="A1133" t="s">
        <v>78</v>
      </c>
      <c r="B1133" t="s">
        <v>16</v>
      </c>
      <c r="C1133" t="s">
        <v>13</v>
      </c>
      <c r="D1133">
        <v>31.54</v>
      </c>
      <c r="E1133">
        <v>28.86</v>
      </c>
      <c r="F1133">
        <v>-2.68</v>
      </c>
      <c r="G1133">
        <f>ABS(lmsi_v1_v2_comparison[[#This Row],[score_change]])</f>
        <v>2.68</v>
      </c>
      <c r="H1133" t="str">
        <f>IF(lmsi_v1_v2_comparison[[#This Row],[score_change]]&gt;0, "v2 Higher","v2 Lower")</f>
        <v>v2 Lower</v>
      </c>
    </row>
    <row r="1134" spans="1:8" x14ac:dyDescent="0.2">
      <c r="A1134" t="s">
        <v>78</v>
      </c>
      <c r="B1134" t="s">
        <v>16</v>
      </c>
      <c r="C1134" t="s">
        <v>14</v>
      </c>
      <c r="D1134">
        <v>31.93</v>
      </c>
      <c r="E1134">
        <v>31.49</v>
      </c>
      <c r="F1134">
        <v>-0.44</v>
      </c>
      <c r="G1134">
        <f>ABS(lmsi_v1_v2_comparison[[#This Row],[score_change]])</f>
        <v>0.44</v>
      </c>
      <c r="H1134" t="str">
        <f>IF(lmsi_v1_v2_comparison[[#This Row],[score_change]]&gt;0, "v2 Higher","v2 Lower")</f>
        <v>v2 Lower</v>
      </c>
    </row>
    <row r="1135" spans="1:8" x14ac:dyDescent="0.2">
      <c r="A1135" t="s">
        <v>79</v>
      </c>
      <c r="B1135" t="s">
        <v>8</v>
      </c>
      <c r="C1135" t="s">
        <v>9</v>
      </c>
      <c r="D1135">
        <v>45.17</v>
      </c>
      <c r="E1135">
        <v>39.42</v>
      </c>
      <c r="F1135">
        <v>-5.75</v>
      </c>
      <c r="G1135">
        <f>ABS(lmsi_v1_v2_comparison[[#This Row],[score_change]])</f>
        <v>5.75</v>
      </c>
      <c r="H1135" t="str">
        <f>IF(lmsi_v1_v2_comparison[[#This Row],[score_change]]&gt;0, "v2 Higher","v2 Lower")</f>
        <v>v2 Lower</v>
      </c>
    </row>
    <row r="1136" spans="1:8" x14ac:dyDescent="0.2">
      <c r="A1136" t="s">
        <v>79</v>
      </c>
      <c r="B1136" t="s">
        <v>8</v>
      </c>
      <c r="C1136" t="s">
        <v>10</v>
      </c>
      <c r="D1136">
        <v>25.35</v>
      </c>
      <c r="E1136">
        <v>27.07</v>
      </c>
      <c r="F1136">
        <v>1.72</v>
      </c>
      <c r="G1136">
        <f>ABS(lmsi_v1_v2_comparison[[#This Row],[score_change]])</f>
        <v>1.72</v>
      </c>
      <c r="H1136" t="str">
        <f>IF(lmsi_v1_v2_comparison[[#This Row],[score_change]]&gt;0, "v2 Higher","v2 Lower")</f>
        <v>v2 Higher</v>
      </c>
    </row>
    <row r="1137" spans="1:8" x14ac:dyDescent="0.2">
      <c r="A1137" t="s">
        <v>79</v>
      </c>
      <c r="B1137" t="s">
        <v>8</v>
      </c>
      <c r="C1137" t="s">
        <v>11</v>
      </c>
      <c r="D1137">
        <v>23.7</v>
      </c>
      <c r="E1137">
        <v>24.69</v>
      </c>
      <c r="F1137">
        <v>0.99</v>
      </c>
      <c r="G1137">
        <f>ABS(lmsi_v1_v2_comparison[[#This Row],[score_change]])</f>
        <v>0.99</v>
      </c>
      <c r="H1137" t="str">
        <f>IF(lmsi_v1_v2_comparison[[#This Row],[score_change]]&gt;0, "v2 Higher","v2 Lower")</f>
        <v>v2 Higher</v>
      </c>
    </row>
    <row r="1138" spans="1:8" x14ac:dyDescent="0.2">
      <c r="A1138" t="s">
        <v>79</v>
      </c>
      <c r="B1138" t="s">
        <v>8</v>
      </c>
      <c r="C1138" t="s">
        <v>12</v>
      </c>
      <c r="D1138">
        <v>34.869999999999997</v>
      </c>
      <c r="E1138">
        <v>36.61</v>
      </c>
      <c r="F1138">
        <v>1.74</v>
      </c>
      <c r="G1138">
        <f>ABS(lmsi_v1_v2_comparison[[#This Row],[score_change]])</f>
        <v>1.74</v>
      </c>
      <c r="H1138" t="str">
        <f>IF(lmsi_v1_v2_comparison[[#This Row],[score_change]]&gt;0, "v2 Higher","v2 Lower")</f>
        <v>v2 Higher</v>
      </c>
    </row>
    <row r="1139" spans="1:8" x14ac:dyDescent="0.2">
      <c r="A1139" t="s">
        <v>79</v>
      </c>
      <c r="B1139" t="s">
        <v>8</v>
      </c>
      <c r="C1139" t="s">
        <v>13</v>
      </c>
      <c r="D1139">
        <v>31.88</v>
      </c>
      <c r="E1139">
        <v>29.3</v>
      </c>
      <c r="F1139">
        <v>-2.58</v>
      </c>
      <c r="G1139">
        <f>ABS(lmsi_v1_v2_comparison[[#This Row],[score_change]])</f>
        <v>2.58</v>
      </c>
      <c r="H1139" t="str">
        <f>IF(lmsi_v1_v2_comparison[[#This Row],[score_change]]&gt;0, "v2 Higher","v2 Lower")</f>
        <v>v2 Lower</v>
      </c>
    </row>
    <row r="1140" spans="1:8" x14ac:dyDescent="0.2">
      <c r="A1140" t="s">
        <v>79</v>
      </c>
      <c r="B1140" t="s">
        <v>8</v>
      </c>
      <c r="C1140" t="s">
        <v>14</v>
      </c>
      <c r="D1140">
        <v>29.59</v>
      </c>
      <c r="E1140">
        <v>28.86</v>
      </c>
      <c r="F1140">
        <v>-0.73</v>
      </c>
      <c r="G1140">
        <f>ABS(lmsi_v1_v2_comparison[[#This Row],[score_change]])</f>
        <v>0.73</v>
      </c>
      <c r="H1140" t="str">
        <f>IF(lmsi_v1_v2_comparison[[#This Row],[score_change]]&gt;0, "v2 Higher","v2 Lower")</f>
        <v>v2 Lower</v>
      </c>
    </row>
    <row r="1141" spans="1:8" x14ac:dyDescent="0.2">
      <c r="A1141" t="s">
        <v>79</v>
      </c>
      <c r="B1141" t="s">
        <v>15</v>
      </c>
      <c r="C1141" t="s">
        <v>9</v>
      </c>
      <c r="D1141">
        <v>55.57</v>
      </c>
      <c r="E1141">
        <v>44.46</v>
      </c>
      <c r="F1141">
        <v>-11.11</v>
      </c>
      <c r="G1141">
        <f>ABS(lmsi_v1_v2_comparison[[#This Row],[score_change]])</f>
        <v>11.11</v>
      </c>
      <c r="H1141" t="str">
        <f>IF(lmsi_v1_v2_comparison[[#This Row],[score_change]]&gt;0, "v2 Higher","v2 Lower")</f>
        <v>v2 Lower</v>
      </c>
    </row>
    <row r="1142" spans="1:8" x14ac:dyDescent="0.2">
      <c r="A1142" t="s">
        <v>79</v>
      </c>
      <c r="B1142" t="s">
        <v>15</v>
      </c>
      <c r="C1142" t="s">
        <v>10</v>
      </c>
      <c r="D1142">
        <v>30.39</v>
      </c>
      <c r="E1142">
        <v>27.67</v>
      </c>
      <c r="F1142">
        <v>-2.72</v>
      </c>
      <c r="G1142">
        <f>ABS(lmsi_v1_v2_comparison[[#This Row],[score_change]])</f>
        <v>2.72</v>
      </c>
      <c r="H1142" t="str">
        <f>IF(lmsi_v1_v2_comparison[[#This Row],[score_change]]&gt;0, "v2 Higher","v2 Lower")</f>
        <v>v2 Lower</v>
      </c>
    </row>
    <row r="1143" spans="1:8" x14ac:dyDescent="0.2">
      <c r="A1143" t="s">
        <v>79</v>
      </c>
      <c r="B1143" t="s">
        <v>15</v>
      </c>
      <c r="C1143" t="s">
        <v>11</v>
      </c>
      <c r="D1143">
        <v>28.1</v>
      </c>
      <c r="E1143">
        <v>35.42</v>
      </c>
      <c r="F1143">
        <v>7.32</v>
      </c>
      <c r="G1143">
        <f>ABS(lmsi_v1_v2_comparison[[#This Row],[score_change]])</f>
        <v>7.32</v>
      </c>
      <c r="H1143" t="str">
        <f>IF(lmsi_v1_v2_comparison[[#This Row],[score_change]]&gt;0, "v2 Higher","v2 Lower")</f>
        <v>v2 Higher</v>
      </c>
    </row>
    <row r="1144" spans="1:8" x14ac:dyDescent="0.2">
      <c r="A1144" t="s">
        <v>79</v>
      </c>
      <c r="B1144" t="s">
        <v>15</v>
      </c>
      <c r="C1144" t="s">
        <v>12</v>
      </c>
      <c r="D1144">
        <v>40.049999999999997</v>
      </c>
      <c r="E1144">
        <v>51.26</v>
      </c>
      <c r="F1144">
        <v>11.21</v>
      </c>
      <c r="G1144">
        <f>ABS(lmsi_v1_v2_comparison[[#This Row],[score_change]])</f>
        <v>11.21</v>
      </c>
      <c r="H1144" t="str">
        <f>IF(lmsi_v1_v2_comparison[[#This Row],[score_change]]&gt;0, "v2 Higher","v2 Lower")</f>
        <v>v2 Higher</v>
      </c>
    </row>
    <row r="1145" spans="1:8" x14ac:dyDescent="0.2">
      <c r="A1145" t="s">
        <v>79</v>
      </c>
      <c r="B1145" t="s">
        <v>15</v>
      </c>
      <c r="C1145" t="s">
        <v>13</v>
      </c>
      <c r="D1145">
        <v>38.619999999999997</v>
      </c>
      <c r="E1145">
        <v>36.630000000000003</v>
      </c>
      <c r="F1145">
        <v>-1.99</v>
      </c>
      <c r="G1145">
        <f>ABS(lmsi_v1_v2_comparison[[#This Row],[score_change]])</f>
        <v>1.99</v>
      </c>
      <c r="H1145" t="str">
        <f>IF(lmsi_v1_v2_comparison[[#This Row],[score_change]]&gt;0, "v2 Higher","v2 Lower")</f>
        <v>v2 Lower</v>
      </c>
    </row>
    <row r="1146" spans="1:8" x14ac:dyDescent="0.2">
      <c r="A1146" t="s">
        <v>79</v>
      </c>
      <c r="B1146" t="s">
        <v>15</v>
      </c>
      <c r="C1146" t="s">
        <v>14</v>
      </c>
      <c r="D1146">
        <v>44.77</v>
      </c>
      <c r="E1146">
        <v>38.840000000000003</v>
      </c>
      <c r="F1146">
        <v>-5.93</v>
      </c>
      <c r="G1146">
        <f>ABS(lmsi_v1_v2_comparison[[#This Row],[score_change]])</f>
        <v>5.93</v>
      </c>
      <c r="H1146" t="str">
        <f>IF(lmsi_v1_v2_comparison[[#This Row],[score_change]]&gt;0, "v2 Higher","v2 Lower")</f>
        <v>v2 Lower</v>
      </c>
    </row>
    <row r="1147" spans="1:8" x14ac:dyDescent="0.2">
      <c r="A1147" t="s">
        <v>79</v>
      </c>
      <c r="B1147" t="s">
        <v>16</v>
      </c>
      <c r="C1147" t="s">
        <v>9</v>
      </c>
      <c r="D1147">
        <v>45.49</v>
      </c>
      <c r="E1147">
        <v>38.68</v>
      </c>
      <c r="F1147">
        <v>-6.81</v>
      </c>
      <c r="G1147">
        <f>ABS(lmsi_v1_v2_comparison[[#This Row],[score_change]])</f>
        <v>6.81</v>
      </c>
      <c r="H1147" t="str">
        <f>IF(lmsi_v1_v2_comparison[[#This Row],[score_change]]&gt;0, "v2 Higher","v2 Lower")</f>
        <v>v2 Lower</v>
      </c>
    </row>
    <row r="1148" spans="1:8" x14ac:dyDescent="0.2">
      <c r="A1148" t="s">
        <v>79</v>
      </c>
      <c r="B1148" t="s">
        <v>16</v>
      </c>
      <c r="C1148" t="s">
        <v>10</v>
      </c>
      <c r="D1148">
        <v>28.21</v>
      </c>
      <c r="E1148">
        <v>26.81</v>
      </c>
      <c r="F1148">
        <v>-1.4</v>
      </c>
      <c r="G1148">
        <f>ABS(lmsi_v1_v2_comparison[[#This Row],[score_change]])</f>
        <v>1.4</v>
      </c>
      <c r="H1148" t="str">
        <f>IF(lmsi_v1_v2_comparison[[#This Row],[score_change]]&gt;0, "v2 Higher","v2 Lower")</f>
        <v>v2 Lower</v>
      </c>
    </row>
    <row r="1149" spans="1:8" x14ac:dyDescent="0.2">
      <c r="A1149" t="s">
        <v>79</v>
      </c>
      <c r="B1149" t="s">
        <v>16</v>
      </c>
      <c r="C1149" t="s">
        <v>11</v>
      </c>
      <c r="D1149">
        <v>24.65</v>
      </c>
      <c r="E1149">
        <v>24.9</v>
      </c>
      <c r="F1149">
        <v>0.25</v>
      </c>
      <c r="G1149">
        <f>ABS(lmsi_v1_v2_comparison[[#This Row],[score_change]])</f>
        <v>0.25</v>
      </c>
      <c r="H1149" t="str">
        <f>IF(lmsi_v1_v2_comparison[[#This Row],[score_change]]&gt;0, "v2 Higher","v2 Lower")</f>
        <v>v2 Higher</v>
      </c>
    </row>
    <row r="1150" spans="1:8" x14ac:dyDescent="0.2">
      <c r="A1150" t="s">
        <v>79</v>
      </c>
      <c r="B1150" t="s">
        <v>16</v>
      </c>
      <c r="C1150" t="s">
        <v>12</v>
      </c>
      <c r="D1150">
        <v>36.44</v>
      </c>
      <c r="E1150">
        <v>33.82</v>
      </c>
      <c r="F1150">
        <v>-2.62</v>
      </c>
      <c r="G1150">
        <f>ABS(lmsi_v1_v2_comparison[[#This Row],[score_change]])</f>
        <v>2.62</v>
      </c>
      <c r="H1150" t="str">
        <f>IF(lmsi_v1_v2_comparison[[#This Row],[score_change]]&gt;0, "v2 Higher","v2 Lower")</f>
        <v>v2 Lower</v>
      </c>
    </row>
    <row r="1151" spans="1:8" x14ac:dyDescent="0.2">
      <c r="A1151" t="s">
        <v>79</v>
      </c>
      <c r="B1151" t="s">
        <v>16</v>
      </c>
      <c r="C1151" t="s">
        <v>13</v>
      </c>
      <c r="D1151">
        <v>31.65</v>
      </c>
      <c r="E1151">
        <v>29.32</v>
      </c>
      <c r="F1151">
        <v>-2.33</v>
      </c>
      <c r="G1151">
        <f>ABS(lmsi_v1_v2_comparison[[#This Row],[score_change]])</f>
        <v>2.33</v>
      </c>
      <c r="H1151" t="str">
        <f>IF(lmsi_v1_v2_comparison[[#This Row],[score_change]]&gt;0, "v2 Higher","v2 Lower")</f>
        <v>v2 Lower</v>
      </c>
    </row>
    <row r="1152" spans="1:8" x14ac:dyDescent="0.2">
      <c r="A1152" t="s">
        <v>79</v>
      </c>
      <c r="B1152" t="s">
        <v>16</v>
      </c>
      <c r="C1152" t="s">
        <v>14</v>
      </c>
      <c r="D1152">
        <v>31.72</v>
      </c>
      <c r="E1152">
        <v>29.26</v>
      </c>
      <c r="F1152">
        <v>-2.46</v>
      </c>
      <c r="G1152">
        <f>ABS(lmsi_v1_v2_comparison[[#This Row],[score_change]])</f>
        <v>2.46</v>
      </c>
      <c r="H1152" t="str">
        <f>IF(lmsi_v1_v2_comparison[[#This Row],[score_change]]&gt;0, "v2 Higher","v2 Lower")</f>
        <v>v2 Lower</v>
      </c>
    </row>
    <row r="1153" spans="1:8" x14ac:dyDescent="0.2">
      <c r="A1153" t="s">
        <v>80</v>
      </c>
      <c r="B1153" t="s">
        <v>8</v>
      </c>
      <c r="C1153" t="s">
        <v>9</v>
      </c>
      <c r="D1153">
        <v>43.76</v>
      </c>
      <c r="E1153">
        <v>36.46</v>
      </c>
      <c r="F1153">
        <v>-7.3</v>
      </c>
      <c r="G1153">
        <f>ABS(lmsi_v1_v2_comparison[[#This Row],[score_change]])</f>
        <v>7.3</v>
      </c>
      <c r="H1153" t="str">
        <f>IF(lmsi_v1_v2_comparison[[#This Row],[score_change]]&gt;0, "v2 Higher","v2 Lower")</f>
        <v>v2 Lower</v>
      </c>
    </row>
    <row r="1154" spans="1:8" x14ac:dyDescent="0.2">
      <c r="A1154" t="s">
        <v>80</v>
      </c>
      <c r="B1154" t="s">
        <v>8</v>
      </c>
      <c r="C1154" t="s">
        <v>10</v>
      </c>
      <c r="D1154">
        <v>25.48</v>
      </c>
      <c r="E1154">
        <v>26.04</v>
      </c>
      <c r="F1154">
        <v>0.56000000000000005</v>
      </c>
      <c r="G1154">
        <f>ABS(lmsi_v1_v2_comparison[[#This Row],[score_change]])</f>
        <v>0.56000000000000005</v>
      </c>
      <c r="H1154" t="str">
        <f>IF(lmsi_v1_v2_comparison[[#This Row],[score_change]]&gt;0, "v2 Higher","v2 Lower")</f>
        <v>v2 Higher</v>
      </c>
    </row>
    <row r="1155" spans="1:8" x14ac:dyDescent="0.2">
      <c r="A1155" t="s">
        <v>80</v>
      </c>
      <c r="B1155" t="s">
        <v>8</v>
      </c>
      <c r="C1155" t="s">
        <v>11</v>
      </c>
      <c r="D1155">
        <v>23.35</v>
      </c>
      <c r="E1155">
        <v>24.41</v>
      </c>
      <c r="F1155">
        <v>1.06</v>
      </c>
      <c r="G1155">
        <f>ABS(lmsi_v1_v2_comparison[[#This Row],[score_change]])</f>
        <v>1.06</v>
      </c>
      <c r="H1155" t="str">
        <f>IF(lmsi_v1_v2_comparison[[#This Row],[score_change]]&gt;0, "v2 Higher","v2 Lower")</f>
        <v>v2 Higher</v>
      </c>
    </row>
    <row r="1156" spans="1:8" x14ac:dyDescent="0.2">
      <c r="A1156" t="s">
        <v>80</v>
      </c>
      <c r="B1156" t="s">
        <v>8</v>
      </c>
      <c r="C1156" t="s">
        <v>12</v>
      </c>
      <c r="D1156">
        <v>41.36</v>
      </c>
      <c r="E1156">
        <v>38.25</v>
      </c>
      <c r="F1156">
        <v>-3.11</v>
      </c>
      <c r="G1156">
        <f>ABS(lmsi_v1_v2_comparison[[#This Row],[score_change]])</f>
        <v>3.11</v>
      </c>
      <c r="H1156" t="str">
        <f>IF(lmsi_v1_v2_comparison[[#This Row],[score_change]]&gt;0, "v2 Higher","v2 Lower")</f>
        <v>v2 Lower</v>
      </c>
    </row>
    <row r="1157" spans="1:8" x14ac:dyDescent="0.2">
      <c r="A1157" t="s">
        <v>80</v>
      </c>
      <c r="B1157" t="s">
        <v>8</v>
      </c>
      <c r="C1157" t="s">
        <v>13</v>
      </c>
      <c r="D1157">
        <v>27.82</v>
      </c>
      <c r="E1157">
        <v>28.07</v>
      </c>
      <c r="F1157">
        <v>0.25</v>
      </c>
      <c r="G1157">
        <f>ABS(lmsi_v1_v2_comparison[[#This Row],[score_change]])</f>
        <v>0.25</v>
      </c>
      <c r="H1157" t="str">
        <f>IF(lmsi_v1_v2_comparison[[#This Row],[score_change]]&gt;0, "v2 Higher","v2 Lower")</f>
        <v>v2 Higher</v>
      </c>
    </row>
    <row r="1158" spans="1:8" x14ac:dyDescent="0.2">
      <c r="A1158" t="s">
        <v>80</v>
      </c>
      <c r="B1158" t="s">
        <v>8</v>
      </c>
      <c r="C1158" t="s">
        <v>14</v>
      </c>
      <c r="D1158">
        <v>29.71</v>
      </c>
      <c r="E1158">
        <v>33.04</v>
      </c>
      <c r="F1158">
        <v>3.33</v>
      </c>
      <c r="G1158">
        <f>ABS(lmsi_v1_v2_comparison[[#This Row],[score_change]])</f>
        <v>3.33</v>
      </c>
      <c r="H1158" t="str">
        <f>IF(lmsi_v1_v2_comparison[[#This Row],[score_change]]&gt;0, "v2 Higher","v2 Lower")</f>
        <v>v2 Higher</v>
      </c>
    </row>
    <row r="1159" spans="1:8" x14ac:dyDescent="0.2">
      <c r="A1159" t="s">
        <v>80</v>
      </c>
      <c r="B1159" t="s">
        <v>15</v>
      </c>
      <c r="C1159" t="s">
        <v>9</v>
      </c>
      <c r="D1159">
        <v>50.73</v>
      </c>
      <c r="E1159">
        <v>42.02</v>
      </c>
      <c r="F1159">
        <v>-8.7100000000000009</v>
      </c>
      <c r="G1159">
        <f>ABS(lmsi_v1_v2_comparison[[#This Row],[score_change]])</f>
        <v>8.7100000000000009</v>
      </c>
      <c r="H1159" t="str">
        <f>IF(lmsi_v1_v2_comparison[[#This Row],[score_change]]&gt;0, "v2 Higher","v2 Lower")</f>
        <v>v2 Lower</v>
      </c>
    </row>
    <row r="1160" spans="1:8" x14ac:dyDescent="0.2">
      <c r="A1160" t="s">
        <v>80</v>
      </c>
      <c r="B1160" t="s">
        <v>15</v>
      </c>
      <c r="C1160" t="s">
        <v>10</v>
      </c>
      <c r="D1160">
        <v>28.64</v>
      </c>
      <c r="E1160">
        <v>29.01</v>
      </c>
      <c r="F1160">
        <v>0.37</v>
      </c>
      <c r="G1160">
        <f>ABS(lmsi_v1_v2_comparison[[#This Row],[score_change]])</f>
        <v>0.37</v>
      </c>
      <c r="H1160" t="str">
        <f>IF(lmsi_v1_v2_comparison[[#This Row],[score_change]]&gt;0, "v2 Higher","v2 Lower")</f>
        <v>v2 Higher</v>
      </c>
    </row>
    <row r="1161" spans="1:8" x14ac:dyDescent="0.2">
      <c r="A1161" t="s">
        <v>80</v>
      </c>
      <c r="B1161" t="s">
        <v>15</v>
      </c>
      <c r="C1161" t="s">
        <v>11</v>
      </c>
      <c r="D1161">
        <v>26.68</v>
      </c>
      <c r="E1161">
        <v>26.81</v>
      </c>
      <c r="F1161">
        <v>0.13</v>
      </c>
      <c r="G1161">
        <f>ABS(lmsi_v1_v2_comparison[[#This Row],[score_change]])</f>
        <v>0.13</v>
      </c>
      <c r="H1161" t="str">
        <f>IF(lmsi_v1_v2_comparison[[#This Row],[score_change]]&gt;0, "v2 Higher","v2 Lower")</f>
        <v>v2 Higher</v>
      </c>
    </row>
    <row r="1162" spans="1:8" x14ac:dyDescent="0.2">
      <c r="A1162" t="s">
        <v>80</v>
      </c>
      <c r="B1162" t="s">
        <v>15</v>
      </c>
      <c r="C1162" t="s">
        <v>12</v>
      </c>
      <c r="D1162">
        <v>46.47</v>
      </c>
      <c r="E1162">
        <v>46.17</v>
      </c>
      <c r="F1162">
        <v>-0.3</v>
      </c>
      <c r="G1162">
        <f>ABS(lmsi_v1_v2_comparison[[#This Row],[score_change]])</f>
        <v>0.3</v>
      </c>
      <c r="H1162" t="str">
        <f>IF(lmsi_v1_v2_comparison[[#This Row],[score_change]]&gt;0, "v2 Higher","v2 Lower")</f>
        <v>v2 Lower</v>
      </c>
    </row>
    <row r="1163" spans="1:8" x14ac:dyDescent="0.2">
      <c r="A1163" t="s">
        <v>80</v>
      </c>
      <c r="B1163" t="s">
        <v>15</v>
      </c>
      <c r="C1163" t="s">
        <v>13</v>
      </c>
      <c r="D1163">
        <v>35.369999999999997</v>
      </c>
      <c r="E1163">
        <v>33.24</v>
      </c>
      <c r="F1163">
        <v>-2.13</v>
      </c>
      <c r="G1163">
        <f>ABS(lmsi_v1_v2_comparison[[#This Row],[score_change]])</f>
        <v>2.13</v>
      </c>
      <c r="H1163" t="str">
        <f>IF(lmsi_v1_v2_comparison[[#This Row],[score_change]]&gt;0, "v2 Higher","v2 Lower")</f>
        <v>v2 Lower</v>
      </c>
    </row>
    <row r="1164" spans="1:8" x14ac:dyDescent="0.2">
      <c r="A1164" t="s">
        <v>80</v>
      </c>
      <c r="B1164" t="s">
        <v>15</v>
      </c>
      <c r="C1164" t="s">
        <v>14</v>
      </c>
      <c r="D1164">
        <v>43.25</v>
      </c>
      <c r="E1164">
        <v>39.89</v>
      </c>
      <c r="F1164">
        <v>-3.36</v>
      </c>
      <c r="G1164">
        <f>ABS(lmsi_v1_v2_comparison[[#This Row],[score_change]])</f>
        <v>3.36</v>
      </c>
      <c r="H1164" t="str">
        <f>IF(lmsi_v1_v2_comparison[[#This Row],[score_change]]&gt;0, "v2 Higher","v2 Lower")</f>
        <v>v2 Lower</v>
      </c>
    </row>
    <row r="1165" spans="1:8" x14ac:dyDescent="0.2">
      <c r="A1165" t="s">
        <v>80</v>
      </c>
      <c r="B1165" t="s">
        <v>16</v>
      </c>
      <c r="C1165" t="s">
        <v>9</v>
      </c>
      <c r="D1165">
        <v>46.05</v>
      </c>
      <c r="E1165">
        <v>40.520000000000003</v>
      </c>
      <c r="F1165">
        <v>-5.53</v>
      </c>
      <c r="G1165">
        <f>ABS(lmsi_v1_v2_comparison[[#This Row],[score_change]])</f>
        <v>5.53</v>
      </c>
      <c r="H1165" t="str">
        <f>IF(lmsi_v1_v2_comparison[[#This Row],[score_change]]&gt;0, "v2 Higher","v2 Lower")</f>
        <v>v2 Lower</v>
      </c>
    </row>
    <row r="1166" spans="1:8" x14ac:dyDescent="0.2">
      <c r="A1166" t="s">
        <v>80</v>
      </c>
      <c r="B1166" t="s">
        <v>16</v>
      </c>
      <c r="C1166" t="s">
        <v>10</v>
      </c>
      <c r="D1166">
        <v>27.77</v>
      </c>
      <c r="E1166">
        <v>27.1</v>
      </c>
      <c r="F1166">
        <v>-0.67</v>
      </c>
      <c r="G1166">
        <f>ABS(lmsi_v1_v2_comparison[[#This Row],[score_change]])</f>
        <v>0.67</v>
      </c>
      <c r="H1166" t="str">
        <f>IF(lmsi_v1_v2_comparison[[#This Row],[score_change]]&gt;0, "v2 Higher","v2 Lower")</f>
        <v>v2 Lower</v>
      </c>
    </row>
    <row r="1167" spans="1:8" x14ac:dyDescent="0.2">
      <c r="A1167" t="s">
        <v>80</v>
      </c>
      <c r="B1167" t="s">
        <v>16</v>
      </c>
      <c r="C1167" t="s">
        <v>11</v>
      </c>
      <c r="D1167">
        <v>24.11</v>
      </c>
      <c r="E1167">
        <v>23.63</v>
      </c>
      <c r="F1167">
        <v>-0.48</v>
      </c>
      <c r="G1167">
        <f>ABS(lmsi_v1_v2_comparison[[#This Row],[score_change]])</f>
        <v>0.48</v>
      </c>
      <c r="H1167" t="str">
        <f>IF(lmsi_v1_v2_comparison[[#This Row],[score_change]]&gt;0, "v2 Higher","v2 Lower")</f>
        <v>v2 Lower</v>
      </c>
    </row>
    <row r="1168" spans="1:8" x14ac:dyDescent="0.2">
      <c r="A1168" t="s">
        <v>80</v>
      </c>
      <c r="B1168" t="s">
        <v>16</v>
      </c>
      <c r="C1168" t="s">
        <v>12</v>
      </c>
      <c r="D1168">
        <v>42.29</v>
      </c>
      <c r="E1168">
        <v>39.86</v>
      </c>
      <c r="F1168">
        <v>-2.4300000000000002</v>
      </c>
      <c r="G1168">
        <f>ABS(lmsi_v1_v2_comparison[[#This Row],[score_change]])</f>
        <v>2.4300000000000002</v>
      </c>
      <c r="H1168" t="str">
        <f>IF(lmsi_v1_v2_comparison[[#This Row],[score_change]]&gt;0, "v2 Higher","v2 Lower")</f>
        <v>v2 Lower</v>
      </c>
    </row>
    <row r="1169" spans="1:8" x14ac:dyDescent="0.2">
      <c r="A1169" t="s">
        <v>80</v>
      </c>
      <c r="B1169" t="s">
        <v>16</v>
      </c>
      <c r="C1169" t="s">
        <v>13</v>
      </c>
      <c r="D1169">
        <v>26.88</v>
      </c>
      <c r="E1169">
        <v>28.73</v>
      </c>
      <c r="F1169">
        <v>1.85</v>
      </c>
      <c r="G1169">
        <f>ABS(lmsi_v1_v2_comparison[[#This Row],[score_change]])</f>
        <v>1.85</v>
      </c>
      <c r="H1169" t="str">
        <f>IF(lmsi_v1_v2_comparison[[#This Row],[score_change]]&gt;0, "v2 Higher","v2 Lower")</f>
        <v>v2 Higher</v>
      </c>
    </row>
    <row r="1170" spans="1:8" x14ac:dyDescent="0.2">
      <c r="A1170" t="s">
        <v>80</v>
      </c>
      <c r="B1170" t="s">
        <v>16</v>
      </c>
      <c r="C1170" t="s">
        <v>14</v>
      </c>
      <c r="D1170">
        <v>31.66</v>
      </c>
      <c r="E1170">
        <v>28.85</v>
      </c>
      <c r="F1170">
        <v>-2.81</v>
      </c>
      <c r="G1170">
        <f>ABS(lmsi_v1_v2_comparison[[#This Row],[score_change]])</f>
        <v>2.81</v>
      </c>
      <c r="H1170" t="str">
        <f>IF(lmsi_v1_v2_comparison[[#This Row],[score_change]]&gt;0, "v2 Higher","v2 Lower")</f>
        <v>v2 Lower</v>
      </c>
    </row>
    <row r="1171" spans="1:8" x14ac:dyDescent="0.2">
      <c r="A1171" t="s">
        <v>81</v>
      </c>
      <c r="B1171" t="s">
        <v>8</v>
      </c>
      <c r="C1171" t="s">
        <v>9</v>
      </c>
      <c r="D1171">
        <v>47.38</v>
      </c>
      <c r="E1171">
        <v>38.81</v>
      </c>
      <c r="F1171">
        <v>-8.57</v>
      </c>
      <c r="G1171">
        <f>ABS(lmsi_v1_v2_comparison[[#This Row],[score_change]])</f>
        <v>8.57</v>
      </c>
      <c r="H1171" t="str">
        <f>IF(lmsi_v1_v2_comparison[[#This Row],[score_change]]&gt;0, "v2 Higher","v2 Lower")</f>
        <v>v2 Lower</v>
      </c>
    </row>
    <row r="1172" spans="1:8" x14ac:dyDescent="0.2">
      <c r="A1172" t="s">
        <v>81</v>
      </c>
      <c r="B1172" t="s">
        <v>8</v>
      </c>
      <c r="C1172" t="s">
        <v>10</v>
      </c>
      <c r="D1172">
        <v>24.77</v>
      </c>
      <c r="E1172">
        <v>24.82</v>
      </c>
      <c r="F1172">
        <v>0.05</v>
      </c>
      <c r="G1172">
        <f>ABS(lmsi_v1_v2_comparison[[#This Row],[score_change]])</f>
        <v>0.05</v>
      </c>
      <c r="H1172" t="str">
        <f>IF(lmsi_v1_v2_comparison[[#This Row],[score_change]]&gt;0, "v2 Higher","v2 Lower")</f>
        <v>v2 Higher</v>
      </c>
    </row>
    <row r="1173" spans="1:8" x14ac:dyDescent="0.2">
      <c r="A1173" t="s">
        <v>81</v>
      </c>
      <c r="B1173" t="s">
        <v>8</v>
      </c>
      <c r="C1173" t="s">
        <v>11</v>
      </c>
      <c r="D1173">
        <v>19.79</v>
      </c>
      <c r="E1173">
        <v>20.420000000000002</v>
      </c>
      <c r="F1173">
        <v>0.63</v>
      </c>
      <c r="G1173">
        <f>ABS(lmsi_v1_v2_comparison[[#This Row],[score_change]])</f>
        <v>0.63</v>
      </c>
      <c r="H1173" t="str">
        <f>IF(lmsi_v1_v2_comparison[[#This Row],[score_change]]&gt;0, "v2 Higher","v2 Lower")</f>
        <v>v2 Higher</v>
      </c>
    </row>
    <row r="1174" spans="1:8" x14ac:dyDescent="0.2">
      <c r="A1174" t="s">
        <v>81</v>
      </c>
      <c r="B1174" t="s">
        <v>8</v>
      </c>
      <c r="C1174" t="s">
        <v>12</v>
      </c>
      <c r="D1174">
        <v>33.89</v>
      </c>
      <c r="E1174">
        <v>35.19</v>
      </c>
      <c r="F1174">
        <v>1.3</v>
      </c>
      <c r="G1174">
        <f>ABS(lmsi_v1_v2_comparison[[#This Row],[score_change]])</f>
        <v>1.3</v>
      </c>
      <c r="H1174" t="str">
        <f>IF(lmsi_v1_v2_comparison[[#This Row],[score_change]]&gt;0, "v2 Higher","v2 Lower")</f>
        <v>v2 Higher</v>
      </c>
    </row>
    <row r="1175" spans="1:8" x14ac:dyDescent="0.2">
      <c r="A1175" t="s">
        <v>81</v>
      </c>
      <c r="B1175" t="s">
        <v>8</v>
      </c>
      <c r="C1175" t="s">
        <v>13</v>
      </c>
      <c r="D1175">
        <v>29.37</v>
      </c>
      <c r="E1175">
        <v>27.25</v>
      </c>
      <c r="F1175">
        <v>-2.12</v>
      </c>
      <c r="G1175">
        <f>ABS(lmsi_v1_v2_comparison[[#This Row],[score_change]])</f>
        <v>2.12</v>
      </c>
      <c r="H1175" t="str">
        <f>IF(lmsi_v1_v2_comparison[[#This Row],[score_change]]&gt;0, "v2 Higher","v2 Lower")</f>
        <v>v2 Lower</v>
      </c>
    </row>
    <row r="1176" spans="1:8" x14ac:dyDescent="0.2">
      <c r="A1176" t="s">
        <v>81</v>
      </c>
      <c r="B1176" t="s">
        <v>8</v>
      </c>
      <c r="C1176" t="s">
        <v>14</v>
      </c>
      <c r="D1176">
        <v>26.2</v>
      </c>
      <c r="E1176">
        <v>26.59</v>
      </c>
      <c r="F1176">
        <v>0.39</v>
      </c>
      <c r="G1176">
        <f>ABS(lmsi_v1_v2_comparison[[#This Row],[score_change]])</f>
        <v>0.39</v>
      </c>
      <c r="H1176" t="str">
        <f>IF(lmsi_v1_v2_comparison[[#This Row],[score_change]]&gt;0, "v2 Higher","v2 Lower")</f>
        <v>v2 Higher</v>
      </c>
    </row>
    <row r="1177" spans="1:8" x14ac:dyDescent="0.2">
      <c r="A1177" t="s">
        <v>81</v>
      </c>
      <c r="B1177" t="s">
        <v>15</v>
      </c>
      <c r="C1177" t="s">
        <v>9</v>
      </c>
      <c r="D1177">
        <v>55.25</v>
      </c>
      <c r="E1177">
        <v>44.08</v>
      </c>
      <c r="F1177">
        <v>-11.17</v>
      </c>
      <c r="G1177">
        <f>ABS(lmsi_v1_v2_comparison[[#This Row],[score_change]])</f>
        <v>11.17</v>
      </c>
      <c r="H1177" t="str">
        <f>IF(lmsi_v1_v2_comparison[[#This Row],[score_change]]&gt;0, "v2 Higher","v2 Lower")</f>
        <v>v2 Lower</v>
      </c>
    </row>
    <row r="1178" spans="1:8" x14ac:dyDescent="0.2">
      <c r="A1178" t="s">
        <v>81</v>
      </c>
      <c r="B1178" t="s">
        <v>15</v>
      </c>
      <c r="C1178" t="s">
        <v>10</v>
      </c>
      <c r="D1178">
        <v>29.71</v>
      </c>
      <c r="E1178">
        <v>28.11</v>
      </c>
      <c r="F1178">
        <v>-1.6</v>
      </c>
      <c r="G1178">
        <f>ABS(lmsi_v1_v2_comparison[[#This Row],[score_change]])</f>
        <v>1.6</v>
      </c>
      <c r="H1178" t="str">
        <f>IF(lmsi_v1_v2_comparison[[#This Row],[score_change]]&gt;0, "v2 Higher","v2 Lower")</f>
        <v>v2 Lower</v>
      </c>
    </row>
    <row r="1179" spans="1:8" x14ac:dyDescent="0.2">
      <c r="A1179" t="s">
        <v>81</v>
      </c>
      <c r="B1179" t="s">
        <v>15</v>
      </c>
      <c r="C1179" t="s">
        <v>11</v>
      </c>
      <c r="D1179">
        <v>22.49</v>
      </c>
      <c r="E1179">
        <v>23.47</v>
      </c>
      <c r="F1179">
        <v>0.98</v>
      </c>
      <c r="G1179">
        <f>ABS(lmsi_v1_v2_comparison[[#This Row],[score_change]])</f>
        <v>0.98</v>
      </c>
      <c r="H1179" t="str">
        <f>IF(lmsi_v1_v2_comparison[[#This Row],[score_change]]&gt;0, "v2 Higher","v2 Lower")</f>
        <v>v2 Higher</v>
      </c>
    </row>
    <row r="1180" spans="1:8" x14ac:dyDescent="0.2">
      <c r="A1180" t="s">
        <v>81</v>
      </c>
      <c r="B1180" t="s">
        <v>15</v>
      </c>
      <c r="C1180" t="s">
        <v>12</v>
      </c>
      <c r="D1180">
        <v>38.54</v>
      </c>
      <c r="E1180">
        <v>37.69</v>
      </c>
      <c r="F1180">
        <v>-0.85</v>
      </c>
      <c r="G1180">
        <f>ABS(lmsi_v1_v2_comparison[[#This Row],[score_change]])</f>
        <v>0.85</v>
      </c>
      <c r="H1180" t="str">
        <f>IF(lmsi_v1_v2_comparison[[#This Row],[score_change]]&gt;0, "v2 Higher","v2 Lower")</f>
        <v>v2 Lower</v>
      </c>
    </row>
    <row r="1181" spans="1:8" x14ac:dyDescent="0.2">
      <c r="A1181" t="s">
        <v>81</v>
      </c>
      <c r="B1181" t="s">
        <v>15</v>
      </c>
      <c r="C1181" t="s">
        <v>13</v>
      </c>
      <c r="D1181">
        <v>36.380000000000003</v>
      </c>
      <c r="E1181">
        <v>34.39</v>
      </c>
      <c r="F1181">
        <v>-1.99</v>
      </c>
      <c r="G1181">
        <f>ABS(lmsi_v1_v2_comparison[[#This Row],[score_change]])</f>
        <v>1.99</v>
      </c>
      <c r="H1181" t="str">
        <f>IF(lmsi_v1_v2_comparison[[#This Row],[score_change]]&gt;0, "v2 Higher","v2 Lower")</f>
        <v>v2 Lower</v>
      </c>
    </row>
    <row r="1182" spans="1:8" x14ac:dyDescent="0.2">
      <c r="A1182" t="s">
        <v>81</v>
      </c>
      <c r="B1182" t="s">
        <v>15</v>
      </c>
      <c r="C1182" t="s">
        <v>14</v>
      </c>
      <c r="D1182">
        <v>39.92</v>
      </c>
      <c r="E1182">
        <v>36.83</v>
      </c>
      <c r="F1182">
        <v>-3.09</v>
      </c>
      <c r="G1182">
        <f>ABS(lmsi_v1_v2_comparison[[#This Row],[score_change]])</f>
        <v>3.09</v>
      </c>
      <c r="H1182" t="str">
        <f>IF(lmsi_v1_v2_comparison[[#This Row],[score_change]]&gt;0, "v2 Higher","v2 Lower")</f>
        <v>v2 Lower</v>
      </c>
    </row>
    <row r="1183" spans="1:8" x14ac:dyDescent="0.2">
      <c r="A1183" t="s">
        <v>81</v>
      </c>
      <c r="B1183" t="s">
        <v>16</v>
      </c>
      <c r="C1183" t="s">
        <v>9</v>
      </c>
      <c r="D1183">
        <v>51.08</v>
      </c>
      <c r="E1183">
        <v>42.65</v>
      </c>
      <c r="F1183">
        <v>-8.43</v>
      </c>
      <c r="G1183">
        <f>ABS(lmsi_v1_v2_comparison[[#This Row],[score_change]])</f>
        <v>8.43</v>
      </c>
      <c r="H1183" t="str">
        <f>IF(lmsi_v1_v2_comparison[[#This Row],[score_change]]&gt;0, "v2 Higher","v2 Lower")</f>
        <v>v2 Lower</v>
      </c>
    </row>
    <row r="1184" spans="1:8" x14ac:dyDescent="0.2">
      <c r="A1184" t="s">
        <v>81</v>
      </c>
      <c r="B1184" t="s">
        <v>16</v>
      </c>
      <c r="C1184" t="s">
        <v>10</v>
      </c>
      <c r="D1184">
        <v>27.05</v>
      </c>
      <c r="E1184">
        <v>26.11</v>
      </c>
      <c r="F1184">
        <v>-0.94</v>
      </c>
      <c r="G1184">
        <f>ABS(lmsi_v1_v2_comparison[[#This Row],[score_change]])</f>
        <v>0.94</v>
      </c>
      <c r="H1184" t="str">
        <f>IF(lmsi_v1_v2_comparison[[#This Row],[score_change]]&gt;0, "v2 Higher","v2 Lower")</f>
        <v>v2 Lower</v>
      </c>
    </row>
    <row r="1185" spans="1:8" x14ac:dyDescent="0.2">
      <c r="A1185" t="s">
        <v>81</v>
      </c>
      <c r="B1185" t="s">
        <v>16</v>
      </c>
      <c r="C1185" t="s">
        <v>11</v>
      </c>
      <c r="D1185">
        <v>20.149999999999999</v>
      </c>
      <c r="E1185">
        <v>19.89</v>
      </c>
      <c r="F1185">
        <v>-0.26</v>
      </c>
      <c r="G1185">
        <f>ABS(lmsi_v1_v2_comparison[[#This Row],[score_change]])</f>
        <v>0.26</v>
      </c>
      <c r="H1185" t="str">
        <f>IF(lmsi_v1_v2_comparison[[#This Row],[score_change]]&gt;0, "v2 Higher","v2 Lower")</f>
        <v>v2 Lower</v>
      </c>
    </row>
    <row r="1186" spans="1:8" x14ac:dyDescent="0.2">
      <c r="A1186" t="s">
        <v>81</v>
      </c>
      <c r="B1186" t="s">
        <v>16</v>
      </c>
      <c r="C1186" t="s">
        <v>12</v>
      </c>
      <c r="D1186">
        <v>35.32</v>
      </c>
      <c r="E1186">
        <v>38.299999999999997</v>
      </c>
      <c r="F1186">
        <v>2.98</v>
      </c>
      <c r="G1186">
        <f>ABS(lmsi_v1_v2_comparison[[#This Row],[score_change]])</f>
        <v>2.98</v>
      </c>
      <c r="H1186" t="str">
        <f>IF(lmsi_v1_v2_comparison[[#This Row],[score_change]]&gt;0, "v2 Higher","v2 Lower")</f>
        <v>v2 Higher</v>
      </c>
    </row>
    <row r="1187" spans="1:8" x14ac:dyDescent="0.2">
      <c r="A1187" t="s">
        <v>81</v>
      </c>
      <c r="B1187" t="s">
        <v>16</v>
      </c>
      <c r="C1187" t="s">
        <v>13</v>
      </c>
      <c r="D1187">
        <v>28.37</v>
      </c>
      <c r="E1187">
        <v>26.08</v>
      </c>
      <c r="F1187">
        <v>-2.29</v>
      </c>
      <c r="G1187">
        <f>ABS(lmsi_v1_v2_comparison[[#This Row],[score_change]])</f>
        <v>2.29</v>
      </c>
      <c r="H1187" t="str">
        <f>IF(lmsi_v1_v2_comparison[[#This Row],[score_change]]&gt;0, "v2 Higher","v2 Lower")</f>
        <v>v2 Lower</v>
      </c>
    </row>
    <row r="1188" spans="1:8" x14ac:dyDescent="0.2">
      <c r="A1188" t="s">
        <v>81</v>
      </c>
      <c r="B1188" t="s">
        <v>16</v>
      </c>
      <c r="C1188" t="s">
        <v>14</v>
      </c>
      <c r="D1188">
        <v>30.15</v>
      </c>
      <c r="E1188">
        <v>29.03</v>
      </c>
      <c r="F1188">
        <v>-1.1200000000000001</v>
      </c>
      <c r="G1188">
        <f>ABS(lmsi_v1_v2_comparison[[#This Row],[score_change]])</f>
        <v>1.1200000000000001</v>
      </c>
      <c r="H1188" t="str">
        <f>IF(lmsi_v1_v2_comparison[[#This Row],[score_change]]&gt;0, "v2 Higher","v2 Lower")</f>
        <v>v2 Lower</v>
      </c>
    </row>
  </sheetData>
  <phoneticPr fontId="3" type="noConversion"/>
  <conditionalFormatting sqref="F2:F1188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D9E81-18C2-EC44-B2FB-2052942405AD}">
  <dimension ref="A1:N1188"/>
  <sheetViews>
    <sheetView workbookViewId="0">
      <selection activeCell="M7" sqref="M7"/>
    </sheetView>
  </sheetViews>
  <sheetFormatPr baseColWidth="10" defaultRowHeight="16" x14ac:dyDescent="0.2"/>
  <cols>
    <col min="1" max="1" width="7.5" bestFit="1" customWidth="1"/>
    <col min="2" max="2" width="15.1640625" bestFit="1" customWidth="1"/>
    <col min="3" max="3" width="39" bestFit="1" customWidth="1"/>
    <col min="4" max="4" width="10.33203125" bestFit="1" customWidth="1"/>
    <col min="5" max="5" width="13.33203125" bestFit="1" customWidth="1"/>
    <col min="6" max="6" width="14.83203125" bestFit="1" customWidth="1"/>
    <col min="7" max="7" width="13.1640625" bestFit="1" customWidth="1"/>
    <col min="8" max="8" width="19.33203125" bestFit="1" customWidth="1"/>
    <col min="9" max="9" width="11.1640625" bestFit="1" customWidth="1"/>
    <col min="10" max="10" width="12.1640625" bestFit="1" customWidth="1"/>
    <col min="11" max="11" width="11" bestFit="1" customWidth="1"/>
    <col min="12" max="12" width="18.33203125" bestFit="1" customWidth="1"/>
    <col min="13" max="13" width="19.33203125" customWidth="1"/>
    <col min="14" max="14" width="18.1640625" bestFit="1" customWidth="1"/>
  </cols>
  <sheetData>
    <row r="1" spans="1:14" x14ac:dyDescent="0.2">
      <c r="A1" s="10" t="s">
        <v>0</v>
      </c>
      <c r="B1" s="10" t="s">
        <v>1</v>
      </c>
      <c r="C1" s="10" t="s">
        <v>2</v>
      </c>
      <c r="D1" s="10" t="s">
        <v>6</v>
      </c>
      <c r="E1" s="10" t="s">
        <v>91</v>
      </c>
      <c r="F1" s="10" t="s">
        <v>92</v>
      </c>
      <c r="G1" s="10" t="s">
        <v>93</v>
      </c>
      <c r="H1" s="10" t="s">
        <v>110</v>
      </c>
      <c r="I1" s="10" t="s">
        <v>111</v>
      </c>
      <c r="J1" s="10" t="s">
        <v>112</v>
      </c>
      <c r="K1" s="10" t="s">
        <v>113</v>
      </c>
      <c r="L1" s="11" t="s">
        <v>125</v>
      </c>
      <c r="M1" s="11" t="s">
        <v>127</v>
      </c>
      <c r="N1" s="11" t="s">
        <v>126</v>
      </c>
    </row>
    <row r="2" spans="1:14" x14ac:dyDescent="0.2">
      <c r="A2" t="str">
        <f>raw_data!A2</f>
        <v>2009Q4</v>
      </c>
      <c r="B2" t="str">
        <f>raw_data!B2</f>
        <v>New South Wales</v>
      </c>
      <c r="C2" t="str">
        <f>raw_data!C2</f>
        <v>Accommodation and Food Services</v>
      </c>
      <c r="D2">
        <f>raw_data!G2</f>
        <v>21.64</v>
      </c>
      <c r="E2">
        <f>raw_data!H2</f>
        <v>10.76</v>
      </c>
      <c r="F2">
        <f>raw_data!I2</f>
        <v>9.23</v>
      </c>
      <c r="G2">
        <f>raw_data!J2</f>
        <v>1.64</v>
      </c>
      <c r="H2" t="str">
        <f>IF(AND(E2&gt;=F2,E2&gt;=G2),"Vacancy Intensity",IF(F2&gt;=G2,"Wage Pressure","Labour Tightness"))</f>
        <v>Vacancy Intensity</v>
      </c>
      <c r="I2">
        <f>COUNTIF(H2:H1188,"Vacancy Intensity")</f>
        <v>171</v>
      </c>
      <c r="J2">
        <f>COUNTIF(H2:H1188,"Wage Pressure")</f>
        <v>1004</v>
      </c>
      <c r="K2">
        <f>COUNTIF(H2:H1188,"Labour Tightness")</f>
        <v>12</v>
      </c>
      <c r="L2">
        <f>COUNTIFS(A2:A1188,"2026Q1",H2:H1188,"Vacancy Intensity")</f>
        <v>4</v>
      </c>
      <c r="M2">
        <f>COUNTIFS(A2:A1188,"2026Q1",H2:H1188,"Wage Pressure")</f>
        <v>14</v>
      </c>
      <c r="N2">
        <f>COUNTIFS(A2:A1188,"2026Q1",H2:H1188,"Labour Tightness")</f>
        <v>0</v>
      </c>
    </row>
    <row r="3" spans="1:14" x14ac:dyDescent="0.2">
      <c r="A3" t="str">
        <f>raw_data!A3</f>
        <v>2009Q4</v>
      </c>
      <c r="B3" t="str">
        <f>raw_data!B3</f>
        <v>New South Wales</v>
      </c>
      <c r="C3" t="str">
        <f>raw_data!C3</f>
        <v>Construction</v>
      </c>
      <c r="D3">
        <f>raw_data!G3</f>
        <v>22.84</v>
      </c>
      <c r="E3">
        <f>raw_data!H3</f>
        <v>3.87</v>
      </c>
      <c r="F3">
        <f>raw_data!I3</f>
        <v>17.88</v>
      </c>
      <c r="G3">
        <f>raw_data!J3</f>
        <v>1.08</v>
      </c>
      <c r="H3" t="str">
        <f t="shared" ref="H3:H66" si="0">IF(AND(E3&gt;=F3,E3&gt;=G3),"Vacancy Intensity",IF(F3&gt;=G3,"Wage Pressure","Labour Tightness"))</f>
        <v>Wage Pressure</v>
      </c>
    </row>
    <row r="4" spans="1:14" x14ac:dyDescent="0.2">
      <c r="A4" t="str">
        <f>raw_data!A4</f>
        <v>2009Q4</v>
      </c>
      <c r="B4" t="str">
        <f>raw_data!B4</f>
        <v>New South Wales</v>
      </c>
      <c r="C4" t="str">
        <f>raw_data!C4</f>
        <v>Education and Training</v>
      </c>
      <c r="D4">
        <f>raw_data!G4</f>
        <v>22.61</v>
      </c>
      <c r="E4">
        <f>raw_data!H4</f>
        <v>0.64</v>
      </c>
      <c r="F4">
        <f>raw_data!I4</f>
        <v>20.77</v>
      </c>
      <c r="G4">
        <f>raw_data!J4</f>
        <v>1.21</v>
      </c>
      <c r="H4" t="str">
        <f t="shared" si="0"/>
        <v>Wage Pressure</v>
      </c>
    </row>
    <row r="5" spans="1:14" x14ac:dyDescent="0.2">
      <c r="A5" t="str">
        <f>raw_data!A5</f>
        <v>2009Q4</v>
      </c>
      <c r="B5" t="str">
        <f>raw_data!B5</f>
        <v>New South Wales</v>
      </c>
      <c r="C5" t="str">
        <f>raw_data!C5</f>
        <v>Health Care and Social Assistance</v>
      </c>
      <c r="D5">
        <f>raw_data!G5</f>
        <v>28.18</v>
      </c>
      <c r="E5">
        <f>raw_data!H5</f>
        <v>2.99</v>
      </c>
      <c r="F5">
        <f>raw_data!I5</f>
        <v>20.77</v>
      </c>
      <c r="G5">
        <f>raw_data!J5</f>
        <v>4.41</v>
      </c>
      <c r="H5" t="str">
        <f t="shared" si="0"/>
        <v>Wage Pressure</v>
      </c>
      <c r="L5" s="14" t="s">
        <v>114</v>
      </c>
      <c r="M5" s="14"/>
      <c r="N5" s="14"/>
    </row>
    <row r="6" spans="1:14" x14ac:dyDescent="0.2">
      <c r="A6" t="str">
        <f>raw_data!A6</f>
        <v>2009Q4</v>
      </c>
      <c r="B6" t="str">
        <f>raw_data!B6</f>
        <v>New South Wales</v>
      </c>
      <c r="C6" t="str">
        <f>raw_data!C6</f>
        <v>Manufacturing</v>
      </c>
      <c r="D6">
        <f>raw_data!G6</f>
        <v>13.4</v>
      </c>
      <c r="E6">
        <f>raw_data!H6</f>
        <v>2.83</v>
      </c>
      <c r="F6">
        <f>raw_data!I6</f>
        <v>9.81</v>
      </c>
      <c r="G6">
        <f>raw_data!J6</f>
        <v>0.76</v>
      </c>
      <c r="H6" t="str">
        <f t="shared" si="0"/>
        <v>Wage Pressure</v>
      </c>
      <c r="L6" s="14" t="s">
        <v>115</v>
      </c>
      <c r="M6" s="14"/>
      <c r="N6" s="14"/>
    </row>
    <row r="7" spans="1:14" x14ac:dyDescent="0.2">
      <c r="A7" t="str">
        <f>raw_data!A7</f>
        <v>2009Q4</v>
      </c>
      <c r="B7" t="str">
        <f>raw_data!B7</f>
        <v>New South Wales</v>
      </c>
      <c r="C7" t="str">
        <f>raw_data!C7</f>
        <v>Professional, Scientific and Technical Services</v>
      </c>
      <c r="D7">
        <f>raw_data!G7</f>
        <v>21.46</v>
      </c>
      <c r="E7">
        <f>raw_data!H7</f>
        <v>5.28</v>
      </c>
      <c r="F7">
        <f>raw_data!I7</f>
        <v>14.42</v>
      </c>
      <c r="G7">
        <f>raw_data!J7</f>
        <v>1.77</v>
      </c>
      <c r="H7" t="str">
        <f t="shared" si="0"/>
        <v>Wage Pressure</v>
      </c>
      <c r="L7" s="14" t="s">
        <v>116</v>
      </c>
      <c r="M7" s="14"/>
      <c r="N7" s="14"/>
    </row>
    <row r="8" spans="1:14" x14ac:dyDescent="0.2">
      <c r="A8" t="str">
        <f>raw_data!A8</f>
        <v>2009Q4</v>
      </c>
      <c r="B8" t="str">
        <f>raw_data!B8</f>
        <v>Queensland</v>
      </c>
      <c r="C8" t="str">
        <f>raw_data!C8</f>
        <v>Accommodation and Food Services</v>
      </c>
      <c r="D8">
        <f>raw_data!G8</f>
        <v>27.26</v>
      </c>
      <c r="E8">
        <f>raw_data!H8</f>
        <v>15.64</v>
      </c>
      <c r="F8">
        <f>raw_data!I8</f>
        <v>9.23</v>
      </c>
      <c r="G8">
        <f>raw_data!J8</f>
        <v>2.39</v>
      </c>
      <c r="H8" t="str">
        <f t="shared" si="0"/>
        <v>Vacancy Intensity</v>
      </c>
      <c r="L8" s="14" t="s">
        <v>117</v>
      </c>
      <c r="M8" s="14"/>
      <c r="N8" s="14"/>
    </row>
    <row r="9" spans="1:14" x14ac:dyDescent="0.2">
      <c r="A9" t="str">
        <f>raw_data!A9</f>
        <v>2009Q4</v>
      </c>
      <c r="B9" t="str">
        <f>raw_data!B9</f>
        <v>Queensland</v>
      </c>
      <c r="C9" t="str">
        <f>raw_data!C9</f>
        <v>Construction</v>
      </c>
      <c r="D9">
        <f>raw_data!G9</f>
        <v>24.25</v>
      </c>
      <c r="E9">
        <f>raw_data!H9</f>
        <v>4.8600000000000003</v>
      </c>
      <c r="F9">
        <f>raw_data!I9</f>
        <v>17.88</v>
      </c>
      <c r="G9">
        <f>raw_data!J9</f>
        <v>1.5</v>
      </c>
      <c r="H9" t="str">
        <f t="shared" si="0"/>
        <v>Wage Pressure</v>
      </c>
    </row>
    <row r="10" spans="1:14" x14ac:dyDescent="0.2">
      <c r="A10" t="str">
        <f>raw_data!A10</f>
        <v>2009Q4</v>
      </c>
      <c r="B10" t="str">
        <f>raw_data!B10</f>
        <v>Queensland</v>
      </c>
      <c r="C10" t="str">
        <f>raw_data!C10</f>
        <v>Education and Training</v>
      </c>
      <c r="D10">
        <f>raw_data!G10</f>
        <v>24.08</v>
      </c>
      <c r="E10">
        <f>raw_data!H10</f>
        <v>1.53</v>
      </c>
      <c r="F10">
        <f>raw_data!I10</f>
        <v>20.77</v>
      </c>
      <c r="G10">
        <f>raw_data!J10</f>
        <v>1.78</v>
      </c>
      <c r="H10" t="str">
        <f t="shared" si="0"/>
        <v>Wage Pressure</v>
      </c>
    </row>
    <row r="11" spans="1:14" x14ac:dyDescent="0.2">
      <c r="A11" t="str">
        <f>raw_data!A11</f>
        <v>2009Q4</v>
      </c>
      <c r="B11" t="str">
        <f>raw_data!B11</f>
        <v>Queensland</v>
      </c>
      <c r="C11" t="str">
        <f>raw_data!C11</f>
        <v>Health Care and Social Assistance</v>
      </c>
      <c r="D11">
        <f>raw_data!G11</f>
        <v>29.04</v>
      </c>
      <c r="E11">
        <f>raw_data!H11</f>
        <v>5.42</v>
      </c>
      <c r="F11">
        <f>raw_data!I11</f>
        <v>20.77</v>
      </c>
      <c r="G11">
        <f>raw_data!J11</f>
        <v>2.84</v>
      </c>
      <c r="H11" t="str">
        <f t="shared" si="0"/>
        <v>Wage Pressure</v>
      </c>
    </row>
    <row r="12" spans="1:14" x14ac:dyDescent="0.2">
      <c r="A12" t="str">
        <f>raw_data!A12</f>
        <v>2009Q4</v>
      </c>
      <c r="B12" t="str">
        <f>raw_data!B12</f>
        <v>Queensland</v>
      </c>
      <c r="C12" t="str">
        <f>raw_data!C12</f>
        <v>Manufacturing</v>
      </c>
      <c r="D12">
        <f>raw_data!G12</f>
        <v>17.12</v>
      </c>
      <c r="E12">
        <f>raw_data!H12</f>
        <v>5.33</v>
      </c>
      <c r="F12">
        <f>raw_data!I12</f>
        <v>9.81</v>
      </c>
      <c r="G12">
        <f>raw_data!J12</f>
        <v>1.98</v>
      </c>
      <c r="H12" t="str">
        <f t="shared" si="0"/>
        <v>Wage Pressure</v>
      </c>
    </row>
    <row r="13" spans="1:14" x14ac:dyDescent="0.2">
      <c r="A13" t="str">
        <f>raw_data!A13</f>
        <v>2009Q4</v>
      </c>
      <c r="B13" t="str">
        <f>raw_data!B13</f>
        <v>Queensland</v>
      </c>
      <c r="C13" t="str">
        <f>raw_data!C13</f>
        <v>Professional, Scientific and Technical Services</v>
      </c>
      <c r="D13">
        <f>raw_data!G13</f>
        <v>31</v>
      </c>
      <c r="E13">
        <f>raw_data!H13</f>
        <v>10.35</v>
      </c>
      <c r="F13">
        <f>raw_data!I13</f>
        <v>14.42</v>
      </c>
      <c r="G13">
        <f>raw_data!J13</f>
        <v>6.22</v>
      </c>
      <c r="H13" t="str">
        <f t="shared" si="0"/>
        <v>Wage Pressure</v>
      </c>
    </row>
    <row r="14" spans="1:14" x14ac:dyDescent="0.2">
      <c r="A14" t="str">
        <f>raw_data!A14</f>
        <v>2009Q4</v>
      </c>
      <c r="B14" t="str">
        <f>raw_data!B14</f>
        <v>Victoria</v>
      </c>
      <c r="C14" t="str">
        <f>raw_data!C14</f>
        <v>Accommodation and Food Services</v>
      </c>
      <c r="D14">
        <f>raw_data!G14</f>
        <v>25.59</v>
      </c>
      <c r="E14">
        <f>raw_data!H14</f>
        <v>13.68</v>
      </c>
      <c r="F14">
        <f>raw_data!I14</f>
        <v>9.23</v>
      </c>
      <c r="G14">
        <f>raw_data!J14</f>
        <v>2.68</v>
      </c>
      <c r="H14" t="str">
        <f t="shared" si="0"/>
        <v>Vacancy Intensity</v>
      </c>
    </row>
    <row r="15" spans="1:14" x14ac:dyDescent="0.2">
      <c r="A15" t="str">
        <f>raw_data!A15</f>
        <v>2009Q4</v>
      </c>
      <c r="B15" t="str">
        <f>raw_data!B15</f>
        <v>Victoria</v>
      </c>
      <c r="C15" t="str">
        <f>raw_data!C15</f>
        <v>Construction</v>
      </c>
      <c r="D15">
        <f>raw_data!G15</f>
        <v>25.6</v>
      </c>
      <c r="E15">
        <f>raw_data!H15</f>
        <v>5.25</v>
      </c>
      <c r="F15">
        <f>raw_data!I15</f>
        <v>17.88</v>
      </c>
      <c r="G15">
        <f>raw_data!J15</f>
        <v>2.4700000000000002</v>
      </c>
      <c r="H15" t="str">
        <f t="shared" si="0"/>
        <v>Wage Pressure</v>
      </c>
    </row>
    <row r="16" spans="1:14" x14ac:dyDescent="0.2">
      <c r="A16" t="str">
        <f>raw_data!A16</f>
        <v>2009Q4</v>
      </c>
      <c r="B16" t="str">
        <f>raw_data!B16</f>
        <v>Victoria</v>
      </c>
      <c r="C16" t="str">
        <f>raw_data!C16</f>
        <v>Education and Training</v>
      </c>
      <c r="D16">
        <f>raw_data!G16</f>
        <v>23.21</v>
      </c>
      <c r="E16">
        <f>raw_data!H16</f>
        <v>0.93</v>
      </c>
      <c r="F16">
        <f>raw_data!I16</f>
        <v>20.77</v>
      </c>
      <c r="G16">
        <f>raw_data!J16</f>
        <v>1.52</v>
      </c>
      <c r="H16" t="str">
        <f t="shared" si="0"/>
        <v>Wage Pressure</v>
      </c>
    </row>
    <row r="17" spans="1:8" x14ac:dyDescent="0.2">
      <c r="A17" t="str">
        <f>raw_data!A17</f>
        <v>2009Q4</v>
      </c>
      <c r="B17" t="str">
        <f>raw_data!B17</f>
        <v>Victoria</v>
      </c>
      <c r="C17" t="str">
        <f>raw_data!C17</f>
        <v>Health Care and Social Assistance</v>
      </c>
      <c r="D17">
        <f>raw_data!G17</f>
        <v>31.55</v>
      </c>
      <c r="E17">
        <f>raw_data!H17</f>
        <v>3.89</v>
      </c>
      <c r="F17">
        <f>raw_data!I17</f>
        <v>20.77</v>
      </c>
      <c r="G17">
        <f>raw_data!J17</f>
        <v>6.89</v>
      </c>
      <c r="H17" t="str">
        <f t="shared" si="0"/>
        <v>Wage Pressure</v>
      </c>
    </row>
    <row r="18" spans="1:8" x14ac:dyDescent="0.2">
      <c r="A18" t="str">
        <f>raw_data!A18</f>
        <v>2009Q4</v>
      </c>
      <c r="B18" t="str">
        <f>raw_data!B18</f>
        <v>Victoria</v>
      </c>
      <c r="C18" t="str">
        <f>raw_data!C18</f>
        <v>Manufacturing</v>
      </c>
      <c r="D18">
        <f>raw_data!G18</f>
        <v>13.37</v>
      </c>
      <c r="E18">
        <f>raw_data!H18</f>
        <v>2.94</v>
      </c>
      <c r="F18">
        <f>raw_data!I18</f>
        <v>9.81</v>
      </c>
      <c r="G18">
        <f>raw_data!J18</f>
        <v>0.63</v>
      </c>
      <c r="H18" t="str">
        <f t="shared" si="0"/>
        <v>Wage Pressure</v>
      </c>
    </row>
    <row r="19" spans="1:8" x14ac:dyDescent="0.2">
      <c r="A19" t="str">
        <f>raw_data!A19</f>
        <v>2009Q4</v>
      </c>
      <c r="B19" t="str">
        <f>raw_data!B19</f>
        <v>Victoria</v>
      </c>
      <c r="C19" t="str">
        <f>raw_data!C19</f>
        <v>Professional, Scientific and Technical Services</v>
      </c>
      <c r="D19">
        <f>raw_data!G19</f>
        <v>25.89</v>
      </c>
      <c r="E19">
        <f>raw_data!H19</f>
        <v>6.74</v>
      </c>
      <c r="F19">
        <f>raw_data!I19</f>
        <v>14.42</v>
      </c>
      <c r="G19">
        <f>raw_data!J19</f>
        <v>4.72</v>
      </c>
      <c r="H19" t="str">
        <f t="shared" si="0"/>
        <v>Wage Pressure</v>
      </c>
    </row>
    <row r="20" spans="1:8" x14ac:dyDescent="0.2">
      <c r="A20" t="str">
        <f>raw_data!A20</f>
        <v>2010Q1</v>
      </c>
      <c r="B20" t="str">
        <f>raw_data!B20</f>
        <v>New South Wales</v>
      </c>
      <c r="C20" t="str">
        <f>raw_data!C20</f>
        <v>Accommodation and Food Services</v>
      </c>
      <c r="D20">
        <f>raw_data!G20</f>
        <v>17.39</v>
      </c>
      <c r="E20">
        <f>raw_data!H20</f>
        <v>7.77</v>
      </c>
      <c r="F20">
        <f>raw_data!I20</f>
        <v>8.65</v>
      </c>
      <c r="G20">
        <f>raw_data!J20</f>
        <v>0.97</v>
      </c>
      <c r="H20" t="str">
        <f t="shared" si="0"/>
        <v>Wage Pressure</v>
      </c>
    </row>
    <row r="21" spans="1:8" x14ac:dyDescent="0.2">
      <c r="A21" t="str">
        <f>raw_data!A21</f>
        <v>2010Q1</v>
      </c>
      <c r="B21" t="str">
        <f>raw_data!B21</f>
        <v>New South Wales</v>
      </c>
      <c r="C21" t="str">
        <f>raw_data!C21</f>
        <v>Construction</v>
      </c>
      <c r="D21">
        <f>raw_data!G21</f>
        <v>21.65</v>
      </c>
      <c r="E21">
        <f>raw_data!H21</f>
        <v>4.4800000000000004</v>
      </c>
      <c r="F21">
        <f>raw_data!I21</f>
        <v>15.58</v>
      </c>
      <c r="G21">
        <f>raw_data!J21</f>
        <v>1.6</v>
      </c>
      <c r="H21" t="str">
        <f t="shared" si="0"/>
        <v>Wage Pressure</v>
      </c>
    </row>
    <row r="22" spans="1:8" x14ac:dyDescent="0.2">
      <c r="A22" t="str">
        <f>raw_data!A22</f>
        <v>2010Q1</v>
      </c>
      <c r="B22" t="str">
        <f>raw_data!B22</f>
        <v>New South Wales</v>
      </c>
      <c r="C22" t="str">
        <f>raw_data!C22</f>
        <v>Education and Training</v>
      </c>
      <c r="D22">
        <f>raw_data!G22</f>
        <v>24.9</v>
      </c>
      <c r="E22">
        <f>raw_data!H22</f>
        <v>1.0900000000000001</v>
      </c>
      <c r="F22">
        <f>raw_data!I22</f>
        <v>23.08</v>
      </c>
      <c r="G22">
        <f>raw_data!J22</f>
        <v>0.73</v>
      </c>
      <c r="H22" t="str">
        <f t="shared" si="0"/>
        <v>Wage Pressure</v>
      </c>
    </row>
    <row r="23" spans="1:8" x14ac:dyDescent="0.2">
      <c r="A23" t="str">
        <f>raw_data!A23</f>
        <v>2010Q1</v>
      </c>
      <c r="B23" t="str">
        <f>raw_data!B23</f>
        <v>New South Wales</v>
      </c>
      <c r="C23" t="str">
        <f>raw_data!C23</f>
        <v>Health Care and Social Assistance</v>
      </c>
      <c r="D23">
        <f>raw_data!G23</f>
        <v>25.61</v>
      </c>
      <c r="E23">
        <f>raw_data!H23</f>
        <v>2.69</v>
      </c>
      <c r="F23">
        <f>raw_data!I23</f>
        <v>20.190000000000001</v>
      </c>
      <c r="G23">
        <f>raw_data!J23</f>
        <v>2.72</v>
      </c>
      <c r="H23" t="str">
        <f t="shared" si="0"/>
        <v>Wage Pressure</v>
      </c>
    </row>
    <row r="24" spans="1:8" x14ac:dyDescent="0.2">
      <c r="A24" t="str">
        <f>raw_data!A24</f>
        <v>2010Q1</v>
      </c>
      <c r="B24" t="str">
        <f>raw_data!B24</f>
        <v>New South Wales</v>
      </c>
      <c r="C24" t="str">
        <f>raw_data!C24</f>
        <v>Manufacturing</v>
      </c>
      <c r="D24">
        <f>raw_data!G24</f>
        <v>15.23</v>
      </c>
      <c r="E24">
        <f>raw_data!H24</f>
        <v>3.75</v>
      </c>
      <c r="F24">
        <f>raw_data!I24</f>
        <v>10.38</v>
      </c>
      <c r="G24">
        <f>raw_data!J24</f>
        <v>1.1000000000000001</v>
      </c>
      <c r="H24" t="str">
        <f t="shared" si="0"/>
        <v>Wage Pressure</v>
      </c>
    </row>
    <row r="25" spans="1:8" x14ac:dyDescent="0.2">
      <c r="A25" t="str">
        <f>raw_data!A25</f>
        <v>2010Q1</v>
      </c>
      <c r="B25" t="str">
        <f>raw_data!B25</f>
        <v>New South Wales</v>
      </c>
      <c r="C25" t="str">
        <f>raw_data!C25</f>
        <v>Professional, Scientific and Technical Services</v>
      </c>
      <c r="D25">
        <f>raw_data!G25</f>
        <v>24.08</v>
      </c>
      <c r="E25">
        <f>raw_data!H25</f>
        <v>6.42</v>
      </c>
      <c r="F25">
        <f>raw_data!I25</f>
        <v>15</v>
      </c>
      <c r="G25">
        <f>raw_data!J25</f>
        <v>2.66</v>
      </c>
      <c r="H25" t="str">
        <f t="shared" si="0"/>
        <v>Wage Pressure</v>
      </c>
    </row>
    <row r="26" spans="1:8" x14ac:dyDescent="0.2">
      <c r="A26" t="str">
        <f>raw_data!A26</f>
        <v>2010Q1</v>
      </c>
      <c r="B26" t="str">
        <f>raw_data!B26</f>
        <v>Queensland</v>
      </c>
      <c r="C26" t="str">
        <f>raw_data!C26</f>
        <v>Accommodation and Food Services</v>
      </c>
      <c r="D26">
        <f>raw_data!G26</f>
        <v>22.36</v>
      </c>
      <c r="E26">
        <f>raw_data!H26</f>
        <v>12.24</v>
      </c>
      <c r="F26">
        <f>raw_data!I26</f>
        <v>8.65</v>
      </c>
      <c r="G26">
        <f>raw_data!J26</f>
        <v>1.47</v>
      </c>
      <c r="H26" t="str">
        <f t="shared" si="0"/>
        <v>Vacancy Intensity</v>
      </c>
    </row>
    <row r="27" spans="1:8" x14ac:dyDescent="0.2">
      <c r="A27" t="str">
        <f>raw_data!A27</f>
        <v>2010Q1</v>
      </c>
      <c r="B27" t="str">
        <f>raw_data!B27</f>
        <v>Queensland</v>
      </c>
      <c r="C27" t="str">
        <f>raw_data!C27</f>
        <v>Construction</v>
      </c>
      <c r="D27">
        <f>raw_data!G27</f>
        <v>22.75</v>
      </c>
      <c r="E27">
        <f>raw_data!H27</f>
        <v>5.79</v>
      </c>
      <c r="F27">
        <f>raw_data!I27</f>
        <v>15.58</v>
      </c>
      <c r="G27">
        <f>raw_data!J27</f>
        <v>1.38</v>
      </c>
      <c r="H27" t="str">
        <f t="shared" si="0"/>
        <v>Wage Pressure</v>
      </c>
    </row>
    <row r="28" spans="1:8" x14ac:dyDescent="0.2">
      <c r="A28" t="str">
        <f>raw_data!A28</f>
        <v>2010Q1</v>
      </c>
      <c r="B28" t="str">
        <f>raw_data!B28</f>
        <v>Queensland</v>
      </c>
      <c r="C28" t="str">
        <f>raw_data!C28</f>
        <v>Education and Training</v>
      </c>
      <c r="D28">
        <f>raw_data!G28</f>
        <v>25.8</v>
      </c>
      <c r="E28">
        <f>raw_data!H28</f>
        <v>2.06</v>
      </c>
      <c r="F28">
        <f>raw_data!I28</f>
        <v>23.08</v>
      </c>
      <c r="G28">
        <f>raw_data!J28</f>
        <v>0.67</v>
      </c>
      <c r="H28" t="str">
        <f t="shared" si="0"/>
        <v>Wage Pressure</v>
      </c>
    </row>
    <row r="29" spans="1:8" x14ac:dyDescent="0.2">
      <c r="A29" t="str">
        <f>raw_data!A29</f>
        <v>2010Q1</v>
      </c>
      <c r="B29" t="str">
        <f>raw_data!B29</f>
        <v>Queensland</v>
      </c>
      <c r="C29" t="str">
        <f>raw_data!C29</f>
        <v>Health Care and Social Assistance</v>
      </c>
      <c r="D29">
        <f>raw_data!G29</f>
        <v>29.89</v>
      </c>
      <c r="E29">
        <f>raw_data!H29</f>
        <v>4.87</v>
      </c>
      <c r="F29">
        <f>raw_data!I29</f>
        <v>20.190000000000001</v>
      </c>
      <c r="G29">
        <f>raw_data!J29</f>
        <v>4.83</v>
      </c>
      <c r="H29" t="str">
        <f t="shared" si="0"/>
        <v>Wage Pressure</v>
      </c>
    </row>
    <row r="30" spans="1:8" x14ac:dyDescent="0.2">
      <c r="A30" t="str">
        <f>raw_data!A30</f>
        <v>2010Q1</v>
      </c>
      <c r="B30" t="str">
        <f>raw_data!B30</f>
        <v>Queensland</v>
      </c>
      <c r="C30" t="str">
        <f>raw_data!C30</f>
        <v>Manufacturing</v>
      </c>
      <c r="D30">
        <f>raw_data!G30</f>
        <v>19.3</v>
      </c>
      <c r="E30">
        <f>raw_data!H30</f>
        <v>7.18</v>
      </c>
      <c r="F30">
        <f>raw_data!I30</f>
        <v>10.38</v>
      </c>
      <c r="G30">
        <f>raw_data!J30</f>
        <v>1.73</v>
      </c>
      <c r="H30" t="str">
        <f t="shared" si="0"/>
        <v>Wage Pressure</v>
      </c>
    </row>
    <row r="31" spans="1:8" x14ac:dyDescent="0.2">
      <c r="A31" t="str">
        <f>raw_data!A31</f>
        <v>2010Q1</v>
      </c>
      <c r="B31" t="str">
        <f>raw_data!B31</f>
        <v>Queensland</v>
      </c>
      <c r="C31" t="str">
        <f>raw_data!C31</f>
        <v>Professional, Scientific and Technical Services</v>
      </c>
      <c r="D31">
        <f>raw_data!G31</f>
        <v>34.659999999999997</v>
      </c>
      <c r="E31">
        <f>raw_data!H31</f>
        <v>13.53</v>
      </c>
      <c r="F31">
        <f>raw_data!I31</f>
        <v>15</v>
      </c>
      <c r="G31">
        <f>raw_data!J31</f>
        <v>6.13</v>
      </c>
      <c r="H31" t="str">
        <f t="shared" si="0"/>
        <v>Wage Pressure</v>
      </c>
    </row>
    <row r="32" spans="1:8" x14ac:dyDescent="0.2">
      <c r="A32" t="str">
        <f>raw_data!A32</f>
        <v>2010Q1</v>
      </c>
      <c r="B32" t="str">
        <f>raw_data!B32</f>
        <v>Victoria</v>
      </c>
      <c r="C32" t="str">
        <f>raw_data!C32</f>
        <v>Accommodation and Food Services</v>
      </c>
      <c r="D32">
        <f>raw_data!G32</f>
        <v>20.399999999999999</v>
      </c>
      <c r="E32">
        <f>raw_data!H32</f>
        <v>9.8000000000000007</v>
      </c>
      <c r="F32">
        <f>raw_data!I32</f>
        <v>8.65</v>
      </c>
      <c r="G32">
        <f>raw_data!J32</f>
        <v>1.94</v>
      </c>
      <c r="H32" t="str">
        <f t="shared" si="0"/>
        <v>Vacancy Intensity</v>
      </c>
    </row>
    <row r="33" spans="1:8" x14ac:dyDescent="0.2">
      <c r="A33" t="str">
        <f>raw_data!A33</f>
        <v>2010Q1</v>
      </c>
      <c r="B33" t="str">
        <f>raw_data!B33</f>
        <v>Victoria</v>
      </c>
      <c r="C33" t="str">
        <f>raw_data!C33</f>
        <v>Construction</v>
      </c>
      <c r="D33">
        <f>raw_data!G33</f>
        <v>24.02</v>
      </c>
      <c r="E33">
        <f>raw_data!H33</f>
        <v>5.56</v>
      </c>
      <c r="F33">
        <f>raw_data!I33</f>
        <v>15.58</v>
      </c>
      <c r="G33">
        <f>raw_data!J33</f>
        <v>2.88</v>
      </c>
      <c r="H33" t="str">
        <f t="shared" si="0"/>
        <v>Wage Pressure</v>
      </c>
    </row>
    <row r="34" spans="1:8" x14ac:dyDescent="0.2">
      <c r="A34" t="str">
        <f>raw_data!A34</f>
        <v>2010Q1</v>
      </c>
      <c r="B34" t="str">
        <f>raw_data!B34</f>
        <v>Victoria</v>
      </c>
      <c r="C34" t="str">
        <f>raw_data!C34</f>
        <v>Education and Training</v>
      </c>
      <c r="D34">
        <f>raw_data!G34</f>
        <v>25.42</v>
      </c>
      <c r="E34">
        <f>raw_data!H34</f>
        <v>1.34</v>
      </c>
      <c r="F34">
        <f>raw_data!I34</f>
        <v>23.08</v>
      </c>
      <c r="G34">
        <f>raw_data!J34</f>
        <v>1.01</v>
      </c>
      <c r="H34" t="str">
        <f t="shared" si="0"/>
        <v>Wage Pressure</v>
      </c>
    </row>
    <row r="35" spans="1:8" x14ac:dyDescent="0.2">
      <c r="A35" t="str">
        <f>raw_data!A35</f>
        <v>2010Q1</v>
      </c>
      <c r="B35" t="str">
        <f>raw_data!B35</f>
        <v>Victoria</v>
      </c>
      <c r="C35" t="str">
        <f>raw_data!C35</f>
        <v>Health Care and Social Assistance</v>
      </c>
      <c r="D35">
        <f>raw_data!G35</f>
        <v>26.48</v>
      </c>
      <c r="E35">
        <f>raw_data!H35</f>
        <v>3.59</v>
      </c>
      <c r="F35">
        <f>raw_data!I35</f>
        <v>20.190000000000001</v>
      </c>
      <c r="G35">
        <f>raw_data!J35</f>
        <v>2.7</v>
      </c>
      <c r="H35" t="str">
        <f t="shared" si="0"/>
        <v>Wage Pressure</v>
      </c>
    </row>
    <row r="36" spans="1:8" x14ac:dyDescent="0.2">
      <c r="A36" t="str">
        <f>raw_data!A36</f>
        <v>2010Q1</v>
      </c>
      <c r="B36" t="str">
        <f>raw_data!B36</f>
        <v>Victoria</v>
      </c>
      <c r="C36" t="str">
        <f>raw_data!C36</f>
        <v>Manufacturing</v>
      </c>
      <c r="D36">
        <f>raw_data!G36</f>
        <v>14.92</v>
      </c>
      <c r="E36">
        <f>raw_data!H36</f>
        <v>3.67</v>
      </c>
      <c r="F36">
        <f>raw_data!I36</f>
        <v>10.38</v>
      </c>
      <c r="G36">
        <f>raw_data!J36</f>
        <v>0.87</v>
      </c>
      <c r="H36" t="str">
        <f t="shared" si="0"/>
        <v>Wage Pressure</v>
      </c>
    </row>
    <row r="37" spans="1:8" x14ac:dyDescent="0.2">
      <c r="A37" t="str">
        <f>raw_data!A37</f>
        <v>2010Q1</v>
      </c>
      <c r="B37" t="str">
        <f>raw_data!B37</f>
        <v>Victoria</v>
      </c>
      <c r="C37" t="str">
        <f>raw_data!C37</f>
        <v>Professional, Scientific and Technical Services</v>
      </c>
      <c r="D37">
        <f>raw_data!G37</f>
        <v>27.72</v>
      </c>
      <c r="E37">
        <f>raw_data!H37</f>
        <v>9.08</v>
      </c>
      <c r="F37">
        <f>raw_data!I37</f>
        <v>15</v>
      </c>
      <c r="G37">
        <f>raw_data!J37</f>
        <v>3.64</v>
      </c>
      <c r="H37" t="str">
        <f t="shared" si="0"/>
        <v>Wage Pressure</v>
      </c>
    </row>
    <row r="38" spans="1:8" x14ac:dyDescent="0.2">
      <c r="A38" t="str">
        <f>raw_data!A38</f>
        <v>2010Q2</v>
      </c>
      <c r="B38" t="str">
        <f>raw_data!B38</f>
        <v>New South Wales</v>
      </c>
      <c r="C38" t="str">
        <f>raw_data!C38</f>
        <v>Accommodation and Food Services</v>
      </c>
      <c r="D38">
        <f>raw_data!G38</f>
        <v>14.34</v>
      </c>
      <c r="E38">
        <f>raw_data!H38</f>
        <v>4.05</v>
      </c>
      <c r="F38">
        <f>raw_data!I38</f>
        <v>9.81</v>
      </c>
      <c r="G38">
        <f>raw_data!J38</f>
        <v>0.48</v>
      </c>
      <c r="H38" t="str">
        <f t="shared" si="0"/>
        <v>Wage Pressure</v>
      </c>
    </row>
    <row r="39" spans="1:8" x14ac:dyDescent="0.2">
      <c r="A39" t="str">
        <f>raw_data!A39</f>
        <v>2010Q2</v>
      </c>
      <c r="B39" t="str">
        <f>raw_data!B39</f>
        <v>New South Wales</v>
      </c>
      <c r="C39" t="str">
        <f>raw_data!C39</f>
        <v>Construction</v>
      </c>
      <c r="D39">
        <f>raw_data!G39</f>
        <v>21.04</v>
      </c>
      <c r="E39">
        <f>raw_data!H39</f>
        <v>4.2300000000000004</v>
      </c>
      <c r="F39">
        <f>raw_data!I39</f>
        <v>15</v>
      </c>
      <c r="G39">
        <f>raw_data!J39</f>
        <v>1.81</v>
      </c>
      <c r="H39" t="str">
        <f t="shared" si="0"/>
        <v>Wage Pressure</v>
      </c>
    </row>
    <row r="40" spans="1:8" x14ac:dyDescent="0.2">
      <c r="A40" t="str">
        <f>raw_data!A40</f>
        <v>2010Q2</v>
      </c>
      <c r="B40" t="str">
        <f>raw_data!B40</f>
        <v>New South Wales</v>
      </c>
      <c r="C40" t="str">
        <f>raw_data!C40</f>
        <v>Education and Training</v>
      </c>
      <c r="D40">
        <f>raw_data!G40</f>
        <v>23.78</v>
      </c>
      <c r="E40">
        <f>raw_data!H40</f>
        <v>1.02</v>
      </c>
      <c r="F40">
        <f>raw_data!I40</f>
        <v>20.77</v>
      </c>
      <c r="G40">
        <f>raw_data!J40</f>
        <v>1.99</v>
      </c>
      <c r="H40" t="str">
        <f t="shared" si="0"/>
        <v>Wage Pressure</v>
      </c>
    </row>
    <row r="41" spans="1:8" x14ac:dyDescent="0.2">
      <c r="A41" t="str">
        <f>raw_data!A41</f>
        <v>2010Q2</v>
      </c>
      <c r="B41" t="str">
        <f>raw_data!B41</f>
        <v>New South Wales</v>
      </c>
      <c r="C41" t="str">
        <f>raw_data!C41</f>
        <v>Health Care and Social Assistance</v>
      </c>
      <c r="D41">
        <f>raw_data!G41</f>
        <v>28.53</v>
      </c>
      <c r="E41">
        <f>raw_data!H41</f>
        <v>3.34</v>
      </c>
      <c r="F41">
        <f>raw_data!I41</f>
        <v>21.35</v>
      </c>
      <c r="G41">
        <f>raw_data!J41</f>
        <v>3.84</v>
      </c>
      <c r="H41" t="str">
        <f t="shared" si="0"/>
        <v>Wage Pressure</v>
      </c>
    </row>
    <row r="42" spans="1:8" x14ac:dyDescent="0.2">
      <c r="A42" t="str">
        <f>raw_data!A42</f>
        <v>2010Q2</v>
      </c>
      <c r="B42" t="str">
        <f>raw_data!B42</f>
        <v>New South Wales</v>
      </c>
      <c r="C42" t="str">
        <f>raw_data!C42</f>
        <v>Manufacturing</v>
      </c>
      <c r="D42">
        <f>raw_data!G42</f>
        <v>17.399999999999999</v>
      </c>
      <c r="E42">
        <f>raw_data!H42</f>
        <v>3.56</v>
      </c>
      <c r="F42">
        <f>raw_data!I42</f>
        <v>12.69</v>
      </c>
      <c r="G42">
        <f>raw_data!J42</f>
        <v>1.1499999999999999</v>
      </c>
      <c r="H42" t="str">
        <f t="shared" si="0"/>
        <v>Wage Pressure</v>
      </c>
    </row>
    <row r="43" spans="1:8" x14ac:dyDescent="0.2">
      <c r="A43" t="str">
        <f>raw_data!A43</f>
        <v>2010Q2</v>
      </c>
      <c r="B43" t="str">
        <f>raw_data!B43</f>
        <v>New South Wales</v>
      </c>
      <c r="C43" t="str">
        <f>raw_data!C43</f>
        <v>Professional, Scientific and Technical Services</v>
      </c>
      <c r="D43">
        <f>raw_data!G43</f>
        <v>22.01</v>
      </c>
      <c r="E43">
        <f>raw_data!H43</f>
        <v>4.68</v>
      </c>
      <c r="F43">
        <f>raw_data!I43</f>
        <v>15</v>
      </c>
      <c r="G43">
        <f>raw_data!J43</f>
        <v>2.33</v>
      </c>
      <c r="H43" t="str">
        <f t="shared" si="0"/>
        <v>Wage Pressure</v>
      </c>
    </row>
    <row r="44" spans="1:8" x14ac:dyDescent="0.2">
      <c r="A44" t="str">
        <f>raw_data!A44</f>
        <v>2010Q2</v>
      </c>
      <c r="B44" t="str">
        <f>raw_data!B44</f>
        <v>Queensland</v>
      </c>
      <c r="C44" t="str">
        <f>raw_data!C44</f>
        <v>Accommodation and Food Services</v>
      </c>
      <c r="D44">
        <f>raw_data!G44</f>
        <v>16.170000000000002</v>
      </c>
      <c r="E44">
        <f>raw_data!H44</f>
        <v>5.67</v>
      </c>
      <c r="F44">
        <f>raw_data!I44</f>
        <v>9.81</v>
      </c>
      <c r="G44">
        <f>raw_data!J44</f>
        <v>0.69</v>
      </c>
      <c r="H44" t="str">
        <f t="shared" si="0"/>
        <v>Wage Pressure</v>
      </c>
    </row>
    <row r="45" spans="1:8" x14ac:dyDescent="0.2">
      <c r="A45" t="str">
        <f>raw_data!A45</f>
        <v>2010Q2</v>
      </c>
      <c r="B45" t="str">
        <f>raw_data!B45</f>
        <v>Queensland</v>
      </c>
      <c r="C45" t="str">
        <f>raw_data!C45</f>
        <v>Construction</v>
      </c>
      <c r="D45">
        <f>raw_data!G45</f>
        <v>22.66</v>
      </c>
      <c r="E45">
        <f>raw_data!H45</f>
        <v>5.86</v>
      </c>
      <c r="F45">
        <f>raw_data!I45</f>
        <v>15</v>
      </c>
      <c r="G45">
        <f>raw_data!J45</f>
        <v>1.8</v>
      </c>
      <c r="H45" t="str">
        <f t="shared" si="0"/>
        <v>Wage Pressure</v>
      </c>
    </row>
    <row r="46" spans="1:8" x14ac:dyDescent="0.2">
      <c r="A46" t="str">
        <f>raw_data!A46</f>
        <v>2010Q2</v>
      </c>
      <c r="B46" t="str">
        <f>raw_data!B46</f>
        <v>Queensland</v>
      </c>
      <c r="C46" t="str">
        <f>raw_data!C46</f>
        <v>Education and Training</v>
      </c>
      <c r="D46">
        <f>raw_data!G46</f>
        <v>24.92</v>
      </c>
      <c r="E46">
        <f>raw_data!H46</f>
        <v>2.06</v>
      </c>
      <c r="F46">
        <f>raw_data!I46</f>
        <v>20.77</v>
      </c>
      <c r="G46">
        <f>raw_data!J46</f>
        <v>2.09</v>
      </c>
      <c r="H46" t="str">
        <f t="shared" si="0"/>
        <v>Wage Pressure</v>
      </c>
    </row>
    <row r="47" spans="1:8" x14ac:dyDescent="0.2">
      <c r="A47" t="str">
        <f>raw_data!A47</f>
        <v>2010Q2</v>
      </c>
      <c r="B47" t="str">
        <f>raw_data!B47</f>
        <v>Queensland</v>
      </c>
      <c r="C47" t="str">
        <f>raw_data!C47</f>
        <v>Health Care and Social Assistance</v>
      </c>
      <c r="D47">
        <f>raw_data!G47</f>
        <v>31.42</v>
      </c>
      <c r="E47">
        <f>raw_data!H47</f>
        <v>5.65</v>
      </c>
      <c r="F47">
        <f>raw_data!I47</f>
        <v>21.35</v>
      </c>
      <c r="G47">
        <f>raw_data!J47</f>
        <v>4.43</v>
      </c>
      <c r="H47" t="str">
        <f t="shared" si="0"/>
        <v>Wage Pressure</v>
      </c>
    </row>
    <row r="48" spans="1:8" x14ac:dyDescent="0.2">
      <c r="A48" t="str">
        <f>raw_data!A48</f>
        <v>2010Q2</v>
      </c>
      <c r="B48" t="str">
        <f>raw_data!B48</f>
        <v>Queensland</v>
      </c>
      <c r="C48" t="str">
        <f>raw_data!C48</f>
        <v>Manufacturing</v>
      </c>
      <c r="D48">
        <f>raw_data!G48</f>
        <v>20.02</v>
      </c>
      <c r="E48">
        <f>raw_data!H48</f>
        <v>5.9</v>
      </c>
      <c r="F48">
        <f>raw_data!I48</f>
        <v>12.69</v>
      </c>
      <c r="G48">
        <f>raw_data!J48</f>
        <v>1.43</v>
      </c>
      <c r="H48" t="str">
        <f t="shared" si="0"/>
        <v>Wage Pressure</v>
      </c>
    </row>
    <row r="49" spans="1:8" x14ac:dyDescent="0.2">
      <c r="A49" t="str">
        <f>raw_data!A49</f>
        <v>2010Q2</v>
      </c>
      <c r="B49" t="str">
        <f>raw_data!B49</f>
        <v>Queensland</v>
      </c>
      <c r="C49" t="str">
        <f>raw_data!C49</f>
        <v>Professional, Scientific and Technical Services</v>
      </c>
      <c r="D49">
        <f>raw_data!G49</f>
        <v>30.9</v>
      </c>
      <c r="E49">
        <f>raw_data!H49</f>
        <v>10.16</v>
      </c>
      <c r="F49">
        <f>raw_data!I49</f>
        <v>15</v>
      </c>
      <c r="G49">
        <f>raw_data!J49</f>
        <v>5.73</v>
      </c>
      <c r="H49" t="str">
        <f t="shared" si="0"/>
        <v>Wage Pressure</v>
      </c>
    </row>
    <row r="50" spans="1:8" x14ac:dyDescent="0.2">
      <c r="A50" t="str">
        <f>raw_data!A50</f>
        <v>2010Q2</v>
      </c>
      <c r="B50" t="str">
        <f>raw_data!B50</f>
        <v>Victoria</v>
      </c>
      <c r="C50" t="str">
        <f>raw_data!C50</f>
        <v>Accommodation and Food Services</v>
      </c>
      <c r="D50">
        <f>raw_data!G50</f>
        <v>14.83</v>
      </c>
      <c r="E50">
        <f>raw_data!H50</f>
        <v>4.4000000000000004</v>
      </c>
      <c r="F50">
        <f>raw_data!I50</f>
        <v>9.81</v>
      </c>
      <c r="G50">
        <f>raw_data!J50</f>
        <v>0.62</v>
      </c>
      <c r="H50" t="str">
        <f t="shared" si="0"/>
        <v>Wage Pressure</v>
      </c>
    </row>
    <row r="51" spans="1:8" x14ac:dyDescent="0.2">
      <c r="A51" t="str">
        <f>raw_data!A51</f>
        <v>2010Q2</v>
      </c>
      <c r="B51" t="str">
        <f>raw_data!B51</f>
        <v>Victoria</v>
      </c>
      <c r="C51" t="str">
        <f>raw_data!C51</f>
        <v>Construction</v>
      </c>
      <c r="D51">
        <f>raw_data!G51</f>
        <v>21.87</v>
      </c>
      <c r="E51">
        <f>raw_data!H51</f>
        <v>5.08</v>
      </c>
      <c r="F51">
        <f>raw_data!I51</f>
        <v>15</v>
      </c>
      <c r="G51">
        <f>raw_data!J51</f>
        <v>1.79</v>
      </c>
      <c r="H51" t="str">
        <f t="shared" si="0"/>
        <v>Wage Pressure</v>
      </c>
    </row>
    <row r="52" spans="1:8" x14ac:dyDescent="0.2">
      <c r="A52" t="str">
        <f>raw_data!A52</f>
        <v>2010Q2</v>
      </c>
      <c r="B52" t="str">
        <f>raw_data!B52</f>
        <v>Victoria</v>
      </c>
      <c r="C52" t="str">
        <f>raw_data!C52</f>
        <v>Education and Training</v>
      </c>
      <c r="D52">
        <f>raw_data!G52</f>
        <v>23.05</v>
      </c>
      <c r="E52">
        <f>raw_data!H52</f>
        <v>1.35</v>
      </c>
      <c r="F52">
        <f>raw_data!I52</f>
        <v>20.77</v>
      </c>
      <c r="G52">
        <f>raw_data!J52</f>
        <v>0.93</v>
      </c>
      <c r="H52" t="str">
        <f t="shared" si="0"/>
        <v>Wage Pressure</v>
      </c>
    </row>
    <row r="53" spans="1:8" x14ac:dyDescent="0.2">
      <c r="A53" t="str">
        <f>raw_data!A53</f>
        <v>2010Q2</v>
      </c>
      <c r="B53" t="str">
        <f>raw_data!B53</f>
        <v>Victoria</v>
      </c>
      <c r="C53" t="str">
        <f>raw_data!C53</f>
        <v>Health Care and Social Assistance</v>
      </c>
      <c r="D53">
        <f>raw_data!G53</f>
        <v>29.62</v>
      </c>
      <c r="E53">
        <f>raw_data!H53</f>
        <v>4.67</v>
      </c>
      <c r="F53">
        <f>raw_data!I53</f>
        <v>21.35</v>
      </c>
      <c r="G53">
        <f>raw_data!J53</f>
        <v>3.6</v>
      </c>
      <c r="H53" t="str">
        <f t="shared" si="0"/>
        <v>Wage Pressure</v>
      </c>
    </row>
    <row r="54" spans="1:8" x14ac:dyDescent="0.2">
      <c r="A54" t="str">
        <f>raw_data!A54</f>
        <v>2010Q2</v>
      </c>
      <c r="B54" t="str">
        <f>raw_data!B54</f>
        <v>Victoria</v>
      </c>
      <c r="C54" t="str">
        <f>raw_data!C54</f>
        <v>Manufacturing</v>
      </c>
      <c r="D54">
        <f>raw_data!G54</f>
        <v>17.510000000000002</v>
      </c>
      <c r="E54">
        <f>raw_data!H54</f>
        <v>3.55</v>
      </c>
      <c r="F54">
        <f>raw_data!I54</f>
        <v>12.69</v>
      </c>
      <c r="G54">
        <f>raw_data!J54</f>
        <v>1.27</v>
      </c>
      <c r="H54" t="str">
        <f t="shared" si="0"/>
        <v>Wage Pressure</v>
      </c>
    </row>
    <row r="55" spans="1:8" x14ac:dyDescent="0.2">
      <c r="A55" t="str">
        <f>raw_data!A55</f>
        <v>2010Q2</v>
      </c>
      <c r="B55" t="str">
        <f>raw_data!B55</f>
        <v>Victoria</v>
      </c>
      <c r="C55" t="str">
        <f>raw_data!C55</f>
        <v>Professional, Scientific and Technical Services</v>
      </c>
      <c r="D55">
        <f>raw_data!G55</f>
        <v>27.25</v>
      </c>
      <c r="E55">
        <f>raw_data!H55</f>
        <v>6.63</v>
      </c>
      <c r="F55">
        <f>raw_data!I55</f>
        <v>15</v>
      </c>
      <c r="G55">
        <f>raw_data!J55</f>
        <v>5.62</v>
      </c>
      <c r="H55" t="str">
        <f t="shared" si="0"/>
        <v>Wage Pressure</v>
      </c>
    </row>
    <row r="56" spans="1:8" x14ac:dyDescent="0.2">
      <c r="A56" t="str">
        <f>raw_data!A56</f>
        <v>2010Q3</v>
      </c>
      <c r="B56" t="str">
        <f>raw_data!B56</f>
        <v>New South Wales</v>
      </c>
      <c r="C56" t="str">
        <f>raw_data!C56</f>
        <v>Accommodation and Food Services</v>
      </c>
      <c r="D56">
        <f>raw_data!G56</f>
        <v>27.84</v>
      </c>
      <c r="E56">
        <f>raw_data!H56</f>
        <v>8.08</v>
      </c>
      <c r="F56">
        <f>raw_data!I56</f>
        <v>17.88</v>
      </c>
      <c r="G56">
        <f>raw_data!J56</f>
        <v>1.87</v>
      </c>
      <c r="H56" t="str">
        <f t="shared" si="0"/>
        <v>Wage Pressure</v>
      </c>
    </row>
    <row r="57" spans="1:8" x14ac:dyDescent="0.2">
      <c r="A57" t="str">
        <f>raw_data!A57</f>
        <v>2010Q3</v>
      </c>
      <c r="B57" t="str">
        <f>raw_data!B57</f>
        <v>New South Wales</v>
      </c>
      <c r="C57" t="str">
        <f>raw_data!C57</f>
        <v>Construction</v>
      </c>
      <c r="D57">
        <f>raw_data!G57</f>
        <v>26.01</v>
      </c>
      <c r="E57">
        <f>raw_data!H57</f>
        <v>4.8499999999999996</v>
      </c>
      <c r="F57">
        <f>raw_data!I57</f>
        <v>19.04</v>
      </c>
      <c r="G57">
        <f>raw_data!J57</f>
        <v>2.12</v>
      </c>
      <c r="H57" t="str">
        <f t="shared" si="0"/>
        <v>Wage Pressure</v>
      </c>
    </row>
    <row r="58" spans="1:8" x14ac:dyDescent="0.2">
      <c r="A58" t="str">
        <f>raw_data!A58</f>
        <v>2010Q3</v>
      </c>
      <c r="B58" t="str">
        <f>raw_data!B58</f>
        <v>New South Wales</v>
      </c>
      <c r="C58" t="str">
        <f>raw_data!C58</f>
        <v>Education and Training</v>
      </c>
      <c r="D58">
        <f>raw_data!G58</f>
        <v>25.33</v>
      </c>
      <c r="E58">
        <f>raw_data!H58</f>
        <v>0.46</v>
      </c>
      <c r="F58">
        <f>raw_data!I58</f>
        <v>23.65</v>
      </c>
      <c r="G58">
        <f>raw_data!J58</f>
        <v>1.22</v>
      </c>
      <c r="H58" t="str">
        <f t="shared" si="0"/>
        <v>Wage Pressure</v>
      </c>
    </row>
    <row r="59" spans="1:8" x14ac:dyDescent="0.2">
      <c r="A59" t="str">
        <f>raw_data!A59</f>
        <v>2010Q3</v>
      </c>
      <c r="B59" t="str">
        <f>raw_data!B59</f>
        <v>New South Wales</v>
      </c>
      <c r="C59" t="str">
        <f>raw_data!C59</f>
        <v>Health Care and Social Assistance</v>
      </c>
      <c r="D59">
        <f>raw_data!G59</f>
        <v>31.42</v>
      </c>
      <c r="E59">
        <f>raw_data!H59</f>
        <v>4.5599999999999996</v>
      </c>
      <c r="F59">
        <f>raw_data!I59</f>
        <v>20.190000000000001</v>
      </c>
      <c r="G59">
        <f>raw_data!J59</f>
        <v>6.67</v>
      </c>
      <c r="H59" t="str">
        <f t="shared" si="0"/>
        <v>Wage Pressure</v>
      </c>
    </row>
    <row r="60" spans="1:8" x14ac:dyDescent="0.2">
      <c r="A60" t="str">
        <f>raw_data!A60</f>
        <v>2010Q3</v>
      </c>
      <c r="B60" t="str">
        <f>raw_data!B60</f>
        <v>New South Wales</v>
      </c>
      <c r="C60" t="str">
        <f>raw_data!C60</f>
        <v>Manufacturing</v>
      </c>
      <c r="D60">
        <f>raw_data!G60</f>
        <v>23.13</v>
      </c>
      <c r="E60">
        <f>raw_data!H60</f>
        <v>4.68</v>
      </c>
      <c r="F60">
        <f>raw_data!I60</f>
        <v>16.73</v>
      </c>
      <c r="G60">
        <f>raw_data!J60</f>
        <v>1.72</v>
      </c>
      <c r="H60" t="str">
        <f t="shared" si="0"/>
        <v>Wage Pressure</v>
      </c>
    </row>
    <row r="61" spans="1:8" x14ac:dyDescent="0.2">
      <c r="A61" t="str">
        <f>raw_data!A61</f>
        <v>2010Q3</v>
      </c>
      <c r="B61" t="str">
        <f>raw_data!B61</f>
        <v>New South Wales</v>
      </c>
      <c r="C61" t="str">
        <f>raw_data!C61</f>
        <v>Professional, Scientific and Technical Services</v>
      </c>
      <c r="D61">
        <f>raw_data!G61</f>
        <v>30.89</v>
      </c>
      <c r="E61">
        <f>raw_data!H61</f>
        <v>4.9800000000000004</v>
      </c>
      <c r="F61">
        <f>raw_data!I61</f>
        <v>21.92</v>
      </c>
      <c r="G61">
        <f>raw_data!J61</f>
        <v>3.99</v>
      </c>
      <c r="H61" t="str">
        <f t="shared" si="0"/>
        <v>Wage Pressure</v>
      </c>
    </row>
    <row r="62" spans="1:8" x14ac:dyDescent="0.2">
      <c r="A62" t="str">
        <f>raw_data!A62</f>
        <v>2010Q3</v>
      </c>
      <c r="B62" t="str">
        <f>raw_data!B62</f>
        <v>Queensland</v>
      </c>
      <c r="C62" t="str">
        <f>raw_data!C62</f>
        <v>Accommodation and Food Services</v>
      </c>
      <c r="D62">
        <f>raw_data!G62</f>
        <v>31.39</v>
      </c>
      <c r="E62">
        <f>raw_data!H62</f>
        <v>11.85</v>
      </c>
      <c r="F62">
        <f>raw_data!I62</f>
        <v>17.88</v>
      </c>
      <c r="G62">
        <f>raw_data!J62</f>
        <v>1.65</v>
      </c>
      <c r="H62" t="str">
        <f t="shared" si="0"/>
        <v>Wage Pressure</v>
      </c>
    </row>
    <row r="63" spans="1:8" x14ac:dyDescent="0.2">
      <c r="A63" t="str">
        <f>raw_data!A63</f>
        <v>2010Q3</v>
      </c>
      <c r="B63" t="str">
        <f>raw_data!B63</f>
        <v>Queensland</v>
      </c>
      <c r="C63" t="str">
        <f>raw_data!C63</f>
        <v>Construction</v>
      </c>
      <c r="D63">
        <f>raw_data!G63</f>
        <v>27.14</v>
      </c>
      <c r="E63">
        <f>raw_data!H63</f>
        <v>6.15</v>
      </c>
      <c r="F63">
        <f>raw_data!I63</f>
        <v>19.04</v>
      </c>
      <c r="G63">
        <f>raw_data!J63</f>
        <v>1.95</v>
      </c>
      <c r="H63" t="str">
        <f t="shared" si="0"/>
        <v>Wage Pressure</v>
      </c>
    </row>
    <row r="64" spans="1:8" x14ac:dyDescent="0.2">
      <c r="A64" t="str">
        <f>raw_data!A64</f>
        <v>2010Q3</v>
      </c>
      <c r="B64" t="str">
        <f>raw_data!B64</f>
        <v>Queensland</v>
      </c>
      <c r="C64" t="str">
        <f>raw_data!C64</f>
        <v>Education and Training</v>
      </c>
      <c r="D64">
        <f>raw_data!G64</f>
        <v>26.47</v>
      </c>
      <c r="E64">
        <f>raw_data!H64</f>
        <v>1.3</v>
      </c>
      <c r="F64">
        <f>raw_data!I64</f>
        <v>23.65</v>
      </c>
      <c r="G64">
        <f>raw_data!J64</f>
        <v>1.52</v>
      </c>
      <c r="H64" t="str">
        <f t="shared" si="0"/>
        <v>Wage Pressure</v>
      </c>
    </row>
    <row r="65" spans="1:8" x14ac:dyDescent="0.2">
      <c r="A65" t="str">
        <f>raw_data!A65</f>
        <v>2010Q3</v>
      </c>
      <c r="B65" t="str">
        <f>raw_data!B65</f>
        <v>Queensland</v>
      </c>
      <c r="C65" t="str">
        <f>raw_data!C65</f>
        <v>Health Care and Social Assistance</v>
      </c>
      <c r="D65">
        <f>raw_data!G65</f>
        <v>33.17</v>
      </c>
      <c r="E65">
        <f>raw_data!H65</f>
        <v>8.39</v>
      </c>
      <c r="F65">
        <f>raw_data!I65</f>
        <v>20.190000000000001</v>
      </c>
      <c r="G65">
        <f>raw_data!J65</f>
        <v>4.59</v>
      </c>
      <c r="H65" t="str">
        <f t="shared" si="0"/>
        <v>Wage Pressure</v>
      </c>
    </row>
    <row r="66" spans="1:8" x14ac:dyDescent="0.2">
      <c r="A66" t="str">
        <f>raw_data!A66</f>
        <v>2010Q3</v>
      </c>
      <c r="B66" t="str">
        <f>raw_data!B66</f>
        <v>Queensland</v>
      </c>
      <c r="C66" t="str">
        <f>raw_data!C66</f>
        <v>Manufacturing</v>
      </c>
      <c r="D66">
        <f>raw_data!G66</f>
        <v>26.27</v>
      </c>
      <c r="E66">
        <f>raw_data!H66</f>
        <v>7.27</v>
      </c>
      <c r="F66">
        <f>raw_data!I66</f>
        <v>16.73</v>
      </c>
      <c r="G66">
        <f>raw_data!J66</f>
        <v>2.27</v>
      </c>
      <c r="H66" t="str">
        <f t="shared" si="0"/>
        <v>Wage Pressure</v>
      </c>
    </row>
    <row r="67" spans="1:8" x14ac:dyDescent="0.2">
      <c r="A67" t="str">
        <f>raw_data!A67</f>
        <v>2010Q3</v>
      </c>
      <c r="B67" t="str">
        <f>raw_data!B67</f>
        <v>Queensland</v>
      </c>
      <c r="C67" t="str">
        <f>raw_data!C67</f>
        <v>Professional, Scientific and Technical Services</v>
      </c>
      <c r="D67">
        <f>raw_data!G67</f>
        <v>44.53</v>
      </c>
      <c r="E67">
        <f>raw_data!H67</f>
        <v>11.95</v>
      </c>
      <c r="F67">
        <f>raw_data!I67</f>
        <v>21.92</v>
      </c>
      <c r="G67">
        <f>raw_data!J67</f>
        <v>10.66</v>
      </c>
      <c r="H67" t="str">
        <f t="shared" ref="H67:H130" si="1">IF(AND(E67&gt;=F67,E67&gt;=G67),"Vacancy Intensity",IF(F67&gt;=G67,"Wage Pressure","Labour Tightness"))</f>
        <v>Wage Pressure</v>
      </c>
    </row>
    <row r="68" spans="1:8" x14ac:dyDescent="0.2">
      <c r="A68" t="str">
        <f>raw_data!A68</f>
        <v>2010Q3</v>
      </c>
      <c r="B68" t="str">
        <f>raw_data!B68</f>
        <v>Victoria</v>
      </c>
      <c r="C68" t="str">
        <f>raw_data!C68</f>
        <v>Accommodation and Food Services</v>
      </c>
      <c r="D68">
        <f>raw_data!G68</f>
        <v>29.29</v>
      </c>
      <c r="E68">
        <f>raw_data!H68</f>
        <v>9.44</v>
      </c>
      <c r="F68">
        <f>raw_data!I68</f>
        <v>17.88</v>
      </c>
      <c r="G68">
        <f>raw_data!J68</f>
        <v>1.96</v>
      </c>
      <c r="H68" t="str">
        <f t="shared" si="1"/>
        <v>Wage Pressure</v>
      </c>
    </row>
    <row r="69" spans="1:8" x14ac:dyDescent="0.2">
      <c r="A69" t="str">
        <f>raw_data!A69</f>
        <v>2010Q3</v>
      </c>
      <c r="B69" t="str">
        <f>raw_data!B69</f>
        <v>Victoria</v>
      </c>
      <c r="C69" t="str">
        <f>raw_data!C69</f>
        <v>Construction</v>
      </c>
      <c r="D69">
        <f>raw_data!G69</f>
        <v>27.67</v>
      </c>
      <c r="E69">
        <f>raw_data!H69</f>
        <v>5.44</v>
      </c>
      <c r="F69">
        <f>raw_data!I69</f>
        <v>19.04</v>
      </c>
      <c r="G69">
        <f>raw_data!J69</f>
        <v>3.19</v>
      </c>
      <c r="H69" t="str">
        <f t="shared" si="1"/>
        <v>Wage Pressure</v>
      </c>
    </row>
    <row r="70" spans="1:8" x14ac:dyDescent="0.2">
      <c r="A70" t="str">
        <f>raw_data!A70</f>
        <v>2010Q3</v>
      </c>
      <c r="B70" t="str">
        <f>raw_data!B70</f>
        <v>Victoria</v>
      </c>
      <c r="C70" t="str">
        <f>raw_data!C70</f>
        <v>Education and Training</v>
      </c>
      <c r="D70">
        <f>raw_data!G70</f>
        <v>25.79</v>
      </c>
      <c r="E70">
        <f>raw_data!H70</f>
        <v>0.68</v>
      </c>
      <c r="F70">
        <f>raw_data!I70</f>
        <v>23.65</v>
      </c>
      <c r="G70">
        <f>raw_data!J70</f>
        <v>1.45</v>
      </c>
      <c r="H70" t="str">
        <f t="shared" si="1"/>
        <v>Wage Pressure</v>
      </c>
    </row>
    <row r="71" spans="1:8" x14ac:dyDescent="0.2">
      <c r="A71" t="str">
        <f>raw_data!A71</f>
        <v>2010Q3</v>
      </c>
      <c r="B71" t="str">
        <f>raw_data!B71</f>
        <v>Victoria</v>
      </c>
      <c r="C71" t="str">
        <f>raw_data!C71</f>
        <v>Health Care and Social Assistance</v>
      </c>
      <c r="D71">
        <f>raw_data!G71</f>
        <v>31.96</v>
      </c>
      <c r="E71">
        <f>raw_data!H71</f>
        <v>6.18</v>
      </c>
      <c r="F71">
        <f>raw_data!I71</f>
        <v>20.190000000000001</v>
      </c>
      <c r="G71">
        <f>raw_data!J71</f>
        <v>5.58</v>
      </c>
      <c r="H71" t="str">
        <f t="shared" si="1"/>
        <v>Wage Pressure</v>
      </c>
    </row>
    <row r="72" spans="1:8" x14ac:dyDescent="0.2">
      <c r="A72" t="str">
        <f>raw_data!A72</f>
        <v>2010Q3</v>
      </c>
      <c r="B72" t="str">
        <f>raw_data!B72</f>
        <v>Victoria</v>
      </c>
      <c r="C72" t="str">
        <f>raw_data!C72</f>
        <v>Manufacturing</v>
      </c>
      <c r="D72">
        <f>raw_data!G72</f>
        <v>23.42</v>
      </c>
      <c r="E72">
        <f>raw_data!H72</f>
        <v>4.4800000000000004</v>
      </c>
      <c r="F72">
        <f>raw_data!I72</f>
        <v>16.73</v>
      </c>
      <c r="G72">
        <f>raw_data!J72</f>
        <v>2.21</v>
      </c>
      <c r="H72" t="str">
        <f t="shared" si="1"/>
        <v>Wage Pressure</v>
      </c>
    </row>
    <row r="73" spans="1:8" x14ac:dyDescent="0.2">
      <c r="A73" t="str">
        <f>raw_data!A73</f>
        <v>2010Q3</v>
      </c>
      <c r="B73" t="str">
        <f>raw_data!B73</f>
        <v>Victoria</v>
      </c>
      <c r="C73" t="str">
        <f>raw_data!C73</f>
        <v>Professional, Scientific and Technical Services</v>
      </c>
      <c r="D73">
        <f>raw_data!G73</f>
        <v>35.86</v>
      </c>
      <c r="E73">
        <f>raw_data!H73</f>
        <v>7.4</v>
      </c>
      <c r="F73">
        <f>raw_data!I73</f>
        <v>21.92</v>
      </c>
      <c r="G73">
        <f>raw_data!J73</f>
        <v>6.54</v>
      </c>
      <c r="H73" t="str">
        <f t="shared" si="1"/>
        <v>Wage Pressure</v>
      </c>
    </row>
    <row r="74" spans="1:8" x14ac:dyDescent="0.2">
      <c r="A74" t="str">
        <f>raw_data!A74</f>
        <v>2010Q4</v>
      </c>
      <c r="B74" t="str">
        <f>raw_data!B74</f>
        <v>New South Wales</v>
      </c>
      <c r="C74" t="str">
        <f>raw_data!C74</f>
        <v>Accommodation and Food Services</v>
      </c>
      <c r="D74">
        <f>raw_data!G74</f>
        <v>31.64</v>
      </c>
      <c r="E74">
        <f>raw_data!H74</f>
        <v>10.17</v>
      </c>
      <c r="F74">
        <f>raw_data!I74</f>
        <v>18.46</v>
      </c>
      <c r="G74">
        <f>raw_data!J74</f>
        <v>3</v>
      </c>
      <c r="H74" t="str">
        <f t="shared" si="1"/>
        <v>Wage Pressure</v>
      </c>
    </row>
    <row r="75" spans="1:8" x14ac:dyDescent="0.2">
      <c r="A75" t="str">
        <f>raw_data!A75</f>
        <v>2010Q4</v>
      </c>
      <c r="B75" t="str">
        <f>raw_data!B75</f>
        <v>New South Wales</v>
      </c>
      <c r="C75" t="str">
        <f>raw_data!C75</f>
        <v>Construction</v>
      </c>
      <c r="D75">
        <f>raw_data!G75</f>
        <v>27.52</v>
      </c>
      <c r="E75">
        <f>raw_data!H75</f>
        <v>3.79</v>
      </c>
      <c r="F75">
        <f>raw_data!I75</f>
        <v>21.35</v>
      </c>
      <c r="G75">
        <f>raw_data!J75</f>
        <v>2.39</v>
      </c>
      <c r="H75" t="str">
        <f t="shared" si="1"/>
        <v>Wage Pressure</v>
      </c>
    </row>
    <row r="76" spans="1:8" x14ac:dyDescent="0.2">
      <c r="A76" t="str">
        <f>raw_data!A76</f>
        <v>2010Q4</v>
      </c>
      <c r="B76" t="str">
        <f>raw_data!B76</f>
        <v>New South Wales</v>
      </c>
      <c r="C76" t="str">
        <f>raw_data!C76</f>
        <v>Education and Training</v>
      </c>
      <c r="D76">
        <f>raw_data!G76</f>
        <v>26.05</v>
      </c>
      <c r="E76">
        <f>raw_data!H76</f>
        <v>0.71</v>
      </c>
      <c r="F76">
        <f>raw_data!I76</f>
        <v>23.65</v>
      </c>
      <c r="G76">
        <f>raw_data!J76</f>
        <v>1.69</v>
      </c>
      <c r="H76" t="str">
        <f t="shared" si="1"/>
        <v>Wage Pressure</v>
      </c>
    </row>
    <row r="77" spans="1:8" x14ac:dyDescent="0.2">
      <c r="A77" t="str">
        <f>raw_data!A77</f>
        <v>2010Q4</v>
      </c>
      <c r="B77" t="str">
        <f>raw_data!B77</f>
        <v>New South Wales</v>
      </c>
      <c r="C77" t="str">
        <f>raw_data!C77</f>
        <v>Health Care and Social Assistance</v>
      </c>
      <c r="D77">
        <f>raw_data!G77</f>
        <v>24.99</v>
      </c>
      <c r="E77">
        <f>raw_data!H77</f>
        <v>3.65</v>
      </c>
      <c r="F77">
        <f>raw_data!I77</f>
        <v>19.04</v>
      </c>
      <c r="G77">
        <f>raw_data!J77</f>
        <v>2.2999999999999998</v>
      </c>
      <c r="H77" t="str">
        <f t="shared" si="1"/>
        <v>Wage Pressure</v>
      </c>
    </row>
    <row r="78" spans="1:8" x14ac:dyDescent="0.2">
      <c r="A78" t="str">
        <f>raw_data!A78</f>
        <v>2010Q4</v>
      </c>
      <c r="B78" t="str">
        <f>raw_data!B78</f>
        <v>New South Wales</v>
      </c>
      <c r="C78" t="str">
        <f>raw_data!C78</f>
        <v>Manufacturing</v>
      </c>
      <c r="D78">
        <f>raw_data!G78</f>
        <v>26.63</v>
      </c>
      <c r="E78">
        <f>raw_data!H78</f>
        <v>4.0599999999999996</v>
      </c>
      <c r="F78">
        <f>raw_data!I78</f>
        <v>20.77</v>
      </c>
      <c r="G78">
        <f>raw_data!J78</f>
        <v>1.8</v>
      </c>
      <c r="H78" t="str">
        <f t="shared" si="1"/>
        <v>Wage Pressure</v>
      </c>
    </row>
    <row r="79" spans="1:8" x14ac:dyDescent="0.2">
      <c r="A79" t="str">
        <f>raw_data!A79</f>
        <v>2010Q4</v>
      </c>
      <c r="B79" t="str">
        <f>raw_data!B79</f>
        <v>New South Wales</v>
      </c>
      <c r="C79" t="str">
        <f>raw_data!C79</f>
        <v>Professional, Scientific and Technical Services</v>
      </c>
      <c r="D79">
        <f>raw_data!G79</f>
        <v>37.74</v>
      </c>
      <c r="E79">
        <f>raw_data!H79</f>
        <v>6.27</v>
      </c>
      <c r="F79">
        <f>raw_data!I79</f>
        <v>24.81</v>
      </c>
      <c r="G79">
        <f>raw_data!J79</f>
        <v>6.66</v>
      </c>
      <c r="H79" t="str">
        <f t="shared" si="1"/>
        <v>Wage Pressure</v>
      </c>
    </row>
    <row r="80" spans="1:8" x14ac:dyDescent="0.2">
      <c r="A80" t="str">
        <f>raw_data!A80</f>
        <v>2010Q4</v>
      </c>
      <c r="B80" t="str">
        <f>raw_data!B80</f>
        <v>Queensland</v>
      </c>
      <c r="C80" t="str">
        <f>raw_data!C80</f>
        <v>Accommodation and Food Services</v>
      </c>
      <c r="D80">
        <f>raw_data!G80</f>
        <v>35.299999999999997</v>
      </c>
      <c r="E80">
        <f>raw_data!H80</f>
        <v>14.07</v>
      </c>
      <c r="F80">
        <f>raw_data!I80</f>
        <v>18.46</v>
      </c>
      <c r="G80">
        <f>raw_data!J80</f>
        <v>2.76</v>
      </c>
      <c r="H80" t="str">
        <f t="shared" si="1"/>
        <v>Wage Pressure</v>
      </c>
    </row>
    <row r="81" spans="1:8" x14ac:dyDescent="0.2">
      <c r="A81" t="str">
        <f>raw_data!A81</f>
        <v>2010Q4</v>
      </c>
      <c r="B81" t="str">
        <f>raw_data!B81</f>
        <v>Queensland</v>
      </c>
      <c r="C81" t="str">
        <f>raw_data!C81</f>
        <v>Construction</v>
      </c>
      <c r="D81">
        <f>raw_data!G81</f>
        <v>28.03</v>
      </c>
      <c r="E81">
        <f>raw_data!H81</f>
        <v>4.9800000000000004</v>
      </c>
      <c r="F81">
        <f>raw_data!I81</f>
        <v>21.35</v>
      </c>
      <c r="G81">
        <f>raw_data!J81</f>
        <v>1.7</v>
      </c>
      <c r="H81" t="str">
        <f t="shared" si="1"/>
        <v>Wage Pressure</v>
      </c>
    </row>
    <row r="82" spans="1:8" x14ac:dyDescent="0.2">
      <c r="A82" t="str">
        <f>raw_data!A82</f>
        <v>2010Q4</v>
      </c>
      <c r="B82" t="str">
        <f>raw_data!B82</f>
        <v>Queensland</v>
      </c>
      <c r="C82" t="str">
        <f>raw_data!C82</f>
        <v>Education and Training</v>
      </c>
      <c r="D82">
        <f>raw_data!G82</f>
        <v>26.93</v>
      </c>
      <c r="E82">
        <f>raw_data!H82</f>
        <v>1.55</v>
      </c>
      <c r="F82">
        <f>raw_data!I82</f>
        <v>23.65</v>
      </c>
      <c r="G82">
        <f>raw_data!J82</f>
        <v>1.73</v>
      </c>
      <c r="H82" t="str">
        <f t="shared" si="1"/>
        <v>Wage Pressure</v>
      </c>
    </row>
    <row r="83" spans="1:8" x14ac:dyDescent="0.2">
      <c r="A83" t="str">
        <f>raw_data!A83</f>
        <v>2010Q4</v>
      </c>
      <c r="B83" t="str">
        <f>raw_data!B83</f>
        <v>Queensland</v>
      </c>
      <c r="C83" t="str">
        <f>raw_data!C83</f>
        <v>Health Care and Social Assistance</v>
      </c>
      <c r="D83">
        <f>raw_data!G83</f>
        <v>31.61</v>
      </c>
      <c r="E83">
        <f>raw_data!H83</f>
        <v>6.65</v>
      </c>
      <c r="F83">
        <f>raw_data!I83</f>
        <v>19.04</v>
      </c>
      <c r="G83">
        <f>raw_data!J83</f>
        <v>5.92</v>
      </c>
      <c r="H83" t="str">
        <f t="shared" si="1"/>
        <v>Wage Pressure</v>
      </c>
    </row>
    <row r="84" spans="1:8" x14ac:dyDescent="0.2">
      <c r="A84" t="str">
        <f>raw_data!A84</f>
        <v>2010Q4</v>
      </c>
      <c r="B84" t="str">
        <f>raw_data!B84</f>
        <v>Queensland</v>
      </c>
      <c r="C84" t="str">
        <f>raw_data!C84</f>
        <v>Manufacturing</v>
      </c>
      <c r="D84">
        <f>raw_data!G84</f>
        <v>29.65</v>
      </c>
      <c r="E84">
        <f>raw_data!H84</f>
        <v>6.81</v>
      </c>
      <c r="F84">
        <f>raw_data!I84</f>
        <v>20.77</v>
      </c>
      <c r="G84">
        <f>raw_data!J84</f>
        <v>2.0699999999999998</v>
      </c>
      <c r="H84" t="str">
        <f t="shared" si="1"/>
        <v>Wage Pressure</v>
      </c>
    </row>
    <row r="85" spans="1:8" x14ac:dyDescent="0.2">
      <c r="A85" t="str">
        <f>raw_data!A85</f>
        <v>2010Q4</v>
      </c>
      <c r="B85" t="str">
        <f>raw_data!B85</f>
        <v>Queensland</v>
      </c>
      <c r="C85" t="str">
        <f>raw_data!C85</f>
        <v>Professional, Scientific and Technical Services</v>
      </c>
      <c r="D85">
        <f>raw_data!G85</f>
        <v>47.83</v>
      </c>
      <c r="E85">
        <f>raw_data!H85</f>
        <v>14.12</v>
      </c>
      <c r="F85">
        <f>raw_data!I85</f>
        <v>24.81</v>
      </c>
      <c r="G85">
        <f>raw_data!J85</f>
        <v>8.89</v>
      </c>
      <c r="H85" t="str">
        <f t="shared" si="1"/>
        <v>Wage Pressure</v>
      </c>
    </row>
    <row r="86" spans="1:8" x14ac:dyDescent="0.2">
      <c r="A86" t="str">
        <f>raw_data!A86</f>
        <v>2010Q4</v>
      </c>
      <c r="B86" t="str">
        <f>raw_data!B86</f>
        <v>Victoria</v>
      </c>
      <c r="C86" t="str">
        <f>raw_data!C86</f>
        <v>Accommodation and Food Services</v>
      </c>
      <c r="D86">
        <f>raw_data!G86</f>
        <v>33.07</v>
      </c>
      <c r="E86">
        <f>raw_data!H86</f>
        <v>12.24</v>
      </c>
      <c r="F86">
        <f>raw_data!I86</f>
        <v>18.46</v>
      </c>
      <c r="G86">
        <f>raw_data!J86</f>
        <v>2.36</v>
      </c>
      <c r="H86" t="str">
        <f t="shared" si="1"/>
        <v>Wage Pressure</v>
      </c>
    </row>
    <row r="87" spans="1:8" x14ac:dyDescent="0.2">
      <c r="A87" t="str">
        <f>raw_data!A87</f>
        <v>2010Q4</v>
      </c>
      <c r="B87" t="str">
        <f>raw_data!B87</f>
        <v>Victoria</v>
      </c>
      <c r="C87" t="str">
        <f>raw_data!C87</f>
        <v>Construction</v>
      </c>
      <c r="D87">
        <f>raw_data!G87</f>
        <v>30.03</v>
      </c>
      <c r="E87">
        <f>raw_data!H87</f>
        <v>4.6900000000000004</v>
      </c>
      <c r="F87">
        <f>raw_data!I87</f>
        <v>21.35</v>
      </c>
      <c r="G87">
        <f>raw_data!J87</f>
        <v>3.99</v>
      </c>
      <c r="H87" t="str">
        <f t="shared" si="1"/>
        <v>Wage Pressure</v>
      </c>
    </row>
    <row r="88" spans="1:8" x14ac:dyDescent="0.2">
      <c r="A88" t="str">
        <f>raw_data!A88</f>
        <v>2010Q4</v>
      </c>
      <c r="B88" t="str">
        <f>raw_data!B88</f>
        <v>Victoria</v>
      </c>
      <c r="C88" t="str">
        <f>raw_data!C88</f>
        <v>Education and Training</v>
      </c>
      <c r="D88">
        <f>raw_data!G88</f>
        <v>26.31</v>
      </c>
      <c r="E88">
        <f>raw_data!H88</f>
        <v>1.04</v>
      </c>
      <c r="F88">
        <f>raw_data!I88</f>
        <v>23.65</v>
      </c>
      <c r="G88">
        <f>raw_data!J88</f>
        <v>1.62</v>
      </c>
      <c r="H88" t="str">
        <f t="shared" si="1"/>
        <v>Wage Pressure</v>
      </c>
    </row>
    <row r="89" spans="1:8" x14ac:dyDescent="0.2">
      <c r="A89" t="str">
        <f>raw_data!A89</f>
        <v>2010Q4</v>
      </c>
      <c r="B89" t="str">
        <f>raw_data!B89</f>
        <v>Victoria</v>
      </c>
      <c r="C89" t="str">
        <f>raw_data!C89</f>
        <v>Health Care and Social Assistance</v>
      </c>
      <c r="D89">
        <f>raw_data!G89</f>
        <v>28.99</v>
      </c>
      <c r="E89">
        <f>raw_data!H89</f>
        <v>5.01</v>
      </c>
      <c r="F89">
        <f>raw_data!I89</f>
        <v>19.04</v>
      </c>
      <c r="G89">
        <f>raw_data!J89</f>
        <v>4.9400000000000004</v>
      </c>
      <c r="H89" t="str">
        <f t="shared" si="1"/>
        <v>Wage Pressure</v>
      </c>
    </row>
    <row r="90" spans="1:8" x14ac:dyDescent="0.2">
      <c r="A90" t="str">
        <f>raw_data!A90</f>
        <v>2010Q4</v>
      </c>
      <c r="B90" t="str">
        <f>raw_data!B90</f>
        <v>Victoria</v>
      </c>
      <c r="C90" t="str">
        <f>raw_data!C90</f>
        <v>Manufacturing</v>
      </c>
      <c r="D90">
        <f>raw_data!G90</f>
        <v>26.27</v>
      </c>
      <c r="E90">
        <f>raw_data!H90</f>
        <v>3.89</v>
      </c>
      <c r="F90">
        <f>raw_data!I90</f>
        <v>20.77</v>
      </c>
      <c r="G90">
        <f>raw_data!J90</f>
        <v>1.61</v>
      </c>
      <c r="H90" t="str">
        <f t="shared" si="1"/>
        <v>Wage Pressure</v>
      </c>
    </row>
    <row r="91" spans="1:8" x14ac:dyDescent="0.2">
      <c r="A91" t="str">
        <f>raw_data!A91</f>
        <v>2010Q4</v>
      </c>
      <c r="B91" t="str">
        <f>raw_data!B91</f>
        <v>Victoria</v>
      </c>
      <c r="C91" t="str">
        <f>raw_data!C91</f>
        <v>Professional, Scientific and Technical Services</v>
      </c>
      <c r="D91">
        <f>raw_data!G91</f>
        <v>40.270000000000003</v>
      </c>
      <c r="E91">
        <f>raw_data!H91</f>
        <v>8.92</v>
      </c>
      <c r="F91">
        <f>raw_data!I91</f>
        <v>24.81</v>
      </c>
      <c r="G91">
        <f>raw_data!J91</f>
        <v>6.54</v>
      </c>
      <c r="H91" t="str">
        <f t="shared" si="1"/>
        <v>Wage Pressure</v>
      </c>
    </row>
    <row r="92" spans="1:8" x14ac:dyDescent="0.2">
      <c r="A92" t="str">
        <f>raw_data!A92</f>
        <v>2011Q1</v>
      </c>
      <c r="B92" t="str">
        <f>raw_data!B92</f>
        <v>New South Wales</v>
      </c>
      <c r="C92" t="str">
        <f>raw_data!C92</f>
        <v>Accommodation and Food Services</v>
      </c>
      <c r="D92">
        <f>raw_data!G92</f>
        <v>26.47</v>
      </c>
      <c r="E92">
        <f>raw_data!H92</f>
        <v>7.6</v>
      </c>
      <c r="F92">
        <f>raw_data!I92</f>
        <v>17.309999999999999</v>
      </c>
      <c r="G92">
        <f>raw_data!J92</f>
        <v>1.57</v>
      </c>
      <c r="H92" t="str">
        <f t="shared" si="1"/>
        <v>Wage Pressure</v>
      </c>
    </row>
    <row r="93" spans="1:8" x14ac:dyDescent="0.2">
      <c r="A93" t="str">
        <f>raw_data!A93</f>
        <v>2011Q1</v>
      </c>
      <c r="B93" t="str">
        <f>raw_data!B93</f>
        <v>New South Wales</v>
      </c>
      <c r="C93" t="str">
        <f>raw_data!C93</f>
        <v>Construction</v>
      </c>
      <c r="D93">
        <f>raw_data!G93</f>
        <v>32.85</v>
      </c>
      <c r="E93">
        <f>raw_data!H93</f>
        <v>7.8</v>
      </c>
      <c r="F93">
        <f>raw_data!I93</f>
        <v>23.08</v>
      </c>
      <c r="G93">
        <f>raw_data!J93</f>
        <v>1.98</v>
      </c>
      <c r="H93" t="str">
        <f t="shared" si="1"/>
        <v>Wage Pressure</v>
      </c>
    </row>
    <row r="94" spans="1:8" x14ac:dyDescent="0.2">
      <c r="A94" t="str">
        <f>raw_data!A94</f>
        <v>2011Q1</v>
      </c>
      <c r="B94" t="str">
        <f>raw_data!B94</f>
        <v>New South Wales</v>
      </c>
      <c r="C94" t="str">
        <f>raw_data!C94</f>
        <v>Education and Training</v>
      </c>
      <c r="D94">
        <f>raw_data!G94</f>
        <v>23.09</v>
      </c>
      <c r="E94">
        <f>raw_data!H94</f>
        <v>1.46</v>
      </c>
      <c r="F94">
        <f>raw_data!I94</f>
        <v>20.190000000000001</v>
      </c>
      <c r="G94">
        <f>raw_data!J94</f>
        <v>1.44</v>
      </c>
      <c r="H94" t="str">
        <f t="shared" si="1"/>
        <v>Wage Pressure</v>
      </c>
    </row>
    <row r="95" spans="1:8" x14ac:dyDescent="0.2">
      <c r="A95" t="str">
        <f>raw_data!A95</f>
        <v>2011Q1</v>
      </c>
      <c r="B95" t="str">
        <f>raw_data!B95</f>
        <v>New South Wales</v>
      </c>
      <c r="C95" t="str">
        <f>raw_data!C95</f>
        <v>Health Care and Social Assistance</v>
      </c>
      <c r="D95">
        <f>raw_data!G95</f>
        <v>25.05</v>
      </c>
      <c r="E95">
        <f>raw_data!H95</f>
        <v>3.56</v>
      </c>
      <c r="F95">
        <f>raw_data!I95</f>
        <v>17.309999999999999</v>
      </c>
      <c r="G95">
        <f>raw_data!J95</f>
        <v>4.18</v>
      </c>
      <c r="H95" t="str">
        <f t="shared" si="1"/>
        <v>Wage Pressure</v>
      </c>
    </row>
    <row r="96" spans="1:8" x14ac:dyDescent="0.2">
      <c r="A96" t="str">
        <f>raw_data!A96</f>
        <v>2011Q1</v>
      </c>
      <c r="B96" t="str">
        <f>raw_data!B96</f>
        <v>New South Wales</v>
      </c>
      <c r="C96" t="str">
        <f>raw_data!C96</f>
        <v>Manufacturing</v>
      </c>
      <c r="D96">
        <f>raw_data!G96</f>
        <v>27.71</v>
      </c>
      <c r="E96">
        <f>raw_data!H96</f>
        <v>3.6</v>
      </c>
      <c r="F96">
        <f>raw_data!I96</f>
        <v>21.92</v>
      </c>
      <c r="G96">
        <f>raw_data!J96</f>
        <v>2.19</v>
      </c>
      <c r="H96" t="str">
        <f t="shared" si="1"/>
        <v>Wage Pressure</v>
      </c>
    </row>
    <row r="97" spans="1:8" x14ac:dyDescent="0.2">
      <c r="A97" t="str">
        <f>raw_data!A97</f>
        <v>2011Q1</v>
      </c>
      <c r="B97" t="str">
        <f>raw_data!B97</f>
        <v>New South Wales</v>
      </c>
      <c r="C97" t="str">
        <f>raw_data!C97</f>
        <v>Professional, Scientific and Technical Services</v>
      </c>
      <c r="D97">
        <f>raw_data!G97</f>
        <v>36.81</v>
      </c>
      <c r="E97">
        <f>raw_data!H97</f>
        <v>8.23</v>
      </c>
      <c r="F97">
        <f>raw_data!I97</f>
        <v>24.81</v>
      </c>
      <c r="G97">
        <f>raw_data!J97</f>
        <v>3.77</v>
      </c>
      <c r="H97" t="str">
        <f t="shared" si="1"/>
        <v>Wage Pressure</v>
      </c>
    </row>
    <row r="98" spans="1:8" x14ac:dyDescent="0.2">
      <c r="A98" t="str">
        <f>raw_data!A98</f>
        <v>2011Q1</v>
      </c>
      <c r="B98" t="str">
        <f>raw_data!B98</f>
        <v>Queensland</v>
      </c>
      <c r="C98" t="str">
        <f>raw_data!C98</f>
        <v>Accommodation and Food Services</v>
      </c>
      <c r="D98">
        <f>raw_data!G98</f>
        <v>31.28</v>
      </c>
      <c r="E98">
        <f>raw_data!H98</f>
        <v>12.62</v>
      </c>
      <c r="F98">
        <f>raw_data!I98</f>
        <v>17.309999999999999</v>
      </c>
      <c r="G98">
        <f>raw_data!J98</f>
        <v>1.35</v>
      </c>
      <c r="H98" t="str">
        <f t="shared" si="1"/>
        <v>Wage Pressure</v>
      </c>
    </row>
    <row r="99" spans="1:8" x14ac:dyDescent="0.2">
      <c r="A99" t="str">
        <f>raw_data!A99</f>
        <v>2011Q1</v>
      </c>
      <c r="B99" t="str">
        <f>raw_data!B99</f>
        <v>Queensland</v>
      </c>
      <c r="C99" t="str">
        <f>raw_data!C99</f>
        <v>Construction</v>
      </c>
      <c r="D99">
        <f>raw_data!G99</f>
        <v>34.36</v>
      </c>
      <c r="E99">
        <f>raw_data!H99</f>
        <v>9.2200000000000006</v>
      </c>
      <c r="F99">
        <f>raw_data!I99</f>
        <v>23.08</v>
      </c>
      <c r="G99">
        <f>raw_data!J99</f>
        <v>2.06</v>
      </c>
      <c r="H99" t="str">
        <f t="shared" si="1"/>
        <v>Wage Pressure</v>
      </c>
    </row>
    <row r="100" spans="1:8" x14ac:dyDescent="0.2">
      <c r="A100" t="str">
        <f>raw_data!A100</f>
        <v>2011Q1</v>
      </c>
      <c r="B100" t="str">
        <f>raw_data!B100</f>
        <v>Queensland</v>
      </c>
      <c r="C100" t="str">
        <f>raw_data!C100</f>
        <v>Education and Training</v>
      </c>
      <c r="D100">
        <f>raw_data!G100</f>
        <v>23.99</v>
      </c>
      <c r="E100">
        <f>raw_data!H100</f>
        <v>2.77</v>
      </c>
      <c r="F100">
        <f>raw_data!I100</f>
        <v>20.190000000000001</v>
      </c>
      <c r="G100">
        <f>raw_data!J100</f>
        <v>1.03</v>
      </c>
      <c r="H100" t="str">
        <f t="shared" si="1"/>
        <v>Wage Pressure</v>
      </c>
    </row>
    <row r="101" spans="1:8" x14ac:dyDescent="0.2">
      <c r="A101" t="str">
        <f>raw_data!A101</f>
        <v>2011Q1</v>
      </c>
      <c r="B101" t="str">
        <f>raw_data!B101</f>
        <v>Queensland</v>
      </c>
      <c r="C101" t="str">
        <f>raw_data!C101</f>
        <v>Health Care and Social Assistance</v>
      </c>
      <c r="D101">
        <f>raw_data!G101</f>
        <v>27.32</v>
      </c>
      <c r="E101">
        <f>raw_data!H101</f>
        <v>6.34</v>
      </c>
      <c r="F101">
        <f>raw_data!I101</f>
        <v>17.309999999999999</v>
      </c>
      <c r="G101">
        <f>raw_data!J101</f>
        <v>3.68</v>
      </c>
      <c r="H101" t="str">
        <f t="shared" si="1"/>
        <v>Wage Pressure</v>
      </c>
    </row>
    <row r="102" spans="1:8" x14ac:dyDescent="0.2">
      <c r="A102" t="str">
        <f>raw_data!A102</f>
        <v>2011Q1</v>
      </c>
      <c r="B102" t="str">
        <f>raw_data!B102</f>
        <v>Queensland</v>
      </c>
      <c r="C102" t="str">
        <f>raw_data!C102</f>
        <v>Manufacturing</v>
      </c>
      <c r="D102">
        <f>raw_data!G102</f>
        <v>30.42</v>
      </c>
      <c r="E102">
        <f>raw_data!H102</f>
        <v>7.34</v>
      </c>
      <c r="F102">
        <f>raw_data!I102</f>
        <v>21.92</v>
      </c>
      <c r="G102">
        <f>raw_data!J102</f>
        <v>1.1499999999999999</v>
      </c>
      <c r="H102" t="str">
        <f t="shared" si="1"/>
        <v>Wage Pressure</v>
      </c>
    </row>
    <row r="103" spans="1:8" x14ac:dyDescent="0.2">
      <c r="A103" t="str">
        <f>raw_data!A103</f>
        <v>2011Q1</v>
      </c>
      <c r="B103" t="str">
        <f>raw_data!B103</f>
        <v>Queensland</v>
      </c>
      <c r="C103" t="str">
        <f>raw_data!C103</f>
        <v>Professional, Scientific and Technical Services</v>
      </c>
      <c r="D103">
        <f>raw_data!G103</f>
        <v>48.47</v>
      </c>
      <c r="E103">
        <f>raw_data!H103</f>
        <v>16.37</v>
      </c>
      <c r="F103">
        <f>raw_data!I103</f>
        <v>24.81</v>
      </c>
      <c r="G103">
        <f>raw_data!J103</f>
        <v>7.3</v>
      </c>
      <c r="H103" t="str">
        <f t="shared" si="1"/>
        <v>Wage Pressure</v>
      </c>
    </row>
    <row r="104" spans="1:8" x14ac:dyDescent="0.2">
      <c r="A104" t="str">
        <f>raw_data!A104</f>
        <v>2011Q1</v>
      </c>
      <c r="B104" t="str">
        <f>raw_data!B104</f>
        <v>Victoria</v>
      </c>
      <c r="C104" t="str">
        <f>raw_data!C104</f>
        <v>Accommodation and Food Services</v>
      </c>
      <c r="D104">
        <f>raw_data!G104</f>
        <v>29.53</v>
      </c>
      <c r="E104">
        <f>raw_data!H104</f>
        <v>10.59</v>
      </c>
      <c r="F104">
        <f>raw_data!I104</f>
        <v>17.309999999999999</v>
      </c>
      <c r="G104">
        <f>raw_data!J104</f>
        <v>1.63</v>
      </c>
      <c r="H104" t="str">
        <f t="shared" si="1"/>
        <v>Wage Pressure</v>
      </c>
    </row>
    <row r="105" spans="1:8" x14ac:dyDescent="0.2">
      <c r="A105" t="str">
        <f>raw_data!A105</f>
        <v>2011Q1</v>
      </c>
      <c r="B105" t="str">
        <f>raw_data!B105</f>
        <v>Victoria</v>
      </c>
      <c r="C105" t="str">
        <f>raw_data!C105</f>
        <v>Construction</v>
      </c>
      <c r="D105">
        <f>raw_data!G105</f>
        <v>34.54</v>
      </c>
      <c r="E105">
        <f>raw_data!H105</f>
        <v>8.25</v>
      </c>
      <c r="F105">
        <f>raw_data!I105</f>
        <v>23.08</v>
      </c>
      <c r="G105">
        <f>raw_data!J105</f>
        <v>3.21</v>
      </c>
      <c r="H105" t="str">
        <f t="shared" si="1"/>
        <v>Wage Pressure</v>
      </c>
    </row>
    <row r="106" spans="1:8" x14ac:dyDescent="0.2">
      <c r="A106" t="str">
        <f>raw_data!A106</f>
        <v>2011Q1</v>
      </c>
      <c r="B106" t="str">
        <f>raw_data!B106</f>
        <v>Victoria</v>
      </c>
      <c r="C106" t="str">
        <f>raw_data!C106</f>
        <v>Education and Training</v>
      </c>
      <c r="D106">
        <f>raw_data!G106</f>
        <v>23.42</v>
      </c>
      <c r="E106">
        <f>raw_data!H106</f>
        <v>2.0299999999999998</v>
      </c>
      <c r="F106">
        <f>raw_data!I106</f>
        <v>20.190000000000001</v>
      </c>
      <c r="G106">
        <f>raw_data!J106</f>
        <v>1.19</v>
      </c>
      <c r="H106" t="str">
        <f t="shared" si="1"/>
        <v>Wage Pressure</v>
      </c>
    </row>
    <row r="107" spans="1:8" x14ac:dyDescent="0.2">
      <c r="A107" t="str">
        <f>raw_data!A107</f>
        <v>2011Q1</v>
      </c>
      <c r="B107" t="str">
        <f>raw_data!B107</f>
        <v>Victoria</v>
      </c>
      <c r="C107" t="str">
        <f>raw_data!C107</f>
        <v>Health Care and Social Assistance</v>
      </c>
      <c r="D107">
        <f>raw_data!G107</f>
        <v>27.27</v>
      </c>
      <c r="E107">
        <f>raw_data!H107</f>
        <v>4.83</v>
      </c>
      <c r="F107">
        <f>raw_data!I107</f>
        <v>17.309999999999999</v>
      </c>
      <c r="G107">
        <f>raw_data!J107</f>
        <v>5.13</v>
      </c>
      <c r="H107" t="str">
        <f t="shared" si="1"/>
        <v>Wage Pressure</v>
      </c>
    </row>
    <row r="108" spans="1:8" x14ac:dyDescent="0.2">
      <c r="A108" t="str">
        <f>raw_data!A108</f>
        <v>2011Q1</v>
      </c>
      <c r="B108" t="str">
        <f>raw_data!B108</f>
        <v>Victoria</v>
      </c>
      <c r="C108" t="str">
        <f>raw_data!C108</f>
        <v>Manufacturing</v>
      </c>
      <c r="D108">
        <f>raw_data!G108</f>
        <v>27.09</v>
      </c>
      <c r="E108">
        <f>raw_data!H108</f>
        <v>3.71</v>
      </c>
      <c r="F108">
        <f>raw_data!I108</f>
        <v>21.92</v>
      </c>
      <c r="G108">
        <f>raw_data!J108</f>
        <v>1.45</v>
      </c>
      <c r="H108" t="str">
        <f t="shared" si="1"/>
        <v>Wage Pressure</v>
      </c>
    </row>
    <row r="109" spans="1:8" x14ac:dyDescent="0.2">
      <c r="A109" t="str">
        <f>raw_data!A109</f>
        <v>2011Q1</v>
      </c>
      <c r="B109" t="str">
        <f>raw_data!B109</f>
        <v>Victoria</v>
      </c>
      <c r="C109" t="str">
        <f>raw_data!C109</f>
        <v>Professional, Scientific and Technical Services</v>
      </c>
      <c r="D109">
        <f>raw_data!G109</f>
        <v>44.5</v>
      </c>
      <c r="E109">
        <f>raw_data!H109</f>
        <v>10.91</v>
      </c>
      <c r="F109">
        <f>raw_data!I109</f>
        <v>24.81</v>
      </c>
      <c r="G109">
        <f>raw_data!J109</f>
        <v>8.7799999999999994</v>
      </c>
      <c r="H109" t="str">
        <f t="shared" si="1"/>
        <v>Wage Pressure</v>
      </c>
    </row>
    <row r="110" spans="1:8" x14ac:dyDescent="0.2">
      <c r="A110" t="str">
        <f>raw_data!A110</f>
        <v>2011Q2</v>
      </c>
      <c r="B110" t="str">
        <f>raw_data!B110</f>
        <v>New South Wales</v>
      </c>
      <c r="C110" t="str">
        <f>raw_data!C110</f>
        <v>Accommodation and Food Services</v>
      </c>
      <c r="D110">
        <f>raw_data!G110</f>
        <v>22.5</v>
      </c>
      <c r="E110">
        <f>raw_data!H110</f>
        <v>6.03</v>
      </c>
      <c r="F110">
        <f>raw_data!I110</f>
        <v>15.58</v>
      </c>
      <c r="G110">
        <f>raw_data!J110</f>
        <v>0.89</v>
      </c>
      <c r="H110" t="str">
        <f t="shared" si="1"/>
        <v>Wage Pressure</v>
      </c>
    </row>
    <row r="111" spans="1:8" x14ac:dyDescent="0.2">
      <c r="A111" t="str">
        <f>raw_data!A111</f>
        <v>2011Q2</v>
      </c>
      <c r="B111" t="str">
        <f>raw_data!B111</f>
        <v>New South Wales</v>
      </c>
      <c r="C111" t="str">
        <f>raw_data!C111</f>
        <v>Construction</v>
      </c>
      <c r="D111">
        <f>raw_data!G111</f>
        <v>30.5</v>
      </c>
      <c r="E111">
        <f>raw_data!H111</f>
        <v>6.88</v>
      </c>
      <c r="F111">
        <f>raw_data!I111</f>
        <v>20.77</v>
      </c>
      <c r="G111">
        <f>raw_data!J111</f>
        <v>2.86</v>
      </c>
      <c r="H111" t="str">
        <f t="shared" si="1"/>
        <v>Wage Pressure</v>
      </c>
    </row>
    <row r="112" spans="1:8" x14ac:dyDescent="0.2">
      <c r="A112" t="str">
        <f>raw_data!A112</f>
        <v>2011Q2</v>
      </c>
      <c r="B112" t="str">
        <f>raw_data!B112</f>
        <v>New South Wales</v>
      </c>
      <c r="C112" t="str">
        <f>raw_data!C112</f>
        <v>Education and Training</v>
      </c>
      <c r="D112">
        <f>raw_data!G112</f>
        <v>21.24</v>
      </c>
      <c r="E112">
        <f>raw_data!H112</f>
        <v>0.37</v>
      </c>
      <c r="F112">
        <f>raw_data!I112</f>
        <v>20.190000000000001</v>
      </c>
      <c r="G112">
        <f>raw_data!J112</f>
        <v>0.68</v>
      </c>
      <c r="H112" t="str">
        <f t="shared" si="1"/>
        <v>Wage Pressure</v>
      </c>
    </row>
    <row r="113" spans="1:8" x14ac:dyDescent="0.2">
      <c r="A113" t="str">
        <f>raw_data!A113</f>
        <v>2011Q2</v>
      </c>
      <c r="B113" t="str">
        <f>raw_data!B113</f>
        <v>New South Wales</v>
      </c>
      <c r="C113" t="str">
        <f>raw_data!C113</f>
        <v>Health Care and Social Assistance</v>
      </c>
      <c r="D113">
        <f>raw_data!G113</f>
        <v>27.67</v>
      </c>
      <c r="E113">
        <f>raw_data!H113</f>
        <v>3.91</v>
      </c>
      <c r="F113">
        <f>raw_data!I113</f>
        <v>19.04</v>
      </c>
      <c r="G113">
        <f>raw_data!J113</f>
        <v>4.71</v>
      </c>
      <c r="H113" t="str">
        <f t="shared" si="1"/>
        <v>Wage Pressure</v>
      </c>
    </row>
    <row r="114" spans="1:8" x14ac:dyDescent="0.2">
      <c r="A114" t="str">
        <f>raw_data!A114</f>
        <v>2011Q2</v>
      </c>
      <c r="B114" t="str">
        <f>raw_data!B114</f>
        <v>New South Wales</v>
      </c>
      <c r="C114" t="str">
        <f>raw_data!C114</f>
        <v>Manufacturing</v>
      </c>
      <c r="D114">
        <f>raw_data!G114</f>
        <v>26.72</v>
      </c>
      <c r="E114">
        <f>raw_data!H114</f>
        <v>3.51</v>
      </c>
      <c r="F114">
        <f>raw_data!I114</f>
        <v>21.92</v>
      </c>
      <c r="G114">
        <f>raw_data!J114</f>
        <v>1.29</v>
      </c>
      <c r="H114" t="str">
        <f t="shared" si="1"/>
        <v>Wage Pressure</v>
      </c>
    </row>
    <row r="115" spans="1:8" x14ac:dyDescent="0.2">
      <c r="A115" t="str">
        <f>raw_data!A115</f>
        <v>2011Q2</v>
      </c>
      <c r="B115" t="str">
        <f>raw_data!B115</f>
        <v>New South Wales</v>
      </c>
      <c r="C115" t="str">
        <f>raw_data!C115</f>
        <v>Professional, Scientific and Technical Services</v>
      </c>
      <c r="D115">
        <f>raw_data!G115</f>
        <v>35.57</v>
      </c>
      <c r="E115">
        <f>raw_data!H115</f>
        <v>9.1</v>
      </c>
      <c r="F115">
        <f>raw_data!I115</f>
        <v>21.35</v>
      </c>
      <c r="G115">
        <f>raw_data!J115</f>
        <v>5.12</v>
      </c>
      <c r="H115" t="str">
        <f t="shared" si="1"/>
        <v>Wage Pressure</v>
      </c>
    </row>
    <row r="116" spans="1:8" x14ac:dyDescent="0.2">
      <c r="A116" t="str">
        <f>raw_data!A116</f>
        <v>2011Q2</v>
      </c>
      <c r="B116" t="str">
        <f>raw_data!B116</f>
        <v>Queensland</v>
      </c>
      <c r="C116" t="str">
        <f>raw_data!C116</f>
        <v>Accommodation and Food Services</v>
      </c>
      <c r="D116">
        <f>raw_data!G116</f>
        <v>25.96</v>
      </c>
      <c r="E116">
        <f>raw_data!H116</f>
        <v>9.06</v>
      </c>
      <c r="F116">
        <f>raw_data!I116</f>
        <v>15.58</v>
      </c>
      <c r="G116">
        <f>raw_data!J116</f>
        <v>1.33</v>
      </c>
      <c r="H116" t="str">
        <f t="shared" si="1"/>
        <v>Wage Pressure</v>
      </c>
    </row>
    <row r="117" spans="1:8" x14ac:dyDescent="0.2">
      <c r="A117" t="str">
        <f>raw_data!A117</f>
        <v>2011Q2</v>
      </c>
      <c r="B117" t="str">
        <f>raw_data!B117</f>
        <v>Queensland</v>
      </c>
      <c r="C117" t="str">
        <f>raw_data!C117</f>
        <v>Construction</v>
      </c>
      <c r="D117">
        <f>raw_data!G117</f>
        <v>31.76</v>
      </c>
      <c r="E117">
        <f>raw_data!H117</f>
        <v>8.76</v>
      </c>
      <c r="F117">
        <f>raw_data!I117</f>
        <v>20.77</v>
      </c>
      <c r="G117">
        <f>raw_data!J117</f>
        <v>2.23</v>
      </c>
      <c r="H117" t="str">
        <f t="shared" si="1"/>
        <v>Wage Pressure</v>
      </c>
    </row>
    <row r="118" spans="1:8" x14ac:dyDescent="0.2">
      <c r="A118" t="str">
        <f>raw_data!A118</f>
        <v>2011Q2</v>
      </c>
      <c r="B118" t="str">
        <f>raw_data!B118</f>
        <v>Queensland</v>
      </c>
      <c r="C118" t="str">
        <f>raw_data!C118</f>
        <v>Education and Training</v>
      </c>
      <c r="D118">
        <f>raw_data!G118</f>
        <v>22.62</v>
      </c>
      <c r="E118">
        <f>raw_data!H118</f>
        <v>1.1299999999999999</v>
      </c>
      <c r="F118">
        <f>raw_data!I118</f>
        <v>20.190000000000001</v>
      </c>
      <c r="G118">
        <f>raw_data!J118</f>
        <v>1.29</v>
      </c>
      <c r="H118" t="str">
        <f t="shared" si="1"/>
        <v>Wage Pressure</v>
      </c>
    </row>
    <row r="119" spans="1:8" x14ac:dyDescent="0.2">
      <c r="A119" t="str">
        <f>raw_data!A119</f>
        <v>2011Q2</v>
      </c>
      <c r="B119" t="str">
        <f>raw_data!B119</f>
        <v>Queensland</v>
      </c>
      <c r="C119" t="str">
        <f>raw_data!C119</f>
        <v>Health Care and Social Assistance</v>
      </c>
      <c r="D119">
        <f>raw_data!G119</f>
        <v>29.08</v>
      </c>
      <c r="E119">
        <f>raw_data!H119</f>
        <v>6</v>
      </c>
      <c r="F119">
        <f>raw_data!I119</f>
        <v>19.04</v>
      </c>
      <c r="G119">
        <f>raw_data!J119</f>
        <v>4.04</v>
      </c>
      <c r="H119" t="str">
        <f t="shared" si="1"/>
        <v>Wage Pressure</v>
      </c>
    </row>
    <row r="120" spans="1:8" x14ac:dyDescent="0.2">
      <c r="A120" t="str">
        <f>raw_data!A120</f>
        <v>2011Q2</v>
      </c>
      <c r="B120" t="str">
        <f>raw_data!B120</f>
        <v>Queensland</v>
      </c>
      <c r="C120" t="str">
        <f>raw_data!C120</f>
        <v>Manufacturing</v>
      </c>
      <c r="D120">
        <f>raw_data!G120</f>
        <v>29.59</v>
      </c>
      <c r="E120">
        <f>raw_data!H120</f>
        <v>6.19</v>
      </c>
      <c r="F120">
        <f>raw_data!I120</f>
        <v>21.92</v>
      </c>
      <c r="G120">
        <f>raw_data!J120</f>
        <v>1.48</v>
      </c>
      <c r="H120" t="str">
        <f t="shared" si="1"/>
        <v>Wage Pressure</v>
      </c>
    </row>
    <row r="121" spans="1:8" x14ac:dyDescent="0.2">
      <c r="A121" t="str">
        <f>raw_data!A121</f>
        <v>2011Q2</v>
      </c>
      <c r="B121" t="str">
        <f>raw_data!B121</f>
        <v>Queensland</v>
      </c>
      <c r="C121" t="str">
        <f>raw_data!C121</f>
        <v>Professional, Scientific and Technical Services</v>
      </c>
      <c r="D121">
        <f>raw_data!G121</f>
        <v>48.26</v>
      </c>
      <c r="E121">
        <f>raw_data!H121</f>
        <v>17.399999999999999</v>
      </c>
      <c r="F121">
        <f>raw_data!I121</f>
        <v>21.35</v>
      </c>
      <c r="G121">
        <f>raw_data!J121</f>
        <v>9.51</v>
      </c>
      <c r="H121" t="str">
        <f t="shared" si="1"/>
        <v>Wage Pressure</v>
      </c>
    </row>
    <row r="122" spans="1:8" x14ac:dyDescent="0.2">
      <c r="A122" t="str">
        <f>raw_data!A122</f>
        <v>2011Q2</v>
      </c>
      <c r="B122" t="str">
        <f>raw_data!B122</f>
        <v>Victoria</v>
      </c>
      <c r="C122" t="str">
        <f>raw_data!C122</f>
        <v>Accommodation and Food Services</v>
      </c>
      <c r="D122">
        <f>raw_data!G122</f>
        <v>25.81</v>
      </c>
      <c r="E122">
        <f>raw_data!H122</f>
        <v>8.02</v>
      </c>
      <c r="F122">
        <f>raw_data!I122</f>
        <v>15.58</v>
      </c>
      <c r="G122">
        <f>raw_data!J122</f>
        <v>2.21</v>
      </c>
      <c r="H122" t="str">
        <f t="shared" si="1"/>
        <v>Wage Pressure</v>
      </c>
    </row>
    <row r="123" spans="1:8" x14ac:dyDescent="0.2">
      <c r="A123" t="str">
        <f>raw_data!A123</f>
        <v>2011Q2</v>
      </c>
      <c r="B123" t="str">
        <f>raw_data!B123</f>
        <v>Victoria</v>
      </c>
      <c r="C123" t="str">
        <f>raw_data!C123</f>
        <v>Construction</v>
      </c>
      <c r="D123">
        <f>raw_data!G123</f>
        <v>32.159999999999997</v>
      </c>
      <c r="E123">
        <f>raw_data!H123</f>
        <v>7.91</v>
      </c>
      <c r="F123">
        <f>raw_data!I123</f>
        <v>20.77</v>
      </c>
      <c r="G123">
        <f>raw_data!J123</f>
        <v>3.48</v>
      </c>
      <c r="H123" t="str">
        <f t="shared" si="1"/>
        <v>Wage Pressure</v>
      </c>
    </row>
    <row r="124" spans="1:8" x14ac:dyDescent="0.2">
      <c r="A124" t="str">
        <f>raw_data!A124</f>
        <v>2011Q2</v>
      </c>
      <c r="B124" t="str">
        <f>raw_data!B124</f>
        <v>Victoria</v>
      </c>
      <c r="C124" t="str">
        <f>raw_data!C124</f>
        <v>Education and Training</v>
      </c>
      <c r="D124">
        <f>raw_data!G124</f>
        <v>23.57</v>
      </c>
      <c r="E124">
        <f>raw_data!H124</f>
        <v>0.64</v>
      </c>
      <c r="F124">
        <f>raw_data!I124</f>
        <v>20.190000000000001</v>
      </c>
      <c r="G124">
        <f>raw_data!J124</f>
        <v>2.74</v>
      </c>
      <c r="H124" t="str">
        <f t="shared" si="1"/>
        <v>Wage Pressure</v>
      </c>
    </row>
    <row r="125" spans="1:8" x14ac:dyDescent="0.2">
      <c r="A125" t="str">
        <f>raw_data!A125</f>
        <v>2011Q2</v>
      </c>
      <c r="B125" t="str">
        <f>raw_data!B125</f>
        <v>Victoria</v>
      </c>
      <c r="C125" t="str">
        <f>raw_data!C125</f>
        <v>Health Care and Social Assistance</v>
      </c>
      <c r="D125">
        <f>raw_data!G125</f>
        <v>26.99</v>
      </c>
      <c r="E125">
        <f>raw_data!H125</f>
        <v>4.72</v>
      </c>
      <c r="F125">
        <f>raw_data!I125</f>
        <v>19.04</v>
      </c>
      <c r="G125">
        <f>raw_data!J125</f>
        <v>3.24</v>
      </c>
      <c r="H125" t="str">
        <f t="shared" si="1"/>
        <v>Wage Pressure</v>
      </c>
    </row>
    <row r="126" spans="1:8" x14ac:dyDescent="0.2">
      <c r="A126" t="str">
        <f>raw_data!A126</f>
        <v>2011Q2</v>
      </c>
      <c r="B126" t="str">
        <f>raw_data!B126</f>
        <v>Victoria</v>
      </c>
      <c r="C126" t="str">
        <f>raw_data!C126</f>
        <v>Manufacturing</v>
      </c>
      <c r="D126">
        <f>raw_data!G126</f>
        <v>26.83</v>
      </c>
      <c r="E126">
        <f>raw_data!H126</f>
        <v>3.19</v>
      </c>
      <c r="F126">
        <f>raw_data!I126</f>
        <v>21.92</v>
      </c>
      <c r="G126">
        <f>raw_data!J126</f>
        <v>1.71</v>
      </c>
      <c r="H126" t="str">
        <f t="shared" si="1"/>
        <v>Wage Pressure</v>
      </c>
    </row>
    <row r="127" spans="1:8" x14ac:dyDescent="0.2">
      <c r="A127" t="str">
        <f>raw_data!A127</f>
        <v>2011Q2</v>
      </c>
      <c r="B127" t="str">
        <f>raw_data!B127</f>
        <v>Victoria</v>
      </c>
      <c r="C127" t="str">
        <f>raw_data!C127</f>
        <v>Professional, Scientific and Technical Services</v>
      </c>
      <c r="D127">
        <f>raw_data!G127</f>
        <v>46.43</v>
      </c>
      <c r="E127">
        <f>raw_data!H127</f>
        <v>12.04</v>
      </c>
      <c r="F127">
        <f>raw_data!I127</f>
        <v>21.35</v>
      </c>
      <c r="G127">
        <f>raw_data!J127</f>
        <v>13.05</v>
      </c>
      <c r="H127" t="str">
        <f t="shared" si="1"/>
        <v>Wage Pressure</v>
      </c>
    </row>
    <row r="128" spans="1:8" x14ac:dyDescent="0.2">
      <c r="A128" t="str">
        <f>raw_data!A128</f>
        <v>2011Q3</v>
      </c>
      <c r="B128" t="str">
        <f>raw_data!B128</f>
        <v>New South Wales</v>
      </c>
      <c r="C128" t="str">
        <f>raw_data!C128</f>
        <v>Accommodation and Food Services</v>
      </c>
      <c r="D128">
        <f>raw_data!G128</f>
        <v>22.62</v>
      </c>
      <c r="E128">
        <f>raw_data!H128</f>
        <v>5.59</v>
      </c>
      <c r="F128">
        <f>raw_data!I128</f>
        <v>16.149999999999999</v>
      </c>
      <c r="G128">
        <f>raw_data!J128</f>
        <v>0.87</v>
      </c>
      <c r="H128" t="str">
        <f t="shared" si="1"/>
        <v>Wage Pressure</v>
      </c>
    </row>
    <row r="129" spans="1:8" x14ac:dyDescent="0.2">
      <c r="A129" t="str">
        <f>raw_data!A129</f>
        <v>2011Q3</v>
      </c>
      <c r="B129" t="str">
        <f>raw_data!B129</f>
        <v>New South Wales</v>
      </c>
      <c r="C129" t="str">
        <f>raw_data!C129</f>
        <v>Construction</v>
      </c>
      <c r="D129">
        <f>raw_data!G129</f>
        <v>33.53</v>
      </c>
      <c r="E129">
        <f>raw_data!H129</f>
        <v>9.0299999999999994</v>
      </c>
      <c r="F129">
        <f>raw_data!I129</f>
        <v>20.77</v>
      </c>
      <c r="G129">
        <f>raw_data!J129</f>
        <v>3.73</v>
      </c>
      <c r="H129" t="str">
        <f t="shared" si="1"/>
        <v>Wage Pressure</v>
      </c>
    </row>
    <row r="130" spans="1:8" x14ac:dyDescent="0.2">
      <c r="A130" t="str">
        <f>raw_data!A130</f>
        <v>2011Q3</v>
      </c>
      <c r="B130" t="str">
        <f>raw_data!B130</f>
        <v>New South Wales</v>
      </c>
      <c r="C130" t="str">
        <f>raw_data!C130</f>
        <v>Education and Training</v>
      </c>
      <c r="D130">
        <f>raw_data!G130</f>
        <v>22.93</v>
      </c>
      <c r="E130">
        <f>raw_data!H130</f>
        <v>0.91</v>
      </c>
      <c r="F130">
        <f>raw_data!I130</f>
        <v>20.77</v>
      </c>
      <c r="G130">
        <f>raw_data!J130</f>
        <v>1.25</v>
      </c>
      <c r="H130" t="str">
        <f t="shared" si="1"/>
        <v>Wage Pressure</v>
      </c>
    </row>
    <row r="131" spans="1:8" x14ac:dyDescent="0.2">
      <c r="A131" t="str">
        <f>raw_data!A131</f>
        <v>2011Q3</v>
      </c>
      <c r="B131" t="str">
        <f>raw_data!B131</f>
        <v>New South Wales</v>
      </c>
      <c r="C131" t="str">
        <f>raw_data!C131</f>
        <v>Health Care and Social Assistance</v>
      </c>
      <c r="D131">
        <f>raw_data!G131</f>
        <v>22.44</v>
      </c>
      <c r="E131">
        <f>raw_data!H131</f>
        <v>3.23</v>
      </c>
      <c r="F131">
        <f>raw_data!I131</f>
        <v>16.149999999999999</v>
      </c>
      <c r="G131">
        <f>raw_data!J131</f>
        <v>3.05</v>
      </c>
      <c r="H131" t="str">
        <f t="shared" ref="H131:H194" si="2">IF(AND(E131&gt;=F131,E131&gt;=G131),"Vacancy Intensity",IF(F131&gt;=G131,"Wage Pressure","Labour Tightness"))</f>
        <v>Wage Pressure</v>
      </c>
    </row>
    <row r="132" spans="1:8" x14ac:dyDescent="0.2">
      <c r="A132" t="str">
        <f>raw_data!A132</f>
        <v>2011Q3</v>
      </c>
      <c r="B132" t="str">
        <f>raw_data!B132</f>
        <v>New South Wales</v>
      </c>
      <c r="C132" t="str">
        <f>raw_data!C132</f>
        <v>Manufacturing</v>
      </c>
      <c r="D132">
        <f>raw_data!G132</f>
        <v>24.02</v>
      </c>
      <c r="E132">
        <f>raw_data!H132</f>
        <v>3.54</v>
      </c>
      <c r="F132">
        <f>raw_data!I132</f>
        <v>19.04</v>
      </c>
      <c r="G132">
        <f>raw_data!J132</f>
        <v>1.45</v>
      </c>
      <c r="H132" t="str">
        <f t="shared" si="2"/>
        <v>Wage Pressure</v>
      </c>
    </row>
    <row r="133" spans="1:8" x14ac:dyDescent="0.2">
      <c r="A133" t="str">
        <f>raw_data!A133</f>
        <v>2011Q3</v>
      </c>
      <c r="B133" t="str">
        <f>raw_data!B133</f>
        <v>New South Wales</v>
      </c>
      <c r="C133" t="str">
        <f>raw_data!C133</f>
        <v>Professional, Scientific and Technical Services</v>
      </c>
      <c r="D133">
        <f>raw_data!G133</f>
        <v>33.11</v>
      </c>
      <c r="E133">
        <f>raw_data!H133</f>
        <v>7.38</v>
      </c>
      <c r="F133">
        <f>raw_data!I133</f>
        <v>21.92</v>
      </c>
      <c r="G133">
        <f>raw_data!J133</f>
        <v>3.81</v>
      </c>
      <c r="H133" t="str">
        <f t="shared" si="2"/>
        <v>Wage Pressure</v>
      </c>
    </row>
    <row r="134" spans="1:8" x14ac:dyDescent="0.2">
      <c r="A134" t="str">
        <f>raw_data!A134</f>
        <v>2011Q3</v>
      </c>
      <c r="B134" t="str">
        <f>raw_data!B134</f>
        <v>Queensland</v>
      </c>
      <c r="C134" t="str">
        <f>raw_data!C134</f>
        <v>Accommodation and Food Services</v>
      </c>
      <c r="D134">
        <f>raw_data!G134</f>
        <v>26.55</v>
      </c>
      <c r="E134">
        <f>raw_data!H134</f>
        <v>8.5399999999999991</v>
      </c>
      <c r="F134">
        <f>raw_data!I134</f>
        <v>16.149999999999999</v>
      </c>
      <c r="G134">
        <f>raw_data!J134</f>
        <v>1.85</v>
      </c>
      <c r="H134" t="str">
        <f t="shared" si="2"/>
        <v>Wage Pressure</v>
      </c>
    </row>
    <row r="135" spans="1:8" x14ac:dyDescent="0.2">
      <c r="A135" t="str">
        <f>raw_data!A135</f>
        <v>2011Q3</v>
      </c>
      <c r="B135" t="str">
        <f>raw_data!B135</f>
        <v>Queensland</v>
      </c>
      <c r="C135" t="str">
        <f>raw_data!C135</f>
        <v>Construction</v>
      </c>
      <c r="D135">
        <f>raw_data!G135</f>
        <v>34.950000000000003</v>
      </c>
      <c r="E135">
        <f>raw_data!H135</f>
        <v>11.4</v>
      </c>
      <c r="F135">
        <f>raw_data!I135</f>
        <v>20.77</v>
      </c>
      <c r="G135">
        <f>raw_data!J135</f>
        <v>2.78</v>
      </c>
      <c r="H135" t="str">
        <f t="shared" si="2"/>
        <v>Wage Pressure</v>
      </c>
    </row>
    <row r="136" spans="1:8" x14ac:dyDescent="0.2">
      <c r="A136" t="str">
        <f>raw_data!A136</f>
        <v>2011Q3</v>
      </c>
      <c r="B136" t="str">
        <f>raw_data!B136</f>
        <v>Queensland</v>
      </c>
      <c r="C136" t="str">
        <f>raw_data!C136</f>
        <v>Education and Training</v>
      </c>
      <c r="D136">
        <f>raw_data!G136</f>
        <v>26.81</v>
      </c>
      <c r="E136">
        <f>raw_data!H136</f>
        <v>1.76</v>
      </c>
      <c r="F136">
        <f>raw_data!I136</f>
        <v>20.77</v>
      </c>
      <c r="G136">
        <f>raw_data!J136</f>
        <v>4.28</v>
      </c>
      <c r="H136" t="str">
        <f t="shared" si="2"/>
        <v>Wage Pressure</v>
      </c>
    </row>
    <row r="137" spans="1:8" x14ac:dyDescent="0.2">
      <c r="A137" t="str">
        <f>raw_data!A137</f>
        <v>2011Q3</v>
      </c>
      <c r="B137" t="str">
        <f>raw_data!B137</f>
        <v>Queensland</v>
      </c>
      <c r="C137" t="str">
        <f>raw_data!C137</f>
        <v>Health Care and Social Assistance</v>
      </c>
      <c r="D137">
        <f>raw_data!G137</f>
        <v>24.68</v>
      </c>
      <c r="E137">
        <f>raw_data!H137</f>
        <v>5.81</v>
      </c>
      <c r="F137">
        <f>raw_data!I137</f>
        <v>16.149999999999999</v>
      </c>
      <c r="G137">
        <f>raw_data!J137</f>
        <v>2.71</v>
      </c>
      <c r="H137" t="str">
        <f t="shared" si="2"/>
        <v>Wage Pressure</v>
      </c>
    </row>
    <row r="138" spans="1:8" x14ac:dyDescent="0.2">
      <c r="A138" t="str">
        <f>raw_data!A138</f>
        <v>2011Q3</v>
      </c>
      <c r="B138" t="str">
        <f>raw_data!B138</f>
        <v>Queensland</v>
      </c>
      <c r="C138" t="str">
        <f>raw_data!C138</f>
        <v>Manufacturing</v>
      </c>
      <c r="D138">
        <f>raw_data!G138</f>
        <v>26.76</v>
      </c>
      <c r="E138">
        <f>raw_data!H138</f>
        <v>5.55</v>
      </c>
      <c r="F138">
        <f>raw_data!I138</f>
        <v>19.04</v>
      </c>
      <c r="G138">
        <f>raw_data!J138</f>
        <v>2.17</v>
      </c>
      <c r="H138" t="str">
        <f t="shared" si="2"/>
        <v>Wage Pressure</v>
      </c>
    </row>
    <row r="139" spans="1:8" x14ac:dyDescent="0.2">
      <c r="A139" t="str">
        <f>raw_data!A139</f>
        <v>2011Q3</v>
      </c>
      <c r="B139" t="str">
        <f>raw_data!B139</f>
        <v>Queensland</v>
      </c>
      <c r="C139" t="str">
        <f>raw_data!C139</f>
        <v>Professional, Scientific and Technical Services</v>
      </c>
      <c r="D139">
        <f>raw_data!G139</f>
        <v>44.68</v>
      </c>
      <c r="E139">
        <f>raw_data!H139</f>
        <v>15.63</v>
      </c>
      <c r="F139">
        <f>raw_data!I139</f>
        <v>21.92</v>
      </c>
      <c r="G139">
        <f>raw_data!J139</f>
        <v>7.12</v>
      </c>
      <c r="H139" t="str">
        <f t="shared" si="2"/>
        <v>Wage Pressure</v>
      </c>
    </row>
    <row r="140" spans="1:8" x14ac:dyDescent="0.2">
      <c r="A140" t="str">
        <f>raw_data!A140</f>
        <v>2011Q3</v>
      </c>
      <c r="B140" t="str">
        <f>raw_data!B140</f>
        <v>Victoria</v>
      </c>
      <c r="C140" t="str">
        <f>raw_data!C140</f>
        <v>Accommodation and Food Services</v>
      </c>
      <c r="D140">
        <f>raw_data!G140</f>
        <v>25.01</v>
      </c>
      <c r="E140">
        <f>raw_data!H140</f>
        <v>6.87</v>
      </c>
      <c r="F140">
        <f>raw_data!I140</f>
        <v>16.149999999999999</v>
      </c>
      <c r="G140">
        <f>raw_data!J140</f>
        <v>1.98</v>
      </c>
      <c r="H140" t="str">
        <f t="shared" si="2"/>
        <v>Wage Pressure</v>
      </c>
    </row>
    <row r="141" spans="1:8" x14ac:dyDescent="0.2">
      <c r="A141" t="str">
        <f>raw_data!A141</f>
        <v>2011Q3</v>
      </c>
      <c r="B141" t="str">
        <f>raw_data!B141</f>
        <v>Victoria</v>
      </c>
      <c r="C141" t="str">
        <f>raw_data!C141</f>
        <v>Construction</v>
      </c>
      <c r="D141">
        <f>raw_data!G141</f>
        <v>35.42</v>
      </c>
      <c r="E141">
        <f>raw_data!H141</f>
        <v>9.89</v>
      </c>
      <c r="F141">
        <f>raw_data!I141</f>
        <v>20.77</v>
      </c>
      <c r="G141">
        <f>raw_data!J141</f>
        <v>4.76</v>
      </c>
      <c r="H141" t="str">
        <f t="shared" si="2"/>
        <v>Wage Pressure</v>
      </c>
    </row>
    <row r="142" spans="1:8" x14ac:dyDescent="0.2">
      <c r="A142" t="str">
        <f>raw_data!A142</f>
        <v>2011Q3</v>
      </c>
      <c r="B142" t="str">
        <f>raw_data!B142</f>
        <v>Victoria</v>
      </c>
      <c r="C142" t="str">
        <f>raw_data!C142</f>
        <v>Education and Training</v>
      </c>
      <c r="D142">
        <f>raw_data!G142</f>
        <v>23.96</v>
      </c>
      <c r="E142">
        <f>raw_data!H142</f>
        <v>1.24</v>
      </c>
      <c r="F142">
        <f>raw_data!I142</f>
        <v>20.77</v>
      </c>
      <c r="G142">
        <f>raw_data!J142</f>
        <v>1.95</v>
      </c>
      <c r="H142" t="str">
        <f t="shared" si="2"/>
        <v>Wage Pressure</v>
      </c>
    </row>
    <row r="143" spans="1:8" x14ac:dyDescent="0.2">
      <c r="A143" t="str">
        <f>raw_data!A143</f>
        <v>2011Q3</v>
      </c>
      <c r="B143" t="str">
        <f>raw_data!B143</f>
        <v>Victoria</v>
      </c>
      <c r="C143" t="str">
        <f>raw_data!C143</f>
        <v>Health Care and Social Assistance</v>
      </c>
      <c r="D143">
        <f>raw_data!G143</f>
        <v>25.3</v>
      </c>
      <c r="E143">
        <f>raw_data!H143</f>
        <v>4.3</v>
      </c>
      <c r="F143">
        <f>raw_data!I143</f>
        <v>16.149999999999999</v>
      </c>
      <c r="G143">
        <f>raw_data!J143</f>
        <v>4.84</v>
      </c>
      <c r="H143" t="str">
        <f t="shared" si="2"/>
        <v>Wage Pressure</v>
      </c>
    </row>
    <row r="144" spans="1:8" x14ac:dyDescent="0.2">
      <c r="A144" t="str">
        <f>raw_data!A144</f>
        <v>2011Q3</v>
      </c>
      <c r="B144" t="str">
        <f>raw_data!B144</f>
        <v>Victoria</v>
      </c>
      <c r="C144" t="str">
        <f>raw_data!C144</f>
        <v>Manufacturing</v>
      </c>
      <c r="D144">
        <f>raw_data!G144</f>
        <v>23.52</v>
      </c>
      <c r="E144">
        <f>raw_data!H144</f>
        <v>3.26</v>
      </c>
      <c r="F144">
        <f>raw_data!I144</f>
        <v>19.04</v>
      </c>
      <c r="G144">
        <f>raw_data!J144</f>
        <v>1.22</v>
      </c>
      <c r="H144" t="str">
        <f t="shared" si="2"/>
        <v>Wage Pressure</v>
      </c>
    </row>
    <row r="145" spans="1:8" x14ac:dyDescent="0.2">
      <c r="A145" t="str">
        <f>raw_data!A145</f>
        <v>2011Q3</v>
      </c>
      <c r="B145" t="str">
        <f>raw_data!B145</f>
        <v>Victoria</v>
      </c>
      <c r="C145" t="str">
        <f>raw_data!C145</f>
        <v>Professional, Scientific and Technical Services</v>
      </c>
      <c r="D145">
        <f>raw_data!G145</f>
        <v>45.31</v>
      </c>
      <c r="E145">
        <f>raw_data!H145</f>
        <v>9.69</v>
      </c>
      <c r="F145">
        <f>raw_data!I145</f>
        <v>21.92</v>
      </c>
      <c r="G145">
        <f>raw_data!J145</f>
        <v>13.69</v>
      </c>
      <c r="H145" t="str">
        <f t="shared" si="2"/>
        <v>Wage Pressure</v>
      </c>
    </row>
    <row r="146" spans="1:8" x14ac:dyDescent="0.2">
      <c r="A146" t="str">
        <f>raw_data!A146</f>
        <v>2011Q4</v>
      </c>
      <c r="B146" t="str">
        <f>raw_data!B146</f>
        <v>New South Wales</v>
      </c>
      <c r="C146" t="str">
        <f>raw_data!C146</f>
        <v>Accommodation and Food Services</v>
      </c>
      <c r="D146">
        <f>raw_data!G146</f>
        <v>32.31</v>
      </c>
      <c r="E146">
        <f>raw_data!H146</f>
        <v>10.53</v>
      </c>
      <c r="F146">
        <f>raw_data!I146</f>
        <v>20.190000000000001</v>
      </c>
      <c r="G146">
        <f>raw_data!J146</f>
        <v>1.59</v>
      </c>
      <c r="H146" t="str">
        <f t="shared" si="2"/>
        <v>Wage Pressure</v>
      </c>
    </row>
    <row r="147" spans="1:8" x14ac:dyDescent="0.2">
      <c r="A147" t="str">
        <f>raw_data!A147</f>
        <v>2011Q4</v>
      </c>
      <c r="B147" t="str">
        <f>raw_data!B147</f>
        <v>New South Wales</v>
      </c>
      <c r="C147" t="str">
        <f>raw_data!C147</f>
        <v>Construction</v>
      </c>
      <c r="D147">
        <f>raw_data!G147</f>
        <v>27.43</v>
      </c>
      <c r="E147">
        <f>raw_data!H147</f>
        <v>4.4800000000000004</v>
      </c>
      <c r="F147">
        <f>raw_data!I147</f>
        <v>21.35</v>
      </c>
      <c r="G147">
        <f>raw_data!J147</f>
        <v>1.61</v>
      </c>
      <c r="H147" t="str">
        <f t="shared" si="2"/>
        <v>Wage Pressure</v>
      </c>
    </row>
    <row r="148" spans="1:8" x14ac:dyDescent="0.2">
      <c r="A148" t="str">
        <f>raw_data!A148</f>
        <v>2011Q4</v>
      </c>
      <c r="B148" t="str">
        <f>raw_data!B148</f>
        <v>New South Wales</v>
      </c>
      <c r="C148" t="str">
        <f>raw_data!C148</f>
        <v>Education and Training</v>
      </c>
      <c r="D148">
        <f>raw_data!G148</f>
        <v>22.17</v>
      </c>
      <c r="E148">
        <f>raw_data!H148</f>
        <v>1.19</v>
      </c>
      <c r="F148">
        <f>raw_data!I148</f>
        <v>19.04</v>
      </c>
      <c r="G148">
        <f>raw_data!J148</f>
        <v>1.94</v>
      </c>
      <c r="H148" t="str">
        <f t="shared" si="2"/>
        <v>Wage Pressure</v>
      </c>
    </row>
    <row r="149" spans="1:8" x14ac:dyDescent="0.2">
      <c r="A149" t="str">
        <f>raw_data!A149</f>
        <v>2011Q4</v>
      </c>
      <c r="B149" t="str">
        <f>raw_data!B149</f>
        <v>New South Wales</v>
      </c>
      <c r="C149" t="str">
        <f>raw_data!C149</f>
        <v>Health Care and Social Assistance</v>
      </c>
      <c r="D149">
        <f>raw_data!G149</f>
        <v>21.6</v>
      </c>
      <c r="E149">
        <f>raw_data!H149</f>
        <v>2.57</v>
      </c>
      <c r="F149">
        <f>raw_data!I149</f>
        <v>15.58</v>
      </c>
      <c r="G149">
        <f>raw_data!J149</f>
        <v>3.45</v>
      </c>
      <c r="H149" t="str">
        <f t="shared" si="2"/>
        <v>Wage Pressure</v>
      </c>
    </row>
    <row r="150" spans="1:8" x14ac:dyDescent="0.2">
      <c r="A150" t="str">
        <f>raw_data!A150</f>
        <v>2011Q4</v>
      </c>
      <c r="B150" t="str">
        <f>raw_data!B150</f>
        <v>New South Wales</v>
      </c>
      <c r="C150" t="str">
        <f>raw_data!C150</f>
        <v>Manufacturing</v>
      </c>
      <c r="D150">
        <f>raw_data!G150</f>
        <v>24.74</v>
      </c>
      <c r="E150">
        <f>raw_data!H150</f>
        <v>3.62</v>
      </c>
      <c r="F150">
        <f>raw_data!I150</f>
        <v>19.62</v>
      </c>
      <c r="G150">
        <f>raw_data!J150</f>
        <v>1.51</v>
      </c>
      <c r="H150" t="str">
        <f t="shared" si="2"/>
        <v>Wage Pressure</v>
      </c>
    </row>
    <row r="151" spans="1:8" x14ac:dyDescent="0.2">
      <c r="A151" t="str">
        <f>raw_data!A151</f>
        <v>2011Q4</v>
      </c>
      <c r="B151" t="str">
        <f>raw_data!B151</f>
        <v>New South Wales</v>
      </c>
      <c r="C151" t="str">
        <f>raw_data!C151</f>
        <v>Professional, Scientific and Technical Services</v>
      </c>
      <c r="D151">
        <f>raw_data!G151</f>
        <v>37.090000000000003</v>
      </c>
      <c r="E151">
        <f>raw_data!H151</f>
        <v>7.81</v>
      </c>
      <c r="F151">
        <f>raw_data!I151</f>
        <v>25.38</v>
      </c>
      <c r="G151">
        <f>raw_data!J151</f>
        <v>3.89</v>
      </c>
      <c r="H151" t="str">
        <f t="shared" si="2"/>
        <v>Wage Pressure</v>
      </c>
    </row>
    <row r="152" spans="1:8" x14ac:dyDescent="0.2">
      <c r="A152" t="str">
        <f>raw_data!A152</f>
        <v>2011Q4</v>
      </c>
      <c r="B152" t="str">
        <f>raw_data!B152</f>
        <v>Queensland</v>
      </c>
      <c r="C152" t="str">
        <f>raw_data!C152</f>
        <v>Accommodation and Food Services</v>
      </c>
      <c r="D152">
        <f>raw_data!G152</f>
        <v>38.78</v>
      </c>
      <c r="E152">
        <f>raw_data!H152</f>
        <v>16.43</v>
      </c>
      <c r="F152">
        <f>raw_data!I152</f>
        <v>20.190000000000001</v>
      </c>
      <c r="G152">
        <f>raw_data!J152</f>
        <v>2.15</v>
      </c>
      <c r="H152" t="str">
        <f t="shared" si="2"/>
        <v>Wage Pressure</v>
      </c>
    </row>
    <row r="153" spans="1:8" x14ac:dyDescent="0.2">
      <c r="A153" t="str">
        <f>raw_data!A153</f>
        <v>2011Q4</v>
      </c>
      <c r="B153" t="str">
        <f>raw_data!B153</f>
        <v>Queensland</v>
      </c>
      <c r="C153" t="str">
        <f>raw_data!C153</f>
        <v>Construction</v>
      </c>
      <c r="D153">
        <f>raw_data!G153</f>
        <v>29.73</v>
      </c>
      <c r="E153">
        <f>raw_data!H153</f>
        <v>6</v>
      </c>
      <c r="F153">
        <f>raw_data!I153</f>
        <v>21.35</v>
      </c>
      <c r="G153">
        <f>raw_data!J153</f>
        <v>2.39</v>
      </c>
      <c r="H153" t="str">
        <f t="shared" si="2"/>
        <v>Wage Pressure</v>
      </c>
    </row>
    <row r="154" spans="1:8" x14ac:dyDescent="0.2">
      <c r="A154" t="str">
        <f>raw_data!A154</f>
        <v>2011Q4</v>
      </c>
      <c r="B154" t="str">
        <f>raw_data!B154</f>
        <v>Queensland</v>
      </c>
      <c r="C154" t="str">
        <f>raw_data!C154</f>
        <v>Education and Training</v>
      </c>
      <c r="D154">
        <f>raw_data!G154</f>
        <v>23.35</v>
      </c>
      <c r="E154">
        <f>raw_data!H154</f>
        <v>2.1</v>
      </c>
      <c r="F154">
        <f>raw_data!I154</f>
        <v>19.04</v>
      </c>
      <c r="G154">
        <f>raw_data!J154</f>
        <v>2.21</v>
      </c>
      <c r="H154" t="str">
        <f t="shared" si="2"/>
        <v>Wage Pressure</v>
      </c>
    </row>
    <row r="155" spans="1:8" x14ac:dyDescent="0.2">
      <c r="A155" t="str">
        <f>raw_data!A155</f>
        <v>2011Q4</v>
      </c>
      <c r="B155" t="str">
        <f>raw_data!B155</f>
        <v>Queensland</v>
      </c>
      <c r="C155" t="str">
        <f>raw_data!C155</f>
        <v>Health Care and Social Assistance</v>
      </c>
      <c r="D155">
        <f>raw_data!G155</f>
        <v>22.73</v>
      </c>
      <c r="E155">
        <f>raw_data!H155</f>
        <v>4.47</v>
      </c>
      <c r="F155">
        <f>raw_data!I155</f>
        <v>15.58</v>
      </c>
      <c r="G155">
        <f>raw_data!J155</f>
        <v>2.69</v>
      </c>
      <c r="H155" t="str">
        <f t="shared" si="2"/>
        <v>Wage Pressure</v>
      </c>
    </row>
    <row r="156" spans="1:8" x14ac:dyDescent="0.2">
      <c r="A156" t="str">
        <f>raw_data!A156</f>
        <v>2011Q4</v>
      </c>
      <c r="B156" t="str">
        <f>raw_data!B156</f>
        <v>Queensland</v>
      </c>
      <c r="C156" t="str">
        <f>raw_data!C156</f>
        <v>Manufacturing</v>
      </c>
      <c r="D156">
        <f>raw_data!G156</f>
        <v>28.03</v>
      </c>
      <c r="E156">
        <f>raw_data!H156</f>
        <v>6.28</v>
      </c>
      <c r="F156">
        <f>raw_data!I156</f>
        <v>19.62</v>
      </c>
      <c r="G156">
        <f>raw_data!J156</f>
        <v>2.14</v>
      </c>
      <c r="H156" t="str">
        <f t="shared" si="2"/>
        <v>Wage Pressure</v>
      </c>
    </row>
    <row r="157" spans="1:8" x14ac:dyDescent="0.2">
      <c r="A157" t="str">
        <f>raw_data!A157</f>
        <v>2011Q4</v>
      </c>
      <c r="B157" t="str">
        <f>raw_data!B157</f>
        <v>Queensland</v>
      </c>
      <c r="C157" t="str">
        <f>raw_data!C157</f>
        <v>Professional, Scientific and Technical Services</v>
      </c>
      <c r="D157">
        <f>raw_data!G157</f>
        <v>50.42</v>
      </c>
      <c r="E157">
        <f>raw_data!H157</f>
        <v>17.18</v>
      </c>
      <c r="F157">
        <f>raw_data!I157</f>
        <v>25.38</v>
      </c>
      <c r="G157">
        <f>raw_data!J157</f>
        <v>7.85</v>
      </c>
      <c r="H157" t="str">
        <f t="shared" si="2"/>
        <v>Wage Pressure</v>
      </c>
    </row>
    <row r="158" spans="1:8" x14ac:dyDescent="0.2">
      <c r="A158" t="str">
        <f>raw_data!A158</f>
        <v>2011Q4</v>
      </c>
      <c r="B158" t="str">
        <f>raw_data!B158</f>
        <v>Victoria</v>
      </c>
      <c r="C158" t="str">
        <f>raw_data!C158</f>
        <v>Accommodation and Food Services</v>
      </c>
      <c r="D158">
        <f>raw_data!G158</f>
        <v>37.43</v>
      </c>
      <c r="E158">
        <f>raw_data!H158</f>
        <v>14.13</v>
      </c>
      <c r="F158">
        <f>raw_data!I158</f>
        <v>20.190000000000001</v>
      </c>
      <c r="G158">
        <f>raw_data!J158</f>
        <v>3.11</v>
      </c>
      <c r="H158" t="str">
        <f t="shared" si="2"/>
        <v>Wage Pressure</v>
      </c>
    </row>
    <row r="159" spans="1:8" x14ac:dyDescent="0.2">
      <c r="A159" t="str">
        <f>raw_data!A159</f>
        <v>2011Q4</v>
      </c>
      <c r="B159" t="str">
        <f>raw_data!B159</f>
        <v>Victoria</v>
      </c>
      <c r="C159" t="str">
        <f>raw_data!C159</f>
        <v>Construction</v>
      </c>
      <c r="D159">
        <f>raw_data!G159</f>
        <v>29.37</v>
      </c>
      <c r="E159">
        <f>raw_data!H159</f>
        <v>5.14</v>
      </c>
      <c r="F159">
        <f>raw_data!I159</f>
        <v>21.35</v>
      </c>
      <c r="G159">
        <f>raw_data!J159</f>
        <v>2.89</v>
      </c>
      <c r="H159" t="str">
        <f t="shared" si="2"/>
        <v>Wage Pressure</v>
      </c>
    </row>
    <row r="160" spans="1:8" x14ac:dyDescent="0.2">
      <c r="A160" t="str">
        <f>raw_data!A160</f>
        <v>2011Q4</v>
      </c>
      <c r="B160" t="str">
        <f>raw_data!B160</f>
        <v>Victoria</v>
      </c>
      <c r="C160" t="str">
        <f>raw_data!C160</f>
        <v>Education and Training</v>
      </c>
      <c r="D160">
        <f>raw_data!G160</f>
        <v>22.68</v>
      </c>
      <c r="E160">
        <f>raw_data!H160</f>
        <v>1.53</v>
      </c>
      <c r="F160">
        <f>raw_data!I160</f>
        <v>19.04</v>
      </c>
      <c r="G160">
        <f>raw_data!J160</f>
        <v>2.1</v>
      </c>
      <c r="H160" t="str">
        <f t="shared" si="2"/>
        <v>Wage Pressure</v>
      </c>
    </row>
    <row r="161" spans="1:8" x14ac:dyDescent="0.2">
      <c r="A161" t="str">
        <f>raw_data!A161</f>
        <v>2011Q4</v>
      </c>
      <c r="B161" t="str">
        <f>raw_data!B161</f>
        <v>Victoria</v>
      </c>
      <c r="C161" t="str">
        <f>raw_data!C161</f>
        <v>Health Care and Social Assistance</v>
      </c>
      <c r="D161">
        <f>raw_data!G161</f>
        <v>22.46</v>
      </c>
      <c r="E161">
        <f>raw_data!H161</f>
        <v>3.62</v>
      </c>
      <c r="F161">
        <f>raw_data!I161</f>
        <v>15.58</v>
      </c>
      <c r="G161">
        <f>raw_data!J161</f>
        <v>3.26</v>
      </c>
      <c r="H161" t="str">
        <f t="shared" si="2"/>
        <v>Wage Pressure</v>
      </c>
    </row>
    <row r="162" spans="1:8" x14ac:dyDescent="0.2">
      <c r="A162" t="str">
        <f>raw_data!A162</f>
        <v>2011Q4</v>
      </c>
      <c r="B162" t="str">
        <f>raw_data!B162</f>
        <v>Victoria</v>
      </c>
      <c r="C162" t="str">
        <f>raw_data!C162</f>
        <v>Manufacturing</v>
      </c>
      <c r="D162">
        <f>raw_data!G162</f>
        <v>24.73</v>
      </c>
      <c r="E162">
        <f>raw_data!H162</f>
        <v>3.45</v>
      </c>
      <c r="F162">
        <f>raw_data!I162</f>
        <v>19.62</v>
      </c>
      <c r="G162">
        <f>raw_data!J162</f>
        <v>1.66</v>
      </c>
      <c r="H162" t="str">
        <f t="shared" si="2"/>
        <v>Wage Pressure</v>
      </c>
    </row>
    <row r="163" spans="1:8" x14ac:dyDescent="0.2">
      <c r="A163" t="str">
        <f>raw_data!A163</f>
        <v>2011Q4</v>
      </c>
      <c r="B163" t="str">
        <f>raw_data!B163</f>
        <v>Victoria</v>
      </c>
      <c r="C163" t="str">
        <f>raw_data!C163</f>
        <v>Professional, Scientific and Technical Services</v>
      </c>
      <c r="D163">
        <f>raw_data!G163</f>
        <v>43.59</v>
      </c>
      <c r="E163">
        <f>raw_data!H163</f>
        <v>10.97</v>
      </c>
      <c r="F163">
        <f>raw_data!I163</f>
        <v>25.38</v>
      </c>
      <c r="G163">
        <f>raw_data!J163</f>
        <v>7.23</v>
      </c>
      <c r="H163" t="str">
        <f t="shared" si="2"/>
        <v>Wage Pressure</v>
      </c>
    </row>
    <row r="164" spans="1:8" x14ac:dyDescent="0.2">
      <c r="A164" t="str">
        <f>raw_data!A164</f>
        <v>2012Q1</v>
      </c>
      <c r="B164" t="str">
        <f>raw_data!B164</f>
        <v>New South Wales</v>
      </c>
      <c r="C164" t="str">
        <f>raw_data!C164</f>
        <v>Accommodation and Food Services</v>
      </c>
      <c r="D164">
        <f>raw_data!G164</f>
        <v>28.02</v>
      </c>
      <c r="E164">
        <f>raw_data!H164</f>
        <v>9.1199999999999992</v>
      </c>
      <c r="F164">
        <f>raw_data!I164</f>
        <v>17.88</v>
      </c>
      <c r="G164">
        <f>raw_data!J164</f>
        <v>1.02</v>
      </c>
      <c r="H164" t="str">
        <f t="shared" si="2"/>
        <v>Wage Pressure</v>
      </c>
    </row>
    <row r="165" spans="1:8" x14ac:dyDescent="0.2">
      <c r="A165" t="str">
        <f>raw_data!A165</f>
        <v>2012Q1</v>
      </c>
      <c r="B165" t="str">
        <f>raw_data!B165</f>
        <v>New South Wales</v>
      </c>
      <c r="C165" t="str">
        <f>raw_data!C165</f>
        <v>Construction</v>
      </c>
      <c r="D165">
        <f>raw_data!G165</f>
        <v>29.63</v>
      </c>
      <c r="E165">
        <f>raw_data!H165</f>
        <v>5.35</v>
      </c>
      <c r="F165">
        <f>raw_data!I165</f>
        <v>22.5</v>
      </c>
      <c r="G165">
        <f>raw_data!J165</f>
        <v>1.78</v>
      </c>
      <c r="H165" t="str">
        <f t="shared" si="2"/>
        <v>Wage Pressure</v>
      </c>
    </row>
    <row r="166" spans="1:8" x14ac:dyDescent="0.2">
      <c r="A166" t="str">
        <f>raw_data!A166</f>
        <v>2012Q1</v>
      </c>
      <c r="B166" t="str">
        <f>raw_data!B166</f>
        <v>New South Wales</v>
      </c>
      <c r="C166" t="str">
        <f>raw_data!C166</f>
        <v>Education and Training</v>
      </c>
      <c r="D166">
        <f>raw_data!G166</f>
        <v>20.38</v>
      </c>
      <c r="E166">
        <f>raw_data!H166</f>
        <v>0.64</v>
      </c>
      <c r="F166">
        <f>raw_data!I166</f>
        <v>19.04</v>
      </c>
      <c r="G166">
        <f>raw_data!J166</f>
        <v>0.7</v>
      </c>
      <c r="H166" t="str">
        <f t="shared" si="2"/>
        <v>Wage Pressure</v>
      </c>
    </row>
    <row r="167" spans="1:8" x14ac:dyDescent="0.2">
      <c r="A167" t="str">
        <f>raw_data!A167</f>
        <v>2012Q1</v>
      </c>
      <c r="B167" t="str">
        <f>raw_data!B167</f>
        <v>New South Wales</v>
      </c>
      <c r="C167" t="str">
        <f>raw_data!C167</f>
        <v>Health Care and Social Assistance</v>
      </c>
      <c r="D167">
        <f>raw_data!G167</f>
        <v>20.56</v>
      </c>
      <c r="E167">
        <f>raw_data!H167</f>
        <v>2.87</v>
      </c>
      <c r="F167">
        <f>raw_data!I167</f>
        <v>15.58</v>
      </c>
      <c r="G167">
        <f>raw_data!J167</f>
        <v>2.12</v>
      </c>
      <c r="H167" t="str">
        <f t="shared" si="2"/>
        <v>Wage Pressure</v>
      </c>
    </row>
    <row r="168" spans="1:8" x14ac:dyDescent="0.2">
      <c r="A168" t="str">
        <f>raw_data!A168</f>
        <v>2012Q1</v>
      </c>
      <c r="B168" t="str">
        <f>raw_data!B168</f>
        <v>New South Wales</v>
      </c>
      <c r="C168" t="str">
        <f>raw_data!C168</f>
        <v>Manufacturing</v>
      </c>
      <c r="D168">
        <f>raw_data!G168</f>
        <v>25.63</v>
      </c>
      <c r="E168">
        <f>raw_data!H168</f>
        <v>4.0199999999999996</v>
      </c>
      <c r="F168">
        <f>raw_data!I168</f>
        <v>20.190000000000001</v>
      </c>
      <c r="G168">
        <f>raw_data!J168</f>
        <v>1.41</v>
      </c>
      <c r="H168" t="str">
        <f t="shared" si="2"/>
        <v>Wage Pressure</v>
      </c>
    </row>
    <row r="169" spans="1:8" x14ac:dyDescent="0.2">
      <c r="A169" t="str">
        <f>raw_data!A169</f>
        <v>2012Q1</v>
      </c>
      <c r="B169" t="str">
        <f>raw_data!B169</f>
        <v>New South Wales</v>
      </c>
      <c r="C169" t="str">
        <f>raw_data!C169</f>
        <v>Professional, Scientific and Technical Services</v>
      </c>
      <c r="D169">
        <f>raw_data!G169</f>
        <v>33.369999999999997</v>
      </c>
      <c r="E169">
        <f>raw_data!H169</f>
        <v>7.27</v>
      </c>
      <c r="F169">
        <f>raw_data!I169</f>
        <v>23.08</v>
      </c>
      <c r="G169">
        <f>raw_data!J169</f>
        <v>3.02</v>
      </c>
      <c r="H169" t="str">
        <f t="shared" si="2"/>
        <v>Wage Pressure</v>
      </c>
    </row>
    <row r="170" spans="1:8" x14ac:dyDescent="0.2">
      <c r="A170" t="str">
        <f>raw_data!A170</f>
        <v>2012Q1</v>
      </c>
      <c r="B170" t="str">
        <f>raw_data!B170</f>
        <v>Queensland</v>
      </c>
      <c r="C170" t="str">
        <f>raw_data!C170</f>
        <v>Accommodation and Food Services</v>
      </c>
      <c r="D170">
        <f>raw_data!G170</f>
        <v>34.43</v>
      </c>
      <c r="E170">
        <f>raw_data!H170</f>
        <v>14.54</v>
      </c>
      <c r="F170">
        <f>raw_data!I170</f>
        <v>17.88</v>
      </c>
      <c r="G170">
        <f>raw_data!J170</f>
        <v>2.0099999999999998</v>
      </c>
      <c r="H170" t="str">
        <f t="shared" si="2"/>
        <v>Wage Pressure</v>
      </c>
    </row>
    <row r="171" spans="1:8" x14ac:dyDescent="0.2">
      <c r="A171" t="str">
        <f>raw_data!A171</f>
        <v>2012Q1</v>
      </c>
      <c r="B171" t="str">
        <f>raw_data!B171</f>
        <v>Queensland</v>
      </c>
      <c r="C171" t="str">
        <f>raw_data!C171</f>
        <v>Construction</v>
      </c>
      <c r="D171">
        <f>raw_data!G171</f>
        <v>31.68</v>
      </c>
      <c r="E171">
        <f>raw_data!H171</f>
        <v>7.42</v>
      </c>
      <c r="F171">
        <f>raw_data!I171</f>
        <v>22.5</v>
      </c>
      <c r="G171">
        <f>raw_data!J171</f>
        <v>1.76</v>
      </c>
      <c r="H171" t="str">
        <f t="shared" si="2"/>
        <v>Wage Pressure</v>
      </c>
    </row>
    <row r="172" spans="1:8" x14ac:dyDescent="0.2">
      <c r="A172" t="str">
        <f>raw_data!A172</f>
        <v>2012Q1</v>
      </c>
      <c r="B172" t="str">
        <f>raw_data!B172</f>
        <v>Queensland</v>
      </c>
      <c r="C172" t="str">
        <f>raw_data!C172</f>
        <v>Education and Training</v>
      </c>
      <c r="D172">
        <f>raw_data!G172</f>
        <v>21.12</v>
      </c>
      <c r="E172">
        <f>raw_data!H172</f>
        <v>1.1200000000000001</v>
      </c>
      <c r="F172">
        <f>raw_data!I172</f>
        <v>19.04</v>
      </c>
      <c r="G172">
        <f>raw_data!J172</f>
        <v>0.96</v>
      </c>
      <c r="H172" t="str">
        <f t="shared" si="2"/>
        <v>Wage Pressure</v>
      </c>
    </row>
    <row r="173" spans="1:8" x14ac:dyDescent="0.2">
      <c r="A173" t="str">
        <f>raw_data!A173</f>
        <v>2012Q1</v>
      </c>
      <c r="B173" t="str">
        <f>raw_data!B173</f>
        <v>Queensland</v>
      </c>
      <c r="C173" t="str">
        <f>raw_data!C173</f>
        <v>Health Care and Social Assistance</v>
      </c>
      <c r="D173">
        <f>raw_data!G173</f>
        <v>22.13</v>
      </c>
      <c r="E173">
        <f>raw_data!H173</f>
        <v>4.78</v>
      </c>
      <c r="F173">
        <f>raw_data!I173</f>
        <v>15.58</v>
      </c>
      <c r="G173">
        <f>raw_data!J173</f>
        <v>1.77</v>
      </c>
      <c r="H173" t="str">
        <f t="shared" si="2"/>
        <v>Wage Pressure</v>
      </c>
    </row>
    <row r="174" spans="1:8" x14ac:dyDescent="0.2">
      <c r="A174" t="str">
        <f>raw_data!A174</f>
        <v>2012Q1</v>
      </c>
      <c r="B174" t="str">
        <f>raw_data!B174</f>
        <v>Queensland</v>
      </c>
      <c r="C174" t="str">
        <f>raw_data!C174</f>
        <v>Manufacturing</v>
      </c>
      <c r="D174">
        <f>raw_data!G174</f>
        <v>29.28</v>
      </c>
      <c r="E174">
        <f>raw_data!H174</f>
        <v>7.14</v>
      </c>
      <c r="F174">
        <f>raw_data!I174</f>
        <v>20.190000000000001</v>
      </c>
      <c r="G174">
        <f>raw_data!J174</f>
        <v>1.94</v>
      </c>
      <c r="H174" t="str">
        <f t="shared" si="2"/>
        <v>Wage Pressure</v>
      </c>
    </row>
    <row r="175" spans="1:8" x14ac:dyDescent="0.2">
      <c r="A175" t="str">
        <f>raw_data!A175</f>
        <v>2012Q1</v>
      </c>
      <c r="B175" t="str">
        <f>raw_data!B175</f>
        <v>Queensland</v>
      </c>
      <c r="C175" t="str">
        <f>raw_data!C175</f>
        <v>Professional, Scientific and Technical Services</v>
      </c>
      <c r="D175">
        <f>raw_data!G175</f>
        <v>45.07</v>
      </c>
      <c r="E175">
        <f>raw_data!H175</f>
        <v>17.09</v>
      </c>
      <c r="F175">
        <f>raw_data!I175</f>
        <v>23.08</v>
      </c>
      <c r="G175">
        <f>raw_data!J175</f>
        <v>4.9000000000000004</v>
      </c>
      <c r="H175" t="str">
        <f t="shared" si="2"/>
        <v>Wage Pressure</v>
      </c>
    </row>
    <row r="176" spans="1:8" x14ac:dyDescent="0.2">
      <c r="A176" t="str">
        <f>raw_data!A176</f>
        <v>2012Q1</v>
      </c>
      <c r="B176" t="str">
        <f>raw_data!B176</f>
        <v>Victoria</v>
      </c>
      <c r="C176" t="str">
        <f>raw_data!C176</f>
        <v>Accommodation and Food Services</v>
      </c>
      <c r="D176">
        <f>raw_data!G176</f>
        <v>30.78</v>
      </c>
      <c r="E176">
        <f>raw_data!H176</f>
        <v>11.09</v>
      </c>
      <c r="F176">
        <f>raw_data!I176</f>
        <v>17.88</v>
      </c>
      <c r="G176">
        <f>raw_data!J176</f>
        <v>1.81</v>
      </c>
      <c r="H176" t="str">
        <f t="shared" si="2"/>
        <v>Wage Pressure</v>
      </c>
    </row>
    <row r="177" spans="1:8" x14ac:dyDescent="0.2">
      <c r="A177" t="str">
        <f>raw_data!A177</f>
        <v>2012Q1</v>
      </c>
      <c r="B177" t="str">
        <f>raw_data!B177</f>
        <v>Victoria</v>
      </c>
      <c r="C177" t="str">
        <f>raw_data!C177</f>
        <v>Construction</v>
      </c>
      <c r="D177">
        <f>raw_data!G177</f>
        <v>31.39</v>
      </c>
      <c r="E177">
        <f>raw_data!H177</f>
        <v>6.93</v>
      </c>
      <c r="F177">
        <f>raw_data!I177</f>
        <v>22.5</v>
      </c>
      <c r="G177">
        <f>raw_data!J177</f>
        <v>1.97</v>
      </c>
      <c r="H177" t="str">
        <f t="shared" si="2"/>
        <v>Wage Pressure</v>
      </c>
    </row>
    <row r="178" spans="1:8" x14ac:dyDescent="0.2">
      <c r="A178" t="str">
        <f>raw_data!A178</f>
        <v>2012Q1</v>
      </c>
      <c r="B178" t="str">
        <f>raw_data!B178</f>
        <v>Victoria</v>
      </c>
      <c r="C178" t="str">
        <f>raw_data!C178</f>
        <v>Education and Training</v>
      </c>
      <c r="D178">
        <f>raw_data!G178</f>
        <v>20.45</v>
      </c>
      <c r="E178">
        <f>raw_data!H178</f>
        <v>0.75</v>
      </c>
      <c r="F178">
        <f>raw_data!I178</f>
        <v>19.04</v>
      </c>
      <c r="G178">
        <f>raw_data!J178</f>
        <v>0.66</v>
      </c>
      <c r="H178" t="str">
        <f t="shared" si="2"/>
        <v>Wage Pressure</v>
      </c>
    </row>
    <row r="179" spans="1:8" x14ac:dyDescent="0.2">
      <c r="A179" t="str">
        <f>raw_data!A179</f>
        <v>2012Q1</v>
      </c>
      <c r="B179" t="str">
        <f>raw_data!B179</f>
        <v>Victoria</v>
      </c>
      <c r="C179" t="str">
        <f>raw_data!C179</f>
        <v>Health Care and Social Assistance</v>
      </c>
      <c r="D179">
        <f>raw_data!G179</f>
        <v>22.05</v>
      </c>
      <c r="E179">
        <f>raw_data!H179</f>
        <v>3.82</v>
      </c>
      <c r="F179">
        <f>raw_data!I179</f>
        <v>15.58</v>
      </c>
      <c r="G179">
        <f>raw_data!J179</f>
        <v>2.66</v>
      </c>
      <c r="H179" t="str">
        <f t="shared" si="2"/>
        <v>Wage Pressure</v>
      </c>
    </row>
    <row r="180" spans="1:8" x14ac:dyDescent="0.2">
      <c r="A180" t="str">
        <f>raw_data!A180</f>
        <v>2012Q1</v>
      </c>
      <c r="B180" t="str">
        <f>raw_data!B180</f>
        <v>Victoria</v>
      </c>
      <c r="C180" t="str">
        <f>raw_data!C180</f>
        <v>Manufacturing</v>
      </c>
      <c r="D180">
        <f>raw_data!G180</f>
        <v>25.19</v>
      </c>
      <c r="E180">
        <f>raw_data!H180</f>
        <v>3.66</v>
      </c>
      <c r="F180">
        <f>raw_data!I180</f>
        <v>20.190000000000001</v>
      </c>
      <c r="G180">
        <f>raw_data!J180</f>
        <v>1.33</v>
      </c>
      <c r="H180" t="str">
        <f t="shared" si="2"/>
        <v>Wage Pressure</v>
      </c>
    </row>
    <row r="181" spans="1:8" x14ac:dyDescent="0.2">
      <c r="A181" t="str">
        <f>raw_data!A181</f>
        <v>2012Q1</v>
      </c>
      <c r="B181" t="str">
        <f>raw_data!B181</f>
        <v>Victoria</v>
      </c>
      <c r="C181" t="str">
        <f>raw_data!C181</f>
        <v>Professional, Scientific and Technical Services</v>
      </c>
      <c r="D181">
        <f>raw_data!G181</f>
        <v>37.270000000000003</v>
      </c>
      <c r="E181">
        <f>raw_data!H181</f>
        <v>9.61</v>
      </c>
      <c r="F181">
        <f>raw_data!I181</f>
        <v>23.08</v>
      </c>
      <c r="G181">
        <f>raw_data!J181</f>
        <v>4.58</v>
      </c>
      <c r="H181" t="str">
        <f t="shared" si="2"/>
        <v>Wage Pressure</v>
      </c>
    </row>
    <row r="182" spans="1:8" x14ac:dyDescent="0.2">
      <c r="A182" t="str">
        <f>raw_data!A182</f>
        <v>2012Q2</v>
      </c>
      <c r="B182" t="str">
        <f>raw_data!B182</f>
        <v>New South Wales</v>
      </c>
      <c r="C182" t="str">
        <f>raw_data!C182</f>
        <v>Accommodation and Food Services</v>
      </c>
      <c r="D182">
        <f>raw_data!G182</f>
        <v>26.01</v>
      </c>
      <c r="E182">
        <f>raw_data!H182</f>
        <v>6.79</v>
      </c>
      <c r="F182">
        <f>raw_data!I182</f>
        <v>17.88</v>
      </c>
      <c r="G182">
        <f>raw_data!J182</f>
        <v>1.33</v>
      </c>
      <c r="H182" t="str">
        <f t="shared" si="2"/>
        <v>Wage Pressure</v>
      </c>
    </row>
    <row r="183" spans="1:8" x14ac:dyDescent="0.2">
      <c r="A183" t="str">
        <f>raw_data!A183</f>
        <v>2012Q2</v>
      </c>
      <c r="B183" t="str">
        <f>raw_data!B183</f>
        <v>New South Wales</v>
      </c>
      <c r="C183" t="str">
        <f>raw_data!C183</f>
        <v>Construction</v>
      </c>
      <c r="D183">
        <f>raw_data!G183</f>
        <v>31.55</v>
      </c>
      <c r="E183">
        <f>raw_data!H183</f>
        <v>6.83</v>
      </c>
      <c r="F183">
        <f>raw_data!I183</f>
        <v>22.5</v>
      </c>
      <c r="G183">
        <f>raw_data!J183</f>
        <v>2.21</v>
      </c>
      <c r="H183" t="str">
        <f t="shared" si="2"/>
        <v>Wage Pressure</v>
      </c>
    </row>
    <row r="184" spans="1:8" x14ac:dyDescent="0.2">
      <c r="A184" t="str">
        <f>raw_data!A184</f>
        <v>2012Q2</v>
      </c>
      <c r="B184" t="str">
        <f>raw_data!B184</f>
        <v>New South Wales</v>
      </c>
      <c r="C184" t="str">
        <f>raw_data!C184</f>
        <v>Education and Training</v>
      </c>
      <c r="D184">
        <f>raw_data!G184</f>
        <v>23.46</v>
      </c>
      <c r="E184">
        <f>raw_data!H184</f>
        <v>1</v>
      </c>
      <c r="F184">
        <f>raw_data!I184</f>
        <v>19.04</v>
      </c>
      <c r="G184">
        <f>raw_data!J184</f>
        <v>3.42</v>
      </c>
      <c r="H184" t="str">
        <f t="shared" si="2"/>
        <v>Wage Pressure</v>
      </c>
    </row>
    <row r="185" spans="1:8" x14ac:dyDescent="0.2">
      <c r="A185" t="str">
        <f>raw_data!A185</f>
        <v>2012Q2</v>
      </c>
      <c r="B185" t="str">
        <f>raw_data!B185</f>
        <v>New South Wales</v>
      </c>
      <c r="C185" t="str">
        <f>raw_data!C185</f>
        <v>Health Care and Social Assistance</v>
      </c>
      <c r="D185">
        <f>raw_data!G185</f>
        <v>18.12</v>
      </c>
      <c r="E185">
        <f>raw_data!H185</f>
        <v>2.62</v>
      </c>
      <c r="F185">
        <f>raw_data!I185</f>
        <v>13.27</v>
      </c>
      <c r="G185">
        <f>raw_data!J185</f>
        <v>2.23</v>
      </c>
      <c r="H185" t="str">
        <f t="shared" si="2"/>
        <v>Wage Pressure</v>
      </c>
    </row>
    <row r="186" spans="1:8" x14ac:dyDescent="0.2">
      <c r="A186" t="str">
        <f>raw_data!A186</f>
        <v>2012Q2</v>
      </c>
      <c r="B186" t="str">
        <f>raw_data!B186</f>
        <v>New South Wales</v>
      </c>
      <c r="C186" t="str">
        <f>raw_data!C186</f>
        <v>Manufacturing</v>
      </c>
      <c r="D186">
        <f>raw_data!G186</f>
        <v>25.88</v>
      </c>
      <c r="E186">
        <f>raw_data!H186</f>
        <v>4.37</v>
      </c>
      <c r="F186">
        <f>raw_data!I186</f>
        <v>20.190000000000001</v>
      </c>
      <c r="G186">
        <f>raw_data!J186</f>
        <v>1.32</v>
      </c>
      <c r="H186" t="str">
        <f t="shared" si="2"/>
        <v>Wage Pressure</v>
      </c>
    </row>
    <row r="187" spans="1:8" x14ac:dyDescent="0.2">
      <c r="A187" t="str">
        <f>raw_data!A187</f>
        <v>2012Q2</v>
      </c>
      <c r="B187" t="str">
        <f>raw_data!B187</f>
        <v>New South Wales</v>
      </c>
      <c r="C187" t="str">
        <f>raw_data!C187</f>
        <v>Professional, Scientific and Technical Services</v>
      </c>
      <c r="D187">
        <f>raw_data!G187</f>
        <v>35.020000000000003</v>
      </c>
      <c r="E187">
        <f>raw_data!H187</f>
        <v>6.14</v>
      </c>
      <c r="F187">
        <f>raw_data!I187</f>
        <v>24.23</v>
      </c>
      <c r="G187">
        <f>raw_data!J187</f>
        <v>4.6500000000000004</v>
      </c>
      <c r="H187" t="str">
        <f t="shared" si="2"/>
        <v>Wage Pressure</v>
      </c>
    </row>
    <row r="188" spans="1:8" x14ac:dyDescent="0.2">
      <c r="A188" t="str">
        <f>raw_data!A188</f>
        <v>2012Q2</v>
      </c>
      <c r="B188" t="str">
        <f>raw_data!B188</f>
        <v>Queensland</v>
      </c>
      <c r="C188" t="str">
        <f>raw_data!C188</f>
        <v>Accommodation and Food Services</v>
      </c>
      <c r="D188">
        <f>raw_data!G188</f>
        <v>30.19</v>
      </c>
      <c r="E188">
        <f>raw_data!H188</f>
        <v>10.86</v>
      </c>
      <c r="F188">
        <f>raw_data!I188</f>
        <v>17.88</v>
      </c>
      <c r="G188">
        <f>raw_data!J188</f>
        <v>1.44</v>
      </c>
      <c r="H188" t="str">
        <f t="shared" si="2"/>
        <v>Wage Pressure</v>
      </c>
    </row>
    <row r="189" spans="1:8" x14ac:dyDescent="0.2">
      <c r="A189" t="str">
        <f>raw_data!A189</f>
        <v>2012Q2</v>
      </c>
      <c r="B189" t="str">
        <f>raw_data!B189</f>
        <v>Queensland</v>
      </c>
      <c r="C189" t="str">
        <f>raw_data!C189</f>
        <v>Construction</v>
      </c>
      <c r="D189">
        <f>raw_data!G189</f>
        <v>34.840000000000003</v>
      </c>
      <c r="E189">
        <f>raw_data!H189</f>
        <v>9.98</v>
      </c>
      <c r="F189">
        <f>raw_data!I189</f>
        <v>22.5</v>
      </c>
      <c r="G189">
        <f>raw_data!J189</f>
        <v>2.37</v>
      </c>
      <c r="H189" t="str">
        <f t="shared" si="2"/>
        <v>Wage Pressure</v>
      </c>
    </row>
    <row r="190" spans="1:8" x14ac:dyDescent="0.2">
      <c r="A190" t="str">
        <f>raw_data!A190</f>
        <v>2012Q2</v>
      </c>
      <c r="B190" t="str">
        <f>raw_data!B190</f>
        <v>Queensland</v>
      </c>
      <c r="C190" t="str">
        <f>raw_data!C190</f>
        <v>Education and Training</v>
      </c>
      <c r="D190">
        <f>raw_data!G190</f>
        <v>21.89</v>
      </c>
      <c r="E190">
        <f>raw_data!H190</f>
        <v>2.06</v>
      </c>
      <c r="F190">
        <f>raw_data!I190</f>
        <v>19.04</v>
      </c>
      <c r="G190">
        <f>raw_data!J190</f>
        <v>0.78</v>
      </c>
      <c r="H190" t="str">
        <f t="shared" si="2"/>
        <v>Wage Pressure</v>
      </c>
    </row>
    <row r="191" spans="1:8" x14ac:dyDescent="0.2">
      <c r="A191" t="str">
        <f>raw_data!A191</f>
        <v>2012Q2</v>
      </c>
      <c r="B191" t="str">
        <f>raw_data!B191</f>
        <v>Queensland</v>
      </c>
      <c r="C191" t="str">
        <f>raw_data!C191</f>
        <v>Health Care and Social Assistance</v>
      </c>
      <c r="D191">
        <f>raw_data!G191</f>
        <v>20.85</v>
      </c>
      <c r="E191">
        <f>raw_data!H191</f>
        <v>4.41</v>
      </c>
      <c r="F191">
        <f>raw_data!I191</f>
        <v>13.27</v>
      </c>
      <c r="G191">
        <f>raw_data!J191</f>
        <v>3.17</v>
      </c>
      <c r="H191" t="str">
        <f t="shared" si="2"/>
        <v>Wage Pressure</v>
      </c>
    </row>
    <row r="192" spans="1:8" x14ac:dyDescent="0.2">
      <c r="A192" t="str">
        <f>raw_data!A192</f>
        <v>2012Q2</v>
      </c>
      <c r="B192" t="str">
        <f>raw_data!B192</f>
        <v>Queensland</v>
      </c>
      <c r="C192" t="str">
        <f>raw_data!C192</f>
        <v>Manufacturing</v>
      </c>
      <c r="D192">
        <f>raw_data!G192</f>
        <v>30.38</v>
      </c>
      <c r="E192">
        <f>raw_data!H192</f>
        <v>7.43</v>
      </c>
      <c r="F192">
        <f>raw_data!I192</f>
        <v>20.190000000000001</v>
      </c>
      <c r="G192">
        <f>raw_data!J192</f>
        <v>2.76</v>
      </c>
      <c r="H192" t="str">
        <f t="shared" si="2"/>
        <v>Wage Pressure</v>
      </c>
    </row>
    <row r="193" spans="1:8" x14ac:dyDescent="0.2">
      <c r="A193" t="str">
        <f>raw_data!A193</f>
        <v>2012Q2</v>
      </c>
      <c r="B193" t="str">
        <f>raw_data!B193</f>
        <v>Queensland</v>
      </c>
      <c r="C193" t="str">
        <f>raw_data!C193</f>
        <v>Professional, Scientific and Technical Services</v>
      </c>
      <c r="D193">
        <f>raw_data!G193</f>
        <v>43.2</v>
      </c>
      <c r="E193">
        <f>raw_data!H193</f>
        <v>13.7</v>
      </c>
      <c r="F193">
        <f>raw_data!I193</f>
        <v>24.23</v>
      </c>
      <c r="G193">
        <f>raw_data!J193</f>
        <v>5.27</v>
      </c>
      <c r="H193" t="str">
        <f t="shared" si="2"/>
        <v>Wage Pressure</v>
      </c>
    </row>
    <row r="194" spans="1:8" x14ac:dyDescent="0.2">
      <c r="A194" t="str">
        <f>raw_data!A194</f>
        <v>2012Q2</v>
      </c>
      <c r="B194" t="str">
        <f>raw_data!B194</f>
        <v>Victoria</v>
      </c>
      <c r="C194" t="str">
        <f>raw_data!C194</f>
        <v>Accommodation and Food Services</v>
      </c>
      <c r="D194">
        <f>raw_data!G194</f>
        <v>26.98</v>
      </c>
      <c r="E194">
        <f>raw_data!H194</f>
        <v>7.55</v>
      </c>
      <c r="F194">
        <f>raw_data!I194</f>
        <v>17.88</v>
      </c>
      <c r="G194">
        <f>raw_data!J194</f>
        <v>1.55</v>
      </c>
      <c r="H194" t="str">
        <f t="shared" si="2"/>
        <v>Wage Pressure</v>
      </c>
    </row>
    <row r="195" spans="1:8" x14ac:dyDescent="0.2">
      <c r="A195" t="str">
        <f>raw_data!A195</f>
        <v>2012Q2</v>
      </c>
      <c r="B195" t="str">
        <f>raw_data!B195</f>
        <v>Victoria</v>
      </c>
      <c r="C195" t="str">
        <f>raw_data!C195</f>
        <v>Construction</v>
      </c>
      <c r="D195">
        <f>raw_data!G195</f>
        <v>34.049999999999997</v>
      </c>
      <c r="E195">
        <f>raw_data!H195</f>
        <v>9.06</v>
      </c>
      <c r="F195">
        <f>raw_data!I195</f>
        <v>22.5</v>
      </c>
      <c r="G195">
        <f>raw_data!J195</f>
        <v>2.4900000000000002</v>
      </c>
      <c r="H195" t="str">
        <f t="shared" ref="H195:H258" si="3">IF(AND(E195&gt;=F195,E195&gt;=G195),"Vacancy Intensity",IF(F195&gt;=G195,"Wage Pressure","Labour Tightness"))</f>
        <v>Wage Pressure</v>
      </c>
    </row>
    <row r="196" spans="1:8" x14ac:dyDescent="0.2">
      <c r="A196" t="str">
        <f>raw_data!A196</f>
        <v>2012Q2</v>
      </c>
      <c r="B196" t="str">
        <f>raw_data!B196</f>
        <v>Victoria</v>
      </c>
      <c r="C196" t="str">
        <f>raw_data!C196</f>
        <v>Education and Training</v>
      </c>
      <c r="D196">
        <f>raw_data!G196</f>
        <v>23.06</v>
      </c>
      <c r="E196">
        <f>raw_data!H196</f>
        <v>1.28</v>
      </c>
      <c r="F196">
        <f>raw_data!I196</f>
        <v>19.04</v>
      </c>
      <c r="G196">
        <f>raw_data!J196</f>
        <v>2.75</v>
      </c>
      <c r="H196" t="str">
        <f t="shared" si="3"/>
        <v>Wage Pressure</v>
      </c>
    </row>
    <row r="197" spans="1:8" x14ac:dyDescent="0.2">
      <c r="A197" t="str">
        <f>raw_data!A197</f>
        <v>2012Q2</v>
      </c>
      <c r="B197" t="str">
        <f>raw_data!B197</f>
        <v>Victoria</v>
      </c>
      <c r="C197" t="str">
        <f>raw_data!C197</f>
        <v>Health Care and Social Assistance</v>
      </c>
      <c r="D197">
        <f>raw_data!G197</f>
        <v>21.31</v>
      </c>
      <c r="E197">
        <f>raw_data!H197</f>
        <v>3.89</v>
      </c>
      <c r="F197">
        <f>raw_data!I197</f>
        <v>13.27</v>
      </c>
      <c r="G197">
        <f>raw_data!J197</f>
        <v>4.1500000000000004</v>
      </c>
      <c r="H197" t="str">
        <f t="shared" si="3"/>
        <v>Wage Pressure</v>
      </c>
    </row>
    <row r="198" spans="1:8" x14ac:dyDescent="0.2">
      <c r="A198" t="str">
        <f>raw_data!A198</f>
        <v>2012Q2</v>
      </c>
      <c r="B198" t="str">
        <f>raw_data!B198</f>
        <v>Victoria</v>
      </c>
      <c r="C198" t="str">
        <f>raw_data!C198</f>
        <v>Manufacturing</v>
      </c>
      <c r="D198">
        <f>raw_data!G198</f>
        <v>24.97</v>
      </c>
      <c r="E198">
        <f>raw_data!H198</f>
        <v>3.66</v>
      </c>
      <c r="F198">
        <f>raw_data!I198</f>
        <v>20.190000000000001</v>
      </c>
      <c r="G198">
        <f>raw_data!J198</f>
        <v>1.1200000000000001</v>
      </c>
      <c r="H198" t="str">
        <f t="shared" si="3"/>
        <v>Wage Pressure</v>
      </c>
    </row>
    <row r="199" spans="1:8" x14ac:dyDescent="0.2">
      <c r="A199" t="str">
        <f>raw_data!A199</f>
        <v>2012Q2</v>
      </c>
      <c r="B199" t="str">
        <f>raw_data!B199</f>
        <v>Victoria</v>
      </c>
      <c r="C199" t="str">
        <f>raw_data!C199</f>
        <v>Professional, Scientific and Technical Services</v>
      </c>
      <c r="D199">
        <f>raw_data!G199</f>
        <v>40.97</v>
      </c>
      <c r="E199">
        <f>raw_data!H199</f>
        <v>8.5399999999999991</v>
      </c>
      <c r="F199">
        <f>raw_data!I199</f>
        <v>24.23</v>
      </c>
      <c r="G199">
        <f>raw_data!J199</f>
        <v>8.2100000000000009</v>
      </c>
      <c r="H199" t="str">
        <f t="shared" si="3"/>
        <v>Wage Pressure</v>
      </c>
    </row>
    <row r="200" spans="1:8" x14ac:dyDescent="0.2">
      <c r="A200" t="str">
        <f>raw_data!A200</f>
        <v>2012Q3</v>
      </c>
      <c r="B200" t="str">
        <f>raw_data!B200</f>
        <v>New South Wales</v>
      </c>
      <c r="C200" t="str">
        <f>raw_data!C200</f>
        <v>Accommodation and Food Services</v>
      </c>
      <c r="D200">
        <f>raw_data!G200</f>
        <v>23.17</v>
      </c>
      <c r="E200">
        <f>raw_data!H200</f>
        <v>7.04</v>
      </c>
      <c r="F200">
        <f>raw_data!I200</f>
        <v>15</v>
      </c>
      <c r="G200">
        <f>raw_data!J200</f>
        <v>1.1299999999999999</v>
      </c>
      <c r="H200" t="str">
        <f t="shared" si="3"/>
        <v>Wage Pressure</v>
      </c>
    </row>
    <row r="201" spans="1:8" x14ac:dyDescent="0.2">
      <c r="A201" t="str">
        <f>raw_data!A201</f>
        <v>2012Q3</v>
      </c>
      <c r="B201" t="str">
        <f>raw_data!B201</f>
        <v>New South Wales</v>
      </c>
      <c r="C201" t="str">
        <f>raw_data!C201</f>
        <v>Construction</v>
      </c>
      <c r="D201">
        <f>raw_data!G201</f>
        <v>29.03</v>
      </c>
      <c r="E201">
        <f>raw_data!H201</f>
        <v>6.06</v>
      </c>
      <c r="F201">
        <f>raw_data!I201</f>
        <v>19.04</v>
      </c>
      <c r="G201">
        <f>raw_data!J201</f>
        <v>3.93</v>
      </c>
      <c r="H201" t="str">
        <f t="shared" si="3"/>
        <v>Wage Pressure</v>
      </c>
    </row>
    <row r="202" spans="1:8" x14ac:dyDescent="0.2">
      <c r="A202" t="str">
        <f>raw_data!A202</f>
        <v>2012Q3</v>
      </c>
      <c r="B202" t="str">
        <f>raw_data!B202</f>
        <v>New South Wales</v>
      </c>
      <c r="C202" t="str">
        <f>raw_data!C202</f>
        <v>Education and Training</v>
      </c>
      <c r="D202">
        <f>raw_data!G202</f>
        <v>19.02</v>
      </c>
      <c r="E202">
        <f>raw_data!H202</f>
        <v>0.55000000000000004</v>
      </c>
      <c r="F202">
        <f>raw_data!I202</f>
        <v>16.73</v>
      </c>
      <c r="G202">
        <f>raw_data!J202</f>
        <v>1.74</v>
      </c>
      <c r="H202" t="str">
        <f t="shared" si="3"/>
        <v>Wage Pressure</v>
      </c>
    </row>
    <row r="203" spans="1:8" x14ac:dyDescent="0.2">
      <c r="A203" t="str">
        <f>raw_data!A203</f>
        <v>2012Q3</v>
      </c>
      <c r="B203" t="str">
        <f>raw_data!B203</f>
        <v>New South Wales</v>
      </c>
      <c r="C203" t="str">
        <f>raw_data!C203</f>
        <v>Health Care and Social Assistance</v>
      </c>
      <c r="D203">
        <f>raw_data!G203</f>
        <v>22.02</v>
      </c>
      <c r="E203">
        <f>raw_data!H203</f>
        <v>2.94</v>
      </c>
      <c r="F203">
        <f>raw_data!I203</f>
        <v>17.309999999999999</v>
      </c>
      <c r="G203">
        <f>raw_data!J203</f>
        <v>1.77</v>
      </c>
      <c r="H203" t="str">
        <f t="shared" si="3"/>
        <v>Wage Pressure</v>
      </c>
    </row>
    <row r="204" spans="1:8" x14ac:dyDescent="0.2">
      <c r="A204" t="str">
        <f>raw_data!A204</f>
        <v>2012Q3</v>
      </c>
      <c r="B204" t="str">
        <f>raw_data!B204</f>
        <v>New South Wales</v>
      </c>
      <c r="C204" t="str">
        <f>raw_data!C204</f>
        <v>Manufacturing</v>
      </c>
      <c r="D204">
        <f>raw_data!G204</f>
        <v>25.68</v>
      </c>
      <c r="E204">
        <f>raw_data!H204</f>
        <v>4</v>
      </c>
      <c r="F204">
        <f>raw_data!I204</f>
        <v>19.62</v>
      </c>
      <c r="G204">
        <f>raw_data!J204</f>
        <v>2.0699999999999998</v>
      </c>
      <c r="H204" t="str">
        <f t="shared" si="3"/>
        <v>Wage Pressure</v>
      </c>
    </row>
    <row r="205" spans="1:8" x14ac:dyDescent="0.2">
      <c r="A205" t="str">
        <f>raw_data!A205</f>
        <v>2012Q3</v>
      </c>
      <c r="B205" t="str">
        <f>raw_data!B205</f>
        <v>New South Wales</v>
      </c>
      <c r="C205" t="str">
        <f>raw_data!C205</f>
        <v>Professional, Scientific and Technical Services</v>
      </c>
      <c r="D205">
        <f>raw_data!G205</f>
        <v>32</v>
      </c>
      <c r="E205">
        <f>raw_data!H205</f>
        <v>5.91</v>
      </c>
      <c r="F205">
        <f>raw_data!I205</f>
        <v>22.5</v>
      </c>
      <c r="G205">
        <f>raw_data!J205</f>
        <v>3.58</v>
      </c>
      <c r="H205" t="str">
        <f t="shared" si="3"/>
        <v>Wage Pressure</v>
      </c>
    </row>
    <row r="206" spans="1:8" x14ac:dyDescent="0.2">
      <c r="A206" t="str">
        <f>raw_data!A206</f>
        <v>2012Q3</v>
      </c>
      <c r="B206" t="str">
        <f>raw_data!B206</f>
        <v>Queensland</v>
      </c>
      <c r="C206" t="str">
        <f>raw_data!C206</f>
        <v>Accommodation and Food Services</v>
      </c>
      <c r="D206">
        <f>raw_data!G206</f>
        <v>27.26</v>
      </c>
      <c r="E206">
        <f>raw_data!H206</f>
        <v>10.64</v>
      </c>
      <c r="F206">
        <f>raw_data!I206</f>
        <v>15</v>
      </c>
      <c r="G206">
        <f>raw_data!J206</f>
        <v>1.62</v>
      </c>
      <c r="H206" t="str">
        <f t="shared" si="3"/>
        <v>Wage Pressure</v>
      </c>
    </row>
    <row r="207" spans="1:8" x14ac:dyDescent="0.2">
      <c r="A207" t="str">
        <f>raw_data!A207</f>
        <v>2012Q3</v>
      </c>
      <c r="B207" t="str">
        <f>raw_data!B207</f>
        <v>Queensland</v>
      </c>
      <c r="C207" t="str">
        <f>raw_data!C207</f>
        <v>Construction</v>
      </c>
      <c r="D207">
        <f>raw_data!G207</f>
        <v>29.21</v>
      </c>
      <c r="E207">
        <f>raw_data!H207</f>
        <v>7.98</v>
      </c>
      <c r="F207">
        <f>raw_data!I207</f>
        <v>19.04</v>
      </c>
      <c r="G207">
        <f>raw_data!J207</f>
        <v>2.2000000000000002</v>
      </c>
      <c r="H207" t="str">
        <f t="shared" si="3"/>
        <v>Wage Pressure</v>
      </c>
    </row>
    <row r="208" spans="1:8" x14ac:dyDescent="0.2">
      <c r="A208" t="str">
        <f>raw_data!A208</f>
        <v>2012Q3</v>
      </c>
      <c r="B208" t="str">
        <f>raw_data!B208</f>
        <v>Queensland</v>
      </c>
      <c r="C208" t="str">
        <f>raw_data!C208</f>
        <v>Education and Training</v>
      </c>
      <c r="D208">
        <f>raw_data!G208</f>
        <v>20.260000000000002</v>
      </c>
      <c r="E208">
        <f>raw_data!H208</f>
        <v>1.18</v>
      </c>
      <c r="F208">
        <f>raw_data!I208</f>
        <v>16.73</v>
      </c>
      <c r="G208">
        <f>raw_data!J208</f>
        <v>2.34</v>
      </c>
      <c r="H208" t="str">
        <f t="shared" si="3"/>
        <v>Wage Pressure</v>
      </c>
    </row>
    <row r="209" spans="1:8" x14ac:dyDescent="0.2">
      <c r="A209" t="str">
        <f>raw_data!A209</f>
        <v>2012Q3</v>
      </c>
      <c r="B209" t="str">
        <f>raw_data!B209</f>
        <v>Queensland</v>
      </c>
      <c r="C209" t="str">
        <f>raw_data!C209</f>
        <v>Health Care and Social Assistance</v>
      </c>
      <c r="D209">
        <f>raw_data!G209</f>
        <v>25.21</v>
      </c>
      <c r="E209">
        <f>raw_data!H209</f>
        <v>4.8</v>
      </c>
      <c r="F209">
        <f>raw_data!I209</f>
        <v>17.309999999999999</v>
      </c>
      <c r="G209">
        <f>raw_data!J209</f>
        <v>3.1</v>
      </c>
      <c r="H209" t="str">
        <f t="shared" si="3"/>
        <v>Wage Pressure</v>
      </c>
    </row>
    <row r="210" spans="1:8" x14ac:dyDescent="0.2">
      <c r="A210" t="str">
        <f>raw_data!A210</f>
        <v>2012Q3</v>
      </c>
      <c r="B210" t="str">
        <f>raw_data!B210</f>
        <v>Queensland</v>
      </c>
      <c r="C210" t="str">
        <f>raw_data!C210</f>
        <v>Manufacturing</v>
      </c>
      <c r="D210">
        <f>raw_data!G210</f>
        <v>30.4</v>
      </c>
      <c r="E210">
        <f>raw_data!H210</f>
        <v>8</v>
      </c>
      <c r="F210">
        <f>raw_data!I210</f>
        <v>19.62</v>
      </c>
      <c r="G210">
        <f>raw_data!J210</f>
        <v>2.79</v>
      </c>
      <c r="H210" t="str">
        <f t="shared" si="3"/>
        <v>Wage Pressure</v>
      </c>
    </row>
    <row r="211" spans="1:8" x14ac:dyDescent="0.2">
      <c r="A211" t="str">
        <f>raw_data!A211</f>
        <v>2012Q3</v>
      </c>
      <c r="B211" t="str">
        <f>raw_data!B211</f>
        <v>Queensland</v>
      </c>
      <c r="C211" t="str">
        <f>raw_data!C211</f>
        <v>Professional, Scientific and Technical Services</v>
      </c>
      <c r="D211">
        <f>raw_data!G211</f>
        <v>41.79</v>
      </c>
      <c r="E211">
        <f>raw_data!H211</f>
        <v>12.63</v>
      </c>
      <c r="F211">
        <f>raw_data!I211</f>
        <v>22.5</v>
      </c>
      <c r="G211">
        <f>raw_data!J211</f>
        <v>6.66</v>
      </c>
      <c r="H211" t="str">
        <f t="shared" si="3"/>
        <v>Wage Pressure</v>
      </c>
    </row>
    <row r="212" spans="1:8" x14ac:dyDescent="0.2">
      <c r="A212" t="str">
        <f>raw_data!A212</f>
        <v>2012Q3</v>
      </c>
      <c r="B212" t="str">
        <f>raw_data!B212</f>
        <v>Victoria</v>
      </c>
      <c r="C212" t="str">
        <f>raw_data!C212</f>
        <v>Accommodation and Food Services</v>
      </c>
      <c r="D212">
        <f>raw_data!G212</f>
        <v>25.7</v>
      </c>
      <c r="E212">
        <f>raw_data!H212</f>
        <v>9.09</v>
      </c>
      <c r="F212">
        <f>raw_data!I212</f>
        <v>15</v>
      </c>
      <c r="G212">
        <f>raw_data!J212</f>
        <v>1.61</v>
      </c>
      <c r="H212" t="str">
        <f t="shared" si="3"/>
        <v>Wage Pressure</v>
      </c>
    </row>
    <row r="213" spans="1:8" x14ac:dyDescent="0.2">
      <c r="A213" t="str">
        <f>raw_data!A213</f>
        <v>2012Q3</v>
      </c>
      <c r="B213" t="str">
        <f>raw_data!B213</f>
        <v>Victoria</v>
      </c>
      <c r="C213" t="str">
        <f>raw_data!C213</f>
        <v>Construction</v>
      </c>
      <c r="D213">
        <f>raw_data!G213</f>
        <v>28.96</v>
      </c>
      <c r="E213">
        <f>raw_data!H213</f>
        <v>7.97</v>
      </c>
      <c r="F213">
        <f>raw_data!I213</f>
        <v>19.04</v>
      </c>
      <c r="G213">
        <f>raw_data!J213</f>
        <v>1.95</v>
      </c>
      <c r="H213" t="str">
        <f t="shared" si="3"/>
        <v>Wage Pressure</v>
      </c>
    </row>
    <row r="214" spans="1:8" x14ac:dyDescent="0.2">
      <c r="A214" t="str">
        <f>raw_data!A214</f>
        <v>2012Q3</v>
      </c>
      <c r="B214" t="str">
        <f>raw_data!B214</f>
        <v>Victoria</v>
      </c>
      <c r="C214" t="str">
        <f>raw_data!C214</f>
        <v>Education and Training</v>
      </c>
      <c r="D214">
        <f>raw_data!G214</f>
        <v>18.489999999999998</v>
      </c>
      <c r="E214">
        <f>raw_data!H214</f>
        <v>0.76</v>
      </c>
      <c r="F214">
        <f>raw_data!I214</f>
        <v>16.73</v>
      </c>
      <c r="G214">
        <f>raw_data!J214</f>
        <v>1</v>
      </c>
      <c r="H214" t="str">
        <f t="shared" si="3"/>
        <v>Wage Pressure</v>
      </c>
    </row>
    <row r="215" spans="1:8" x14ac:dyDescent="0.2">
      <c r="A215" t="str">
        <f>raw_data!A215</f>
        <v>2012Q3</v>
      </c>
      <c r="B215" t="str">
        <f>raw_data!B215</f>
        <v>Victoria</v>
      </c>
      <c r="C215" t="str">
        <f>raw_data!C215</f>
        <v>Health Care and Social Assistance</v>
      </c>
      <c r="D215">
        <f>raw_data!G215</f>
        <v>24.59</v>
      </c>
      <c r="E215">
        <f>raw_data!H215</f>
        <v>3.85</v>
      </c>
      <c r="F215">
        <f>raw_data!I215</f>
        <v>17.309999999999999</v>
      </c>
      <c r="G215">
        <f>raw_data!J215</f>
        <v>3.44</v>
      </c>
      <c r="H215" t="str">
        <f t="shared" si="3"/>
        <v>Wage Pressure</v>
      </c>
    </row>
    <row r="216" spans="1:8" x14ac:dyDescent="0.2">
      <c r="A216" t="str">
        <f>raw_data!A216</f>
        <v>2012Q3</v>
      </c>
      <c r="B216" t="str">
        <f>raw_data!B216</f>
        <v>Victoria</v>
      </c>
      <c r="C216" t="str">
        <f>raw_data!C216</f>
        <v>Manufacturing</v>
      </c>
      <c r="D216">
        <f>raw_data!G216</f>
        <v>24.91</v>
      </c>
      <c r="E216">
        <f>raw_data!H216</f>
        <v>3.78</v>
      </c>
      <c r="F216">
        <f>raw_data!I216</f>
        <v>19.62</v>
      </c>
      <c r="G216">
        <f>raw_data!J216</f>
        <v>1.51</v>
      </c>
      <c r="H216" t="str">
        <f t="shared" si="3"/>
        <v>Wage Pressure</v>
      </c>
    </row>
    <row r="217" spans="1:8" x14ac:dyDescent="0.2">
      <c r="A217" t="str">
        <f>raw_data!A217</f>
        <v>2012Q3</v>
      </c>
      <c r="B217" t="str">
        <f>raw_data!B217</f>
        <v>Victoria</v>
      </c>
      <c r="C217" t="str">
        <f>raw_data!C217</f>
        <v>Professional, Scientific and Technical Services</v>
      </c>
      <c r="D217">
        <f>raw_data!G217</f>
        <v>35.47</v>
      </c>
      <c r="E217">
        <f>raw_data!H217</f>
        <v>7.72</v>
      </c>
      <c r="F217">
        <f>raw_data!I217</f>
        <v>22.5</v>
      </c>
      <c r="G217">
        <f>raw_data!J217</f>
        <v>5.25</v>
      </c>
      <c r="H217" t="str">
        <f t="shared" si="3"/>
        <v>Wage Pressure</v>
      </c>
    </row>
    <row r="218" spans="1:8" x14ac:dyDescent="0.2">
      <c r="A218" t="str">
        <f>raw_data!A218</f>
        <v>2012Q4</v>
      </c>
      <c r="B218" t="str">
        <f>raw_data!B218</f>
        <v>New South Wales</v>
      </c>
      <c r="C218" t="str">
        <f>raw_data!C218</f>
        <v>Accommodation and Food Services</v>
      </c>
      <c r="D218">
        <f>raw_data!G218</f>
        <v>17.12</v>
      </c>
      <c r="E218">
        <f>raw_data!H218</f>
        <v>4.46</v>
      </c>
      <c r="F218">
        <f>raw_data!I218</f>
        <v>10.96</v>
      </c>
      <c r="G218">
        <f>raw_data!J218</f>
        <v>1.69</v>
      </c>
      <c r="H218" t="str">
        <f t="shared" si="3"/>
        <v>Wage Pressure</v>
      </c>
    </row>
    <row r="219" spans="1:8" x14ac:dyDescent="0.2">
      <c r="A219" t="str">
        <f>raw_data!A219</f>
        <v>2012Q4</v>
      </c>
      <c r="B219" t="str">
        <f>raw_data!B219</f>
        <v>New South Wales</v>
      </c>
      <c r="C219" t="str">
        <f>raw_data!C219</f>
        <v>Construction</v>
      </c>
      <c r="D219">
        <f>raw_data!G219</f>
        <v>26.48</v>
      </c>
      <c r="E219">
        <f>raw_data!H219</f>
        <v>6.03</v>
      </c>
      <c r="F219">
        <f>raw_data!I219</f>
        <v>18.46</v>
      </c>
      <c r="G219">
        <f>raw_data!J219</f>
        <v>1.99</v>
      </c>
      <c r="H219" t="str">
        <f t="shared" si="3"/>
        <v>Wage Pressure</v>
      </c>
    </row>
    <row r="220" spans="1:8" x14ac:dyDescent="0.2">
      <c r="A220" t="str">
        <f>raw_data!A220</f>
        <v>2012Q4</v>
      </c>
      <c r="B220" t="str">
        <f>raw_data!B220</f>
        <v>New South Wales</v>
      </c>
      <c r="C220" t="str">
        <f>raw_data!C220</f>
        <v>Education and Training</v>
      </c>
      <c r="D220">
        <f>raw_data!G220</f>
        <v>16.75</v>
      </c>
      <c r="E220">
        <f>raw_data!H220</f>
        <v>0.54</v>
      </c>
      <c r="F220">
        <f>raw_data!I220</f>
        <v>15.58</v>
      </c>
      <c r="G220">
        <f>raw_data!J220</f>
        <v>0.63</v>
      </c>
      <c r="H220" t="str">
        <f t="shared" si="3"/>
        <v>Wage Pressure</v>
      </c>
    </row>
    <row r="221" spans="1:8" x14ac:dyDescent="0.2">
      <c r="A221" t="str">
        <f>raw_data!A221</f>
        <v>2012Q4</v>
      </c>
      <c r="B221" t="str">
        <f>raw_data!B221</f>
        <v>New South Wales</v>
      </c>
      <c r="C221" t="str">
        <f>raw_data!C221</f>
        <v>Health Care and Social Assistance</v>
      </c>
      <c r="D221">
        <f>raw_data!G221</f>
        <v>23.85</v>
      </c>
      <c r="E221">
        <f>raw_data!H221</f>
        <v>2.88</v>
      </c>
      <c r="F221">
        <f>raw_data!I221</f>
        <v>18.46</v>
      </c>
      <c r="G221">
        <f>raw_data!J221</f>
        <v>2.5099999999999998</v>
      </c>
      <c r="H221" t="str">
        <f t="shared" si="3"/>
        <v>Wage Pressure</v>
      </c>
    </row>
    <row r="222" spans="1:8" x14ac:dyDescent="0.2">
      <c r="A222" t="str">
        <f>raw_data!A222</f>
        <v>2012Q4</v>
      </c>
      <c r="B222" t="str">
        <f>raw_data!B222</f>
        <v>New South Wales</v>
      </c>
      <c r="C222" t="str">
        <f>raw_data!C222</f>
        <v>Manufacturing</v>
      </c>
      <c r="D222">
        <f>raw_data!G222</f>
        <v>20.57</v>
      </c>
      <c r="E222">
        <f>raw_data!H222</f>
        <v>2.4300000000000002</v>
      </c>
      <c r="F222">
        <f>raw_data!I222</f>
        <v>16.73</v>
      </c>
      <c r="G222">
        <f>raw_data!J222</f>
        <v>1.4</v>
      </c>
      <c r="H222" t="str">
        <f t="shared" si="3"/>
        <v>Wage Pressure</v>
      </c>
    </row>
    <row r="223" spans="1:8" x14ac:dyDescent="0.2">
      <c r="A223" t="str">
        <f>raw_data!A223</f>
        <v>2012Q4</v>
      </c>
      <c r="B223" t="str">
        <f>raw_data!B223</f>
        <v>New South Wales</v>
      </c>
      <c r="C223" t="str">
        <f>raw_data!C223</f>
        <v>Professional, Scientific and Technical Services</v>
      </c>
      <c r="D223">
        <f>raw_data!G223</f>
        <v>33.53</v>
      </c>
      <c r="E223">
        <f>raw_data!H223</f>
        <v>6.81</v>
      </c>
      <c r="F223">
        <f>raw_data!I223</f>
        <v>19.62</v>
      </c>
      <c r="G223">
        <f>raw_data!J223</f>
        <v>7.1</v>
      </c>
      <c r="H223" t="str">
        <f t="shared" si="3"/>
        <v>Wage Pressure</v>
      </c>
    </row>
    <row r="224" spans="1:8" x14ac:dyDescent="0.2">
      <c r="A224" t="str">
        <f>raw_data!A224</f>
        <v>2012Q4</v>
      </c>
      <c r="B224" t="str">
        <f>raw_data!B224</f>
        <v>Queensland</v>
      </c>
      <c r="C224" t="str">
        <f>raw_data!C224</f>
        <v>Accommodation and Food Services</v>
      </c>
      <c r="D224">
        <f>raw_data!G224</f>
        <v>20.41</v>
      </c>
      <c r="E224">
        <f>raw_data!H224</f>
        <v>7.68</v>
      </c>
      <c r="F224">
        <f>raw_data!I224</f>
        <v>10.96</v>
      </c>
      <c r="G224">
        <f>raw_data!J224</f>
        <v>1.78</v>
      </c>
      <c r="H224" t="str">
        <f t="shared" si="3"/>
        <v>Wage Pressure</v>
      </c>
    </row>
    <row r="225" spans="1:8" x14ac:dyDescent="0.2">
      <c r="A225" t="str">
        <f>raw_data!A225</f>
        <v>2012Q4</v>
      </c>
      <c r="B225" t="str">
        <f>raw_data!B225</f>
        <v>Queensland</v>
      </c>
      <c r="C225" t="str">
        <f>raw_data!C225</f>
        <v>Construction</v>
      </c>
      <c r="D225">
        <f>raw_data!G225</f>
        <v>27.87</v>
      </c>
      <c r="E225">
        <f>raw_data!H225</f>
        <v>7.43</v>
      </c>
      <c r="F225">
        <f>raw_data!I225</f>
        <v>18.46</v>
      </c>
      <c r="G225">
        <f>raw_data!J225</f>
        <v>1.98</v>
      </c>
      <c r="H225" t="str">
        <f t="shared" si="3"/>
        <v>Wage Pressure</v>
      </c>
    </row>
    <row r="226" spans="1:8" x14ac:dyDescent="0.2">
      <c r="A226" t="str">
        <f>raw_data!A226</f>
        <v>2012Q4</v>
      </c>
      <c r="B226" t="str">
        <f>raw_data!B226</f>
        <v>Queensland</v>
      </c>
      <c r="C226" t="str">
        <f>raw_data!C226</f>
        <v>Education and Training</v>
      </c>
      <c r="D226">
        <f>raw_data!G226</f>
        <v>18.489999999999998</v>
      </c>
      <c r="E226">
        <f>raw_data!H226</f>
        <v>1.1599999999999999</v>
      </c>
      <c r="F226">
        <f>raw_data!I226</f>
        <v>15.58</v>
      </c>
      <c r="G226">
        <f>raw_data!J226</f>
        <v>1.75</v>
      </c>
      <c r="H226" t="str">
        <f t="shared" si="3"/>
        <v>Wage Pressure</v>
      </c>
    </row>
    <row r="227" spans="1:8" x14ac:dyDescent="0.2">
      <c r="A227" t="str">
        <f>raw_data!A227</f>
        <v>2012Q4</v>
      </c>
      <c r="B227" t="str">
        <f>raw_data!B227</f>
        <v>Queensland</v>
      </c>
      <c r="C227" t="str">
        <f>raw_data!C227</f>
        <v>Health Care and Social Assistance</v>
      </c>
      <c r="D227">
        <f>raw_data!G227</f>
        <v>26.72</v>
      </c>
      <c r="E227">
        <f>raw_data!H227</f>
        <v>5.01</v>
      </c>
      <c r="F227">
        <f>raw_data!I227</f>
        <v>18.46</v>
      </c>
      <c r="G227">
        <f>raw_data!J227</f>
        <v>3.24</v>
      </c>
      <c r="H227" t="str">
        <f t="shared" si="3"/>
        <v>Wage Pressure</v>
      </c>
    </row>
    <row r="228" spans="1:8" x14ac:dyDescent="0.2">
      <c r="A228" t="str">
        <f>raw_data!A228</f>
        <v>2012Q4</v>
      </c>
      <c r="B228" t="str">
        <f>raw_data!B228</f>
        <v>Queensland</v>
      </c>
      <c r="C228" t="str">
        <f>raw_data!C228</f>
        <v>Manufacturing</v>
      </c>
      <c r="D228">
        <f>raw_data!G228</f>
        <v>23.11</v>
      </c>
      <c r="E228">
        <f>raw_data!H228</f>
        <v>5.19</v>
      </c>
      <c r="F228">
        <f>raw_data!I228</f>
        <v>16.73</v>
      </c>
      <c r="G228">
        <f>raw_data!J228</f>
        <v>1.19</v>
      </c>
      <c r="H228" t="str">
        <f t="shared" si="3"/>
        <v>Wage Pressure</v>
      </c>
    </row>
    <row r="229" spans="1:8" x14ac:dyDescent="0.2">
      <c r="A229" t="str">
        <f>raw_data!A229</f>
        <v>2012Q4</v>
      </c>
      <c r="B229" t="str">
        <f>raw_data!B229</f>
        <v>Queensland</v>
      </c>
      <c r="C229" t="str">
        <f>raw_data!C229</f>
        <v>Professional, Scientific and Technical Services</v>
      </c>
      <c r="D229">
        <f>raw_data!G229</f>
        <v>40.14</v>
      </c>
      <c r="E229">
        <f>raw_data!H229</f>
        <v>13.98</v>
      </c>
      <c r="F229">
        <f>raw_data!I229</f>
        <v>19.62</v>
      </c>
      <c r="G229">
        <f>raw_data!J229</f>
        <v>6.54</v>
      </c>
      <c r="H229" t="str">
        <f t="shared" si="3"/>
        <v>Wage Pressure</v>
      </c>
    </row>
    <row r="230" spans="1:8" x14ac:dyDescent="0.2">
      <c r="A230" t="str">
        <f>raw_data!A230</f>
        <v>2012Q4</v>
      </c>
      <c r="B230" t="str">
        <f>raw_data!B230</f>
        <v>Victoria</v>
      </c>
      <c r="C230" t="str">
        <f>raw_data!C230</f>
        <v>Accommodation and Food Services</v>
      </c>
      <c r="D230">
        <f>raw_data!G230</f>
        <v>19.3</v>
      </c>
      <c r="E230">
        <f>raw_data!H230</f>
        <v>6.69</v>
      </c>
      <c r="F230">
        <f>raw_data!I230</f>
        <v>10.96</v>
      </c>
      <c r="G230">
        <f>raw_data!J230</f>
        <v>1.65</v>
      </c>
      <c r="H230" t="str">
        <f t="shared" si="3"/>
        <v>Wage Pressure</v>
      </c>
    </row>
    <row r="231" spans="1:8" x14ac:dyDescent="0.2">
      <c r="A231" t="str">
        <f>raw_data!A231</f>
        <v>2012Q4</v>
      </c>
      <c r="B231" t="str">
        <f>raw_data!B231</f>
        <v>Victoria</v>
      </c>
      <c r="C231" t="str">
        <f>raw_data!C231</f>
        <v>Construction</v>
      </c>
      <c r="D231">
        <f>raw_data!G231</f>
        <v>28.73</v>
      </c>
      <c r="E231">
        <f>raw_data!H231</f>
        <v>6.78</v>
      </c>
      <c r="F231">
        <f>raw_data!I231</f>
        <v>18.46</v>
      </c>
      <c r="G231">
        <f>raw_data!J231</f>
        <v>3.49</v>
      </c>
      <c r="H231" t="str">
        <f t="shared" si="3"/>
        <v>Wage Pressure</v>
      </c>
    </row>
    <row r="232" spans="1:8" x14ac:dyDescent="0.2">
      <c r="A232" t="str">
        <f>raw_data!A232</f>
        <v>2012Q4</v>
      </c>
      <c r="B232" t="str">
        <f>raw_data!B232</f>
        <v>Victoria</v>
      </c>
      <c r="C232" t="str">
        <f>raw_data!C232</f>
        <v>Education and Training</v>
      </c>
      <c r="D232">
        <f>raw_data!G232</f>
        <v>18.55</v>
      </c>
      <c r="E232">
        <f>raw_data!H232</f>
        <v>0.73</v>
      </c>
      <c r="F232">
        <f>raw_data!I232</f>
        <v>15.58</v>
      </c>
      <c r="G232">
        <f>raw_data!J232</f>
        <v>2.2400000000000002</v>
      </c>
      <c r="H232" t="str">
        <f t="shared" si="3"/>
        <v>Wage Pressure</v>
      </c>
    </row>
    <row r="233" spans="1:8" x14ac:dyDescent="0.2">
      <c r="A233" t="str">
        <f>raw_data!A233</f>
        <v>2012Q4</v>
      </c>
      <c r="B233" t="str">
        <f>raw_data!B233</f>
        <v>Victoria</v>
      </c>
      <c r="C233" t="str">
        <f>raw_data!C233</f>
        <v>Health Care and Social Assistance</v>
      </c>
      <c r="D233">
        <f>raw_data!G233</f>
        <v>25.82</v>
      </c>
      <c r="E233">
        <f>raw_data!H233</f>
        <v>3.81</v>
      </c>
      <c r="F233">
        <f>raw_data!I233</f>
        <v>18.46</v>
      </c>
      <c r="G233">
        <f>raw_data!J233</f>
        <v>3.55</v>
      </c>
      <c r="H233" t="str">
        <f t="shared" si="3"/>
        <v>Wage Pressure</v>
      </c>
    </row>
    <row r="234" spans="1:8" x14ac:dyDescent="0.2">
      <c r="A234" t="str">
        <f>raw_data!A234</f>
        <v>2012Q4</v>
      </c>
      <c r="B234" t="str">
        <f>raw_data!B234</f>
        <v>Victoria</v>
      </c>
      <c r="C234" t="str">
        <f>raw_data!C234</f>
        <v>Manufacturing</v>
      </c>
      <c r="D234">
        <f>raw_data!G234</f>
        <v>20.5</v>
      </c>
      <c r="E234">
        <f>raw_data!H234</f>
        <v>2.8</v>
      </c>
      <c r="F234">
        <f>raw_data!I234</f>
        <v>16.73</v>
      </c>
      <c r="G234">
        <f>raw_data!J234</f>
        <v>0.98</v>
      </c>
      <c r="H234" t="str">
        <f t="shared" si="3"/>
        <v>Wage Pressure</v>
      </c>
    </row>
    <row r="235" spans="1:8" x14ac:dyDescent="0.2">
      <c r="A235" t="str">
        <f>raw_data!A235</f>
        <v>2012Q4</v>
      </c>
      <c r="B235" t="str">
        <f>raw_data!B235</f>
        <v>Victoria</v>
      </c>
      <c r="C235" t="str">
        <f>raw_data!C235</f>
        <v>Professional, Scientific and Technical Services</v>
      </c>
      <c r="D235">
        <f>raw_data!G235</f>
        <v>36.85</v>
      </c>
      <c r="E235">
        <f>raw_data!H235</f>
        <v>8.57</v>
      </c>
      <c r="F235">
        <f>raw_data!I235</f>
        <v>19.62</v>
      </c>
      <c r="G235">
        <f>raw_data!J235</f>
        <v>8.67</v>
      </c>
      <c r="H235" t="str">
        <f t="shared" si="3"/>
        <v>Wage Pressure</v>
      </c>
    </row>
    <row r="236" spans="1:8" x14ac:dyDescent="0.2">
      <c r="A236" t="str">
        <f>raw_data!A236</f>
        <v>2013Q1</v>
      </c>
      <c r="B236" t="str">
        <f>raw_data!B236</f>
        <v>New South Wales</v>
      </c>
      <c r="C236" t="str">
        <f>raw_data!C236</f>
        <v>Accommodation and Food Services</v>
      </c>
      <c r="D236">
        <f>raw_data!G236</f>
        <v>18.57</v>
      </c>
      <c r="E236">
        <f>raw_data!H236</f>
        <v>5.14</v>
      </c>
      <c r="F236">
        <f>raw_data!I236</f>
        <v>12.12</v>
      </c>
      <c r="G236">
        <f>raw_data!J236</f>
        <v>1.31</v>
      </c>
      <c r="H236" t="str">
        <f t="shared" si="3"/>
        <v>Wage Pressure</v>
      </c>
    </row>
    <row r="237" spans="1:8" x14ac:dyDescent="0.2">
      <c r="A237" t="str">
        <f>raw_data!A237</f>
        <v>2013Q1</v>
      </c>
      <c r="B237" t="str">
        <f>raw_data!B237</f>
        <v>New South Wales</v>
      </c>
      <c r="C237" t="str">
        <f>raw_data!C237</f>
        <v>Construction</v>
      </c>
      <c r="D237">
        <f>raw_data!G237</f>
        <v>20.62</v>
      </c>
      <c r="E237">
        <f>raw_data!H237</f>
        <v>4.41</v>
      </c>
      <c r="F237">
        <f>raw_data!I237</f>
        <v>15</v>
      </c>
      <c r="G237">
        <f>raw_data!J237</f>
        <v>1.22</v>
      </c>
      <c r="H237" t="str">
        <f t="shared" si="3"/>
        <v>Wage Pressure</v>
      </c>
    </row>
    <row r="238" spans="1:8" x14ac:dyDescent="0.2">
      <c r="A238" t="str">
        <f>raw_data!A238</f>
        <v>2013Q1</v>
      </c>
      <c r="B238" t="str">
        <f>raw_data!B238</f>
        <v>New South Wales</v>
      </c>
      <c r="C238" t="str">
        <f>raw_data!C238</f>
        <v>Education and Training</v>
      </c>
      <c r="D238">
        <f>raw_data!G238</f>
        <v>15.24</v>
      </c>
      <c r="E238">
        <f>raw_data!H238</f>
        <v>0.93</v>
      </c>
      <c r="F238">
        <f>raw_data!I238</f>
        <v>13.85</v>
      </c>
      <c r="G238">
        <f>raw_data!J238</f>
        <v>0.46</v>
      </c>
      <c r="H238" t="str">
        <f t="shared" si="3"/>
        <v>Wage Pressure</v>
      </c>
    </row>
    <row r="239" spans="1:8" x14ac:dyDescent="0.2">
      <c r="A239" t="str">
        <f>raw_data!A239</f>
        <v>2013Q1</v>
      </c>
      <c r="B239" t="str">
        <f>raw_data!B239</f>
        <v>New South Wales</v>
      </c>
      <c r="C239" t="str">
        <f>raw_data!C239</f>
        <v>Health Care and Social Assistance</v>
      </c>
      <c r="D239">
        <f>raw_data!G239</f>
        <v>22.32</v>
      </c>
      <c r="E239">
        <f>raw_data!H239</f>
        <v>2.79</v>
      </c>
      <c r="F239">
        <f>raw_data!I239</f>
        <v>17.309999999999999</v>
      </c>
      <c r="G239">
        <f>raw_data!J239</f>
        <v>2.2200000000000002</v>
      </c>
      <c r="H239" t="str">
        <f t="shared" si="3"/>
        <v>Wage Pressure</v>
      </c>
    </row>
    <row r="240" spans="1:8" x14ac:dyDescent="0.2">
      <c r="A240" t="str">
        <f>raw_data!A240</f>
        <v>2013Q1</v>
      </c>
      <c r="B240" t="str">
        <f>raw_data!B240</f>
        <v>New South Wales</v>
      </c>
      <c r="C240" t="str">
        <f>raw_data!C240</f>
        <v>Manufacturing</v>
      </c>
      <c r="D240">
        <f>raw_data!G240</f>
        <v>19.920000000000002</v>
      </c>
      <c r="E240">
        <f>raw_data!H240</f>
        <v>3.2</v>
      </c>
      <c r="F240">
        <f>raw_data!I240</f>
        <v>15.58</v>
      </c>
      <c r="G240">
        <f>raw_data!J240</f>
        <v>1.1399999999999999</v>
      </c>
      <c r="H240" t="str">
        <f t="shared" si="3"/>
        <v>Wage Pressure</v>
      </c>
    </row>
    <row r="241" spans="1:8" x14ac:dyDescent="0.2">
      <c r="A241" t="str">
        <f>raw_data!A241</f>
        <v>2013Q1</v>
      </c>
      <c r="B241" t="str">
        <f>raw_data!B241</f>
        <v>New South Wales</v>
      </c>
      <c r="C241" t="str">
        <f>raw_data!C241</f>
        <v>Professional, Scientific and Technical Services</v>
      </c>
      <c r="D241">
        <f>raw_data!G241</f>
        <v>23.84</v>
      </c>
      <c r="E241">
        <f>raw_data!H241</f>
        <v>5.55</v>
      </c>
      <c r="F241">
        <f>raw_data!I241</f>
        <v>16.149999999999999</v>
      </c>
      <c r="G241">
        <f>raw_data!J241</f>
        <v>2.13</v>
      </c>
      <c r="H241" t="str">
        <f t="shared" si="3"/>
        <v>Wage Pressure</v>
      </c>
    </row>
    <row r="242" spans="1:8" x14ac:dyDescent="0.2">
      <c r="A242" t="str">
        <f>raw_data!A242</f>
        <v>2013Q1</v>
      </c>
      <c r="B242" t="str">
        <f>raw_data!B242</f>
        <v>Queensland</v>
      </c>
      <c r="C242" t="str">
        <f>raw_data!C242</f>
        <v>Accommodation and Food Services</v>
      </c>
      <c r="D242">
        <f>raw_data!G242</f>
        <v>22.96</v>
      </c>
      <c r="E242">
        <f>raw_data!H242</f>
        <v>9.65</v>
      </c>
      <c r="F242">
        <f>raw_data!I242</f>
        <v>12.12</v>
      </c>
      <c r="G242">
        <f>raw_data!J242</f>
        <v>1.19</v>
      </c>
      <c r="H242" t="str">
        <f t="shared" si="3"/>
        <v>Wage Pressure</v>
      </c>
    </row>
    <row r="243" spans="1:8" x14ac:dyDescent="0.2">
      <c r="A243" t="str">
        <f>raw_data!A243</f>
        <v>2013Q1</v>
      </c>
      <c r="B243" t="str">
        <f>raw_data!B243</f>
        <v>Queensland</v>
      </c>
      <c r="C243" t="str">
        <f>raw_data!C243</f>
        <v>Construction</v>
      </c>
      <c r="D243">
        <f>raw_data!G243</f>
        <v>21.45</v>
      </c>
      <c r="E243">
        <f>raw_data!H243</f>
        <v>5.08</v>
      </c>
      <c r="F243">
        <f>raw_data!I243</f>
        <v>15</v>
      </c>
      <c r="G243">
        <f>raw_data!J243</f>
        <v>1.37</v>
      </c>
      <c r="H243" t="str">
        <f t="shared" si="3"/>
        <v>Wage Pressure</v>
      </c>
    </row>
    <row r="244" spans="1:8" x14ac:dyDescent="0.2">
      <c r="A244" t="str">
        <f>raw_data!A244</f>
        <v>2013Q1</v>
      </c>
      <c r="B244" t="str">
        <f>raw_data!B244</f>
        <v>Queensland</v>
      </c>
      <c r="C244" t="str">
        <f>raw_data!C244</f>
        <v>Education and Training</v>
      </c>
      <c r="D244">
        <f>raw_data!G244</f>
        <v>16.440000000000001</v>
      </c>
      <c r="E244">
        <f>raw_data!H244</f>
        <v>1.94</v>
      </c>
      <c r="F244">
        <f>raw_data!I244</f>
        <v>13.85</v>
      </c>
      <c r="G244">
        <f>raw_data!J244</f>
        <v>0.65</v>
      </c>
      <c r="H244" t="str">
        <f t="shared" si="3"/>
        <v>Wage Pressure</v>
      </c>
    </row>
    <row r="245" spans="1:8" x14ac:dyDescent="0.2">
      <c r="A245" t="str">
        <f>raw_data!A245</f>
        <v>2013Q1</v>
      </c>
      <c r="B245" t="str">
        <f>raw_data!B245</f>
        <v>Queensland</v>
      </c>
      <c r="C245" t="str">
        <f>raw_data!C245</f>
        <v>Health Care and Social Assistance</v>
      </c>
      <c r="D245">
        <f>raw_data!G245</f>
        <v>25.21</v>
      </c>
      <c r="E245">
        <f>raw_data!H245</f>
        <v>4.8</v>
      </c>
      <c r="F245">
        <f>raw_data!I245</f>
        <v>17.309999999999999</v>
      </c>
      <c r="G245">
        <f>raw_data!J245</f>
        <v>3.1</v>
      </c>
      <c r="H245" t="str">
        <f t="shared" si="3"/>
        <v>Wage Pressure</v>
      </c>
    </row>
    <row r="246" spans="1:8" x14ac:dyDescent="0.2">
      <c r="A246" t="str">
        <f>raw_data!A246</f>
        <v>2013Q1</v>
      </c>
      <c r="B246" t="str">
        <f>raw_data!B246</f>
        <v>Queensland</v>
      </c>
      <c r="C246" t="str">
        <f>raw_data!C246</f>
        <v>Manufacturing</v>
      </c>
      <c r="D246">
        <f>raw_data!G246</f>
        <v>24.24</v>
      </c>
      <c r="E246">
        <f>raw_data!H246</f>
        <v>6.91</v>
      </c>
      <c r="F246">
        <f>raw_data!I246</f>
        <v>15.58</v>
      </c>
      <c r="G246">
        <f>raw_data!J246</f>
        <v>1.75</v>
      </c>
      <c r="H246" t="str">
        <f t="shared" si="3"/>
        <v>Wage Pressure</v>
      </c>
    </row>
    <row r="247" spans="1:8" x14ac:dyDescent="0.2">
      <c r="A247" t="str">
        <f>raw_data!A247</f>
        <v>2013Q1</v>
      </c>
      <c r="B247" t="str">
        <f>raw_data!B247</f>
        <v>Queensland</v>
      </c>
      <c r="C247" t="str">
        <f>raw_data!C247</f>
        <v>Professional, Scientific and Technical Services</v>
      </c>
      <c r="D247">
        <f>raw_data!G247</f>
        <v>32.68</v>
      </c>
      <c r="E247">
        <f>raw_data!H247</f>
        <v>11.46</v>
      </c>
      <c r="F247">
        <f>raw_data!I247</f>
        <v>16.149999999999999</v>
      </c>
      <c r="G247">
        <f>raw_data!J247</f>
        <v>5.0599999999999996</v>
      </c>
      <c r="H247" t="str">
        <f t="shared" si="3"/>
        <v>Wage Pressure</v>
      </c>
    </row>
    <row r="248" spans="1:8" x14ac:dyDescent="0.2">
      <c r="A248" t="str">
        <f>raw_data!A248</f>
        <v>2013Q1</v>
      </c>
      <c r="B248" t="str">
        <f>raw_data!B248</f>
        <v>Victoria</v>
      </c>
      <c r="C248" t="str">
        <f>raw_data!C248</f>
        <v>Accommodation and Food Services</v>
      </c>
      <c r="D248">
        <f>raw_data!G248</f>
        <v>20.79</v>
      </c>
      <c r="E248">
        <f>raw_data!H248</f>
        <v>7.19</v>
      </c>
      <c r="F248">
        <f>raw_data!I248</f>
        <v>12.12</v>
      </c>
      <c r="G248">
        <f>raw_data!J248</f>
        <v>1.48</v>
      </c>
      <c r="H248" t="str">
        <f t="shared" si="3"/>
        <v>Wage Pressure</v>
      </c>
    </row>
    <row r="249" spans="1:8" x14ac:dyDescent="0.2">
      <c r="A249" t="str">
        <f>raw_data!A249</f>
        <v>2013Q1</v>
      </c>
      <c r="B249" t="str">
        <f>raw_data!B249</f>
        <v>Victoria</v>
      </c>
      <c r="C249" t="str">
        <f>raw_data!C249</f>
        <v>Construction</v>
      </c>
      <c r="D249">
        <f>raw_data!G249</f>
        <v>21.25</v>
      </c>
      <c r="E249">
        <f>raw_data!H249</f>
        <v>4.91</v>
      </c>
      <c r="F249">
        <f>raw_data!I249</f>
        <v>15</v>
      </c>
      <c r="G249">
        <f>raw_data!J249</f>
        <v>1.34</v>
      </c>
      <c r="H249" t="str">
        <f t="shared" si="3"/>
        <v>Wage Pressure</v>
      </c>
    </row>
    <row r="250" spans="1:8" x14ac:dyDescent="0.2">
      <c r="A250" t="str">
        <f>raw_data!A250</f>
        <v>2013Q1</v>
      </c>
      <c r="B250" t="str">
        <f>raw_data!B250</f>
        <v>Victoria</v>
      </c>
      <c r="C250" t="str">
        <f>raw_data!C250</f>
        <v>Education and Training</v>
      </c>
      <c r="D250">
        <f>raw_data!G250</f>
        <v>15.7</v>
      </c>
      <c r="E250">
        <f>raw_data!H250</f>
        <v>1.26</v>
      </c>
      <c r="F250">
        <f>raw_data!I250</f>
        <v>13.85</v>
      </c>
      <c r="G250">
        <f>raw_data!J250</f>
        <v>0.59</v>
      </c>
      <c r="H250" t="str">
        <f t="shared" si="3"/>
        <v>Wage Pressure</v>
      </c>
    </row>
    <row r="251" spans="1:8" x14ac:dyDescent="0.2">
      <c r="A251" t="str">
        <f>raw_data!A251</f>
        <v>2013Q1</v>
      </c>
      <c r="B251" t="str">
        <f>raw_data!B251</f>
        <v>Victoria</v>
      </c>
      <c r="C251" t="str">
        <f>raw_data!C251</f>
        <v>Health Care and Social Assistance</v>
      </c>
      <c r="D251">
        <f>raw_data!G251</f>
        <v>23.68</v>
      </c>
      <c r="E251">
        <f>raw_data!H251</f>
        <v>3.83</v>
      </c>
      <c r="F251">
        <f>raw_data!I251</f>
        <v>17.309999999999999</v>
      </c>
      <c r="G251">
        <f>raw_data!J251</f>
        <v>2.54</v>
      </c>
      <c r="H251" t="str">
        <f t="shared" si="3"/>
        <v>Wage Pressure</v>
      </c>
    </row>
    <row r="252" spans="1:8" x14ac:dyDescent="0.2">
      <c r="A252" t="str">
        <f>raw_data!A252</f>
        <v>2013Q1</v>
      </c>
      <c r="B252" t="str">
        <f>raw_data!B252</f>
        <v>Victoria</v>
      </c>
      <c r="C252" t="str">
        <f>raw_data!C252</f>
        <v>Manufacturing</v>
      </c>
      <c r="D252">
        <f>raw_data!G252</f>
        <v>20.329999999999998</v>
      </c>
      <c r="E252">
        <f>raw_data!H252</f>
        <v>3.3</v>
      </c>
      <c r="F252">
        <f>raw_data!I252</f>
        <v>15.58</v>
      </c>
      <c r="G252">
        <f>raw_data!J252</f>
        <v>1.45</v>
      </c>
      <c r="H252" t="str">
        <f t="shared" si="3"/>
        <v>Wage Pressure</v>
      </c>
    </row>
    <row r="253" spans="1:8" x14ac:dyDescent="0.2">
      <c r="A253" t="str">
        <f>raw_data!A253</f>
        <v>2013Q1</v>
      </c>
      <c r="B253" t="str">
        <f>raw_data!B253</f>
        <v>Victoria</v>
      </c>
      <c r="C253" t="str">
        <f>raw_data!C253</f>
        <v>Professional, Scientific and Technical Services</v>
      </c>
      <c r="D253">
        <f>raw_data!G253</f>
        <v>26.15</v>
      </c>
      <c r="E253">
        <f>raw_data!H253</f>
        <v>6.72</v>
      </c>
      <c r="F253">
        <f>raw_data!I253</f>
        <v>16.149999999999999</v>
      </c>
      <c r="G253">
        <f>raw_data!J253</f>
        <v>3.28</v>
      </c>
      <c r="H253" t="str">
        <f t="shared" si="3"/>
        <v>Wage Pressure</v>
      </c>
    </row>
    <row r="254" spans="1:8" x14ac:dyDescent="0.2">
      <c r="A254" t="str">
        <f>raw_data!A254</f>
        <v>2013Q2</v>
      </c>
      <c r="B254" t="str">
        <f>raw_data!B254</f>
        <v>New South Wales</v>
      </c>
      <c r="C254" t="str">
        <f>raw_data!C254</f>
        <v>Accommodation and Food Services</v>
      </c>
      <c r="D254">
        <f>raw_data!G254</f>
        <v>18.12</v>
      </c>
      <c r="E254">
        <f>raw_data!H254</f>
        <v>4.05</v>
      </c>
      <c r="F254">
        <f>raw_data!I254</f>
        <v>13.27</v>
      </c>
      <c r="G254">
        <f>raw_data!J254</f>
        <v>0.79</v>
      </c>
      <c r="H254" t="str">
        <f t="shared" si="3"/>
        <v>Wage Pressure</v>
      </c>
    </row>
    <row r="255" spans="1:8" x14ac:dyDescent="0.2">
      <c r="A255" t="str">
        <f>raw_data!A255</f>
        <v>2013Q2</v>
      </c>
      <c r="B255" t="str">
        <f>raw_data!B255</f>
        <v>New South Wales</v>
      </c>
      <c r="C255" t="str">
        <f>raw_data!C255</f>
        <v>Construction</v>
      </c>
      <c r="D255">
        <f>raw_data!G255</f>
        <v>24.26</v>
      </c>
      <c r="E255">
        <f>raw_data!H255</f>
        <v>5.97</v>
      </c>
      <c r="F255">
        <f>raw_data!I255</f>
        <v>16.149999999999999</v>
      </c>
      <c r="G255">
        <f>raw_data!J255</f>
        <v>2.13</v>
      </c>
      <c r="H255" t="str">
        <f t="shared" si="3"/>
        <v>Wage Pressure</v>
      </c>
    </row>
    <row r="256" spans="1:8" x14ac:dyDescent="0.2">
      <c r="A256" t="str">
        <f>raw_data!A256</f>
        <v>2013Q2</v>
      </c>
      <c r="B256" t="str">
        <f>raw_data!B256</f>
        <v>New South Wales</v>
      </c>
      <c r="C256" t="str">
        <f>raw_data!C256</f>
        <v>Education and Training</v>
      </c>
      <c r="D256">
        <f>raw_data!G256</f>
        <v>14.37</v>
      </c>
      <c r="E256">
        <f>raw_data!H256</f>
        <v>0.96</v>
      </c>
      <c r="F256">
        <f>raw_data!I256</f>
        <v>12.69</v>
      </c>
      <c r="G256">
        <f>raw_data!J256</f>
        <v>0.71</v>
      </c>
      <c r="H256" t="str">
        <f t="shared" si="3"/>
        <v>Wage Pressure</v>
      </c>
    </row>
    <row r="257" spans="1:8" x14ac:dyDescent="0.2">
      <c r="A257" t="str">
        <f>raw_data!A257</f>
        <v>2013Q2</v>
      </c>
      <c r="B257" t="str">
        <f>raw_data!B257</f>
        <v>New South Wales</v>
      </c>
      <c r="C257" t="str">
        <f>raw_data!C257</f>
        <v>Health Care and Social Assistance</v>
      </c>
      <c r="D257">
        <f>raw_data!G257</f>
        <v>22.43</v>
      </c>
      <c r="E257">
        <f>raw_data!H257</f>
        <v>2.59</v>
      </c>
      <c r="F257">
        <f>raw_data!I257</f>
        <v>17.88</v>
      </c>
      <c r="G257">
        <f>raw_data!J257</f>
        <v>1.96</v>
      </c>
      <c r="H257" t="str">
        <f t="shared" si="3"/>
        <v>Wage Pressure</v>
      </c>
    </row>
    <row r="258" spans="1:8" x14ac:dyDescent="0.2">
      <c r="A258" t="str">
        <f>raw_data!A258</f>
        <v>2013Q2</v>
      </c>
      <c r="B258" t="str">
        <f>raw_data!B258</f>
        <v>New South Wales</v>
      </c>
      <c r="C258" t="str">
        <f>raw_data!C258</f>
        <v>Manufacturing</v>
      </c>
      <c r="D258">
        <f>raw_data!G258</f>
        <v>18.59</v>
      </c>
      <c r="E258">
        <f>raw_data!H258</f>
        <v>2.86</v>
      </c>
      <c r="F258">
        <f>raw_data!I258</f>
        <v>15</v>
      </c>
      <c r="G258">
        <f>raw_data!J258</f>
        <v>0.74</v>
      </c>
      <c r="H258" t="str">
        <f t="shared" si="3"/>
        <v>Wage Pressure</v>
      </c>
    </row>
    <row r="259" spans="1:8" x14ac:dyDescent="0.2">
      <c r="A259" t="str">
        <f>raw_data!A259</f>
        <v>2013Q2</v>
      </c>
      <c r="B259" t="str">
        <f>raw_data!B259</f>
        <v>New South Wales</v>
      </c>
      <c r="C259" t="str">
        <f>raw_data!C259</f>
        <v>Professional, Scientific and Technical Services</v>
      </c>
      <c r="D259">
        <f>raw_data!G259</f>
        <v>21.35</v>
      </c>
      <c r="E259">
        <f>raw_data!H259</f>
        <v>4.79</v>
      </c>
      <c r="F259">
        <f>raw_data!I259</f>
        <v>14.42</v>
      </c>
      <c r="G259">
        <f>raw_data!J259</f>
        <v>2.14</v>
      </c>
      <c r="H259" t="str">
        <f t="shared" ref="H259:H322" si="4">IF(AND(E259&gt;=F259,E259&gt;=G259),"Vacancy Intensity",IF(F259&gt;=G259,"Wage Pressure","Labour Tightness"))</f>
        <v>Wage Pressure</v>
      </c>
    </row>
    <row r="260" spans="1:8" x14ac:dyDescent="0.2">
      <c r="A260" t="str">
        <f>raw_data!A260</f>
        <v>2013Q2</v>
      </c>
      <c r="B260" t="str">
        <f>raw_data!B260</f>
        <v>Queensland</v>
      </c>
      <c r="C260" t="str">
        <f>raw_data!C260</f>
        <v>Accommodation and Food Services</v>
      </c>
      <c r="D260">
        <f>raw_data!G260</f>
        <v>20.69</v>
      </c>
      <c r="E260">
        <f>raw_data!H260</f>
        <v>6.57</v>
      </c>
      <c r="F260">
        <f>raw_data!I260</f>
        <v>13.27</v>
      </c>
      <c r="G260">
        <f>raw_data!J260</f>
        <v>0.84</v>
      </c>
      <c r="H260" t="str">
        <f t="shared" si="4"/>
        <v>Wage Pressure</v>
      </c>
    </row>
    <row r="261" spans="1:8" x14ac:dyDescent="0.2">
      <c r="A261" t="str">
        <f>raw_data!A261</f>
        <v>2013Q2</v>
      </c>
      <c r="B261" t="str">
        <f>raw_data!B261</f>
        <v>Queensland</v>
      </c>
      <c r="C261" t="str">
        <f>raw_data!C261</f>
        <v>Construction</v>
      </c>
      <c r="D261">
        <f>raw_data!G261</f>
        <v>26.46</v>
      </c>
      <c r="E261">
        <f>raw_data!H261</f>
        <v>7.62</v>
      </c>
      <c r="F261">
        <f>raw_data!I261</f>
        <v>16.149999999999999</v>
      </c>
      <c r="G261">
        <f>raw_data!J261</f>
        <v>2.69</v>
      </c>
      <c r="H261" t="str">
        <f t="shared" si="4"/>
        <v>Wage Pressure</v>
      </c>
    </row>
    <row r="262" spans="1:8" x14ac:dyDescent="0.2">
      <c r="A262" t="str">
        <f>raw_data!A262</f>
        <v>2013Q2</v>
      </c>
      <c r="B262" t="str">
        <f>raw_data!B262</f>
        <v>Queensland</v>
      </c>
      <c r="C262" t="str">
        <f>raw_data!C262</f>
        <v>Education and Training</v>
      </c>
      <c r="D262">
        <f>raw_data!G262</f>
        <v>19.18</v>
      </c>
      <c r="E262">
        <f>raw_data!H262</f>
        <v>2.2400000000000002</v>
      </c>
      <c r="F262">
        <f>raw_data!I262</f>
        <v>12.69</v>
      </c>
      <c r="G262">
        <f>raw_data!J262</f>
        <v>4.25</v>
      </c>
      <c r="H262" t="str">
        <f t="shared" si="4"/>
        <v>Wage Pressure</v>
      </c>
    </row>
    <row r="263" spans="1:8" x14ac:dyDescent="0.2">
      <c r="A263" t="str">
        <f>raw_data!A263</f>
        <v>2013Q2</v>
      </c>
      <c r="B263" t="str">
        <f>raw_data!B263</f>
        <v>Queensland</v>
      </c>
      <c r="C263" t="str">
        <f>raw_data!C263</f>
        <v>Health Care and Social Assistance</v>
      </c>
      <c r="D263">
        <f>raw_data!G263</f>
        <v>25.38</v>
      </c>
      <c r="E263">
        <f>raw_data!H263</f>
        <v>4.67</v>
      </c>
      <c r="F263">
        <f>raw_data!I263</f>
        <v>17.88</v>
      </c>
      <c r="G263">
        <f>raw_data!J263</f>
        <v>2.83</v>
      </c>
      <c r="H263" t="str">
        <f t="shared" si="4"/>
        <v>Wage Pressure</v>
      </c>
    </row>
    <row r="264" spans="1:8" x14ac:dyDescent="0.2">
      <c r="A264" t="str">
        <f>raw_data!A264</f>
        <v>2013Q2</v>
      </c>
      <c r="B264" t="str">
        <f>raw_data!B264</f>
        <v>Queensland</v>
      </c>
      <c r="C264" t="str">
        <f>raw_data!C264</f>
        <v>Manufacturing</v>
      </c>
      <c r="D264">
        <f>raw_data!G264</f>
        <v>22.87</v>
      </c>
      <c r="E264">
        <f>raw_data!H264</f>
        <v>5.97</v>
      </c>
      <c r="F264">
        <f>raw_data!I264</f>
        <v>15</v>
      </c>
      <c r="G264">
        <f>raw_data!J264</f>
        <v>1.9</v>
      </c>
      <c r="H264" t="str">
        <f t="shared" si="4"/>
        <v>Wage Pressure</v>
      </c>
    </row>
    <row r="265" spans="1:8" x14ac:dyDescent="0.2">
      <c r="A265" t="str">
        <f>raw_data!A265</f>
        <v>2013Q2</v>
      </c>
      <c r="B265" t="str">
        <f>raw_data!B265</f>
        <v>Queensland</v>
      </c>
      <c r="C265" t="str">
        <f>raw_data!C265</f>
        <v>Professional, Scientific and Technical Services</v>
      </c>
      <c r="D265">
        <f>raw_data!G265</f>
        <v>26.89</v>
      </c>
      <c r="E265">
        <f>raw_data!H265</f>
        <v>8.89</v>
      </c>
      <c r="F265">
        <f>raw_data!I265</f>
        <v>14.42</v>
      </c>
      <c r="G265">
        <f>raw_data!J265</f>
        <v>3.58</v>
      </c>
      <c r="H265" t="str">
        <f t="shared" si="4"/>
        <v>Wage Pressure</v>
      </c>
    </row>
    <row r="266" spans="1:8" x14ac:dyDescent="0.2">
      <c r="A266" t="str">
        <f>raw_data!A266</f>
        <v>2013Q2</v>
      </c>
      <c r="B266" t="str">
        <f>raw_data!B266</f>
        <v>Victoria</v>
      </c>
      <c r="C266" t="str">
        <f>raw_data!C266</f>
        <v>Accommodation and Food Services</v>
      </c>
      <c r="D266">
        <f>raw_data!G266</f>
        <v>20.79</v>
      </c>
      <c r="E266">
        <f>raw_data!H266</f>
        <v>5.84</v>
      </c>
      <c r="F266">
        <f>raw_data!I266</f>
        <v>13.27</v>
      </c>
      <c r="G266">
        <f>raw_data!J266</f>
        <v>1.68</v>
      </c>
      <c r="H266" t="str">
        <f t="shared" si="4"/>
        <v>Wage Pressure</v>
      </c>
    </row>
    <row r="267" spans="1:8" x14ac:dyDescent="0.2">
      <c r="A267" t="str">
        <f>raw_data!A267</f>
        <v>2013Q2</v>
      </c>
      <c r="B267" t="str">
        <f>raw_data!B267</f>
        <v>Victoria</v>
      </c>
      <c r="C267" t="str">
        <f>raw_data!C267</f>
        <v>Construction</v>
      </c>
      <c r="D267">
        <f>raw_data!G267</f>
        <v>24.72</v>
      </c>
      <c r="E267">
        <f>raw_data!H267</f>
        <v>7.09</v>
      </c>
      <c r="F267">
        <f>raw_data!I267</f>
        <v>16.149999999999999</v>
      </c>
      <c r="G267">
        <f>raw_data!J267</f>
        <v>1.47</v>
      </c>
      <c r="H267" t="str">
        <f t="shared" si="4"/>
        <v>Wage Pressure</v>
      </c>
    </row>
    <row r="268" spans="1:8" x14ac:dyDescent="0.2">
      <c r="A268" t="str">
        <f>raw_data!A268</f>
        <v>2013Q2</v>
      </c>
      <c r="B268" t="str">
        <f>raw_data!B268</f>
        <v>Victoria</v>
      </c>
      <c r="C268" t="str">
        <f>raw_data!C268</f>
        <v>Education and Training</v>
      </c>
      <c r="D268">
        <f>raw_data!G268</f>
        <v>15.25</v>
      </c>
      <c r="E268">
        <f>raw_data!H268</f>
        <v>1.4</v>
      </c>
      <c r="F268">
        <f>raw_data!I268</f>
        <v>12.69</v>
      </c>
      <c r="G268">
        <f>raw_data!J268</f>
        <v>1.1599999999999999</v>
      </c>
      <c r="H268" t="str">
        <f t="shared" si="4"/>
        <v>Wage Pressure</v>
      </c>
    </row>
    <row r="269" spans="1:8" x14ac:dyDescent="0.2">
      <c r="A269" t="str">
        <f>raw_data!A269</f>
        <v>2013Q2</v>
      </c>
      <c r="B269" t="str">
        <f>raw_data!B269</f>
        <v>Victoria</v>
      </c>
      <c r="C269" t="str">
        <f>raw_data!C269</f>
        <v>Health Care and Social Assistance</v>
      </c>
      <c r="D269">
        <f>raw_data!G269</f>
        <v>23.56</v>
      </c>
      <c r="E269">
        <f>raw_data!H269</f>
        <v>3.34</v>
      </c>
      <c r="F269">
        <f>raw_data!I269</f>
        <v>17.88</v>
      </c>
      <c r="G269">
        <f>raw_data!J269</f>
        <v>2.33</v>
      </c>
      <c r="H269" t="str">
        <f t="shared" si="4"/>
        <v>Wage Pressure</v>
      </c>
    </row>
    <row r="270" spans="1:8" x14ac:dyDescent="0.2">
      <c r="A270" t="str">
        <f>raw_data!A270</f>
        <v>2013Q2</v>
      </c>
      <c r="B270" t="str">
        <f>raw_data!B270</f>
        <v>Victoria</v>
      </c>
      <c r="C270" t="str">
        <f>raw_data!C270</f>
        <v>Manufacturing</v>
      </c>
      <c r="D270">
        <f>raw_data!G270</f>
        <v>18.54</v>
      </c>
      <c r="E270">
        <f>raw_data!H270</f>
        <v>2.82</v>
      </c>
      <c r="F270">
        <f>raw_data!I270</f>
        <v>15</v>
      </c>
      <c r="G270">
        <f>raw_data!J270</f>
        <v>0.71</v>
      </c>
      <c r="H270" t="str">
        <f t="shared" si="4"/>
        <v>Wage Pressure</v>
      </c>
    </row>
    <row r="271" spans="1:8" x14ac:dyDescent="0.2">
      <c r="A271" t="str">
        <f>raw_data!A271</f>
        <v>2013Q2</v>
      </c>
      <c r="B271" t="str">
        <f>raw_data!B271</f>
        <v>Victoria</v>
      </c>
      <c r="C271" t="str">
        <f>raw_data!C271</f>
        <v>Professional, Scientific and Technical Services</v>
      </c>
      <c r="D271">
        <f>raw_data!G271</f>
        <v>23.35</v>
      </c>
      <c r="E271">
        <f>raw_data!H271</f>
        <v>6.15</v>
      </c>
      <c r="F271">
        <f>raw_data!I271</f>
        <v>14.42</v>
      </c>
      <c r="G271">
        <f>raw_data!J271</f>
        <v>2.78</v>
      </c>
      <c r="H271" t="str">
        <f t="shared" si="4"/>
        <v>Wage Pressure</v>
      </c>
    </row>
    <row r="272" spans="1:8" x14ac:dyDescent="0.2">
      <c r="A272" t="str">
        <f>raw_data!A272</f>
        <v>2013Q3</v>
      </c>
      <c r="B272" t="str">
        <f>raw_data!B272</f>
        <v>New South Wales</v>
      </c>
      <c r="C272" t="str">
        <f>raw_data!C272</f>
        <v>Accommodation and Food Services</v>
      </c>
      <c r="D272">
        <f>raw_data!G272</f>
        <v>17.89</v>
      </c>
      <c r="E272">
        <f>raw_data!H272</f>
        <v>5.38</v>
      </c>
      <c r="F272">
        <f>raw_data!I272</f>
        <v>11.54</v>
      </c>
      <c r="G272">
        <f>raw_data!J272</f>
        <v>0.97</v>
      </c>
      <c r="H272" t="str">
        <f t="shared" si="4"/>
        <v>Wage Pressure</v>
      </c>
    </row>
    <row r="273" spans="1:8" x14ac:dyDescent="0.2">
      <c r="A273" t="str">
        <f>raw_data!A273</f>
        <v>2013Q3</v>
      </c>
      <c r="B273" t="str">
        <f>raw_data!B273</f>
        <v>New South Wales</v>
      </c>
      <c r="C273" t="str">
        <f>raw_data!C273</f>
        <v>Construction</v>
      </c>
      <c r="D273">
        <f>raw_data!G273</f>
        <v>23.82</v>
      </c>
      <c r="E273">
        <f>raw_data!H273</f>
        <v>4.22</v>
      </c>
      <c r="F273">
        <f>raw_data!I273</f>
        <v>16.73</v>
      </c>
      <c r="G273">
        <f>raw_data!J273</f>
        <v>2.88</v>
      </c>
      <c r="H273" t="str">
        <f t="shared" si="4"/>
        <v>Wage Pressure</v>
      </c>
    </row>
    <row r="274" spans="1:8" x14ac:dyDescent="0.2">
      <c r="A274" t="str">
        <f>raw_data!A274</f>
        <v>2013Q3</v>
      </c>
      <c r="B274" t="str">
        <f>raw_data!B274</f>
        <v>New South Wales</v>
      </c>
      <c r="C274" t="str">
        <f>raw_data!C274</f>
        <v>Education and Training</v>
      </c>
      <c r="D274">
        <f>raw_data!G274</f>
        <v>14.35</v>
      </c>
      <c r="E274">
        <f>raw_data!H274</f>
        <v>1.1200000000000001</v>
      </c>
      <c r="F274">
        <f>raw_data!I274</f>
        <v>12.12</v>
      </c>
      <c r="G274">
        <f>raw_data!J274</f>
        <v>1.1200000000000001</v>
      </c>
      <c r="H274" t="str">
        <f t="shared" si="4"/>
        <v>Wage Pressure</v>
      </c>
    </row>
    <row r="275" spans="1:8" x14ac:dyDescent="0.2">
      <c r="A275" t="str">
        <f>raw_data!A275</f>
        <v>2013Q3</v>
      </c>
      <c r="B275" t="str">
        <f>raw_data!B275</f>
        <v>New South Wales</v>
      </c>
      <c r="C275" t="str">
        <f>raw_data!C275</f>
        <v>Health Care and Social Assistance</v>
      </c>
      <c r="D275">
        <f>raw_data!G275</f>
        <v>18.989999999999998</v>
      </c>
      <c r="E275">
        <f>raw_data!H275</f>
        <v>2.44</v>
      </c>
      <c r="F275">
        <f>raw_data!I275</f>
        <v>14.42</v>
      </c>
      <c r="G275">
        <f>raw_data!J275</f>
        <v>2.13</v>
      </c>
      <c r="H275" t="str">
        <f t="shared" si="4"/>
        <v>Wage Pressure</v>
      </c>
    </row>
    <row r="276" spans="1:8" x14ac:dyDescent="0.2">
      <c r="A276" t="str">
        <f>raw_data!A276</f>
        <v>2013Q3</v>
      </c>
      <c r="B276" t="str">
        <f>raw_data!B276</f>
        <v>New South Wales</v>
      </c>
      <c r="C276" t="str">
        <f>raw_data!C276</f>
        <v>Manufacturing</v>
      </c>
      <c r="D276">
        <f>raw_data!G276</f>
        <v>19.84</v>
      </c>
      <c r="E276">
        <f>raw_data!H276</f>
        <v>3.03</v>
      </c>
      <c r="F276">
        <f>raw_data!I276</f>
        <v>15.58</v>
      </c>
      <c r="G276">
        <f>raw_data!J276</f>
        <v>1.24</v>
      </c>
      <c r="H276" t="str">
        <f t="shared" si="4"/>
        <v>Wage Pressure</v>
      </c>
    </row>
    <row r="277" spans="1:8" x14ac:dyDescent="0.2">
      <c r="A277" t="str">
        <f>raw_data!A277</f>
        <v>2013Q3</v>
      </c>
      <c r="B277" t="str">
        <f>raw_data!B277</f>
        <v>New South Wales</v>
      </c>
      <c r="C277" t="str">
        <f>raw_data!C277</f>
        <v>Professional, Scientific and Technical Services</v>
      </c>
      <c r="D277">
        <f>raw_data!G277</f>
        <v>17.8</v>
      </c>
      <c r="E277">
        <f>raw_data!H277</f>
        <v>6.01</v>
      </c>
      <c r="F277">
        <f>raw_data!I277</f>
        <v>9.23</v>
      </c>
      <c r="G277">
        <f>raw_data!J277</f>
        <v>2.56</v>
      </c>
      <c r="H277" t="str">
        <f t="shared" si="4"/>
        <v>Wage Pressure</v>
      </c>
    </row>
    <row r="278" spans="1:8" x14ac:dyDescent="0.2">
      <c r="A278" t="str">
        <f>raw_data!A278</f>
        <v>2013Q3</v>
      </c>
      <c r="B278" t="str">
        <f>raw_data!B278</f>
        <v>Queensland</v>
      </c>
      <c r="C278" t="str">
        <f>raw_data!C278</f>
        <v>Accommodation and Food Services</v>
      </c>
      <c r="D278">
        <f>raw_data!G278</f>
        <v>22.1</v>
      </c>
      <c r="E278">
        <f>raw_data!H278</f>
        <v>9.1199999999999992</v>
      </c>
      <c r="F278">
        <f>raw_data!I278</f>
        <v>11.54</v>
      </c>
      <c r="G278">
        <f>raw_data!J278</f>
        <v>1.43</v>
      </c>
      <c r="H278" t="str">
        <f t="shared" si="4"/>
        <v>Wage Pressure</v>
      </c>
    </row>
    <row r="279" spans="1:8" x14ac:dyDescent="0.2">
      <c r="A279" t="str">
        <f>raw_data!A279</f>
        <v>2013Q3</v>
      </c>
      <c r="B279" t="str">
        <f>raw_data!B279</f>
        <v>Queensland</v>
      </c>
      <c r="C279" t="str">
        <f>raw_data!C279</f>
        <v>Construction</v>
      </c>
      <c r="D279">
        <f>raw_data!G279</f>
        <v>23.88</v>
      </c>
      <c r="E279">
        <f>raw_data!H279</f>
        <v>5.4</v>
      </c>
      <c r="F279">
        <f>raw_data!I279</f>
        <v>16.73</v>
      </c>
      <c r="G279">
        <f>raw_data!J279</f>
        <v>1.75</v>
      </c>
      <c r="H279" t="str">
        <f t="shared" si="4"/>
        <v>Wage Pressure</v>
      </c>
    </row>
    <row r="280" spans="1:8" x14ac:dyDescent="0.2">
      <c r="A280" t="str">
        <f>raw_data!A280</f>
        <v>2013Q3</v>
      </c>
      <c r="B280" t="str">
        <f>raw_data!B280</f>
        <v>Queensland</v>
      </c>
      <c r="C280" t="str">
        <f>raw_data!C280</f>
        <v>Education and Training</v>
      </c>
      <c r="D280">
        <f>raw_data!G280</f>
        <v>16.440000000000001</v>
      </c>
      <c r="E280">
        <f>raw_data!H280</f>
        <v>2.48</v>
      </c>
      <c r="F280">
        <f>raw_data!I280</f>
        <v>12.12</v>
      </c>
      <c r="G280">
        <f>raw_data!J280</f>
        <v>1.85</v>
      </c>
      <c r="H280" t="str">
        <f t="shared" si="4"/>
        <v>Wage Pressure</v>
      </c>
    </row>
    <row r="281" spans="1:8" x14ac:dyDescent="0.2">
      <c r="A281" t="str">
        <f>raw_data!A281</f>
        <v>2013Q3</v>
      </c>
      <c r="B281" t="str">
        <f>raw_data!B281</f>
        <v>Queensland</v>
      </c>
      <c r="C281" t="str">
        <f>raw_data!C281</f>
        <v>Health Care and Social Assistance</v>
      </c>
      <c r="D281">
        <f>raw_data!G281</f>
        <v>23.73</v>
      </c>
      <c r="E281">
        <f>raw_data!H281</f>
        <v>4.8600000000000003</v>
      </c>
      <c r="F281">
        <f>raw_data!I281</f>
        <v>14.42</v>
      </c>
      <c r="G281">
        <f>raw_data!J281</f>
        <v>4.4400000000000004</v>
      </c>
      <c r="H281" t="str">
        <f t="shared" si="4"/>
        <v>Wage Pressure</v>
      </c>
    </row>
    <row r="282" spans="1:8" x14ac:dyDescent="0.2">
      <c r="A282" t="str">
        <f>raw_data!A282</f>
        <v>2013Q3</v>
      </c>
      <c r="B282" t="str">
        <f>raw_data!B282</f>
        <v>Queensland</v>
      </c>
      <c r="C282" t="str">
        <f>raw_data!C282</f>
        <v>Manufacturing</v>
      </c>
      <c r="D282">
        <f>raw_data!G282</f>
        <v>22.78</v>
      </c>
      <c r="E282">
        <f>raw_data!H282</f>
        <v>5.05</v>
      </c>
      <c r="F282">
        <f>raw_data!I282</f>
        <v>15.58</v>
      </c>
      <c r="G282">
        <f>raw_data!J282</f>
        <v>2.16</v>
      </c>
      <c r="H282" t="str">
        <f t="shared" si="4"/>
        <v>Wage Pressure</v>
      </c>
    </row>
    <row r="283" spans="1:8" x14ac:dyDescent="0.2">
      <c r="A283" t="str">
        <f>raw_data!A283</f>
        <v>2013Q3</v>
      </c>
      <c r="B283" t="str">
        <f>raw_data!B283</f>
        <v>Queensland</v>
      </c>
      <c r="C283" t="str">
        <f>raw_data!C283</f>
        <v>Professional, Scientific and Technical Services</v>
      </c>
      <c r="D283">
        <f>raw_data!G283</f>
        <v>29.38</v>
      </c>
      <c r="E283">
        <f>raw_data!H283</f>
        <v>11.35</v>
      </c>
      <c r="F283">
        <f>raw_data!I283</f>
        <v>9.23</v>
      </c>
      <c r="G283">
        <f>raw_data!J283</f>
        <v>8.8000000000000007</v>
      </c>
      <c r="H283" t="str">
        <f t="shared" si="4"/>
        <v>Vacancy Intensity</v>
      </c>
    </row>
    <row r="284" spans="1:8" x14ac:dyDescent="0.2">
      <c r="A284" t="str">
        <f>raw_data!A284</f>
        <v>2013Q3</v>
      </c>
      <c r="B284" t="str">
        <f>raw_data!B284</f>
        <v>Victoria</v>
      </c>
      <c r="C284" t="str">
        <f>raw_data!C284</f>
        <v>Accommodation and Food Services</v>
      </c>
      <c r="D284">
        <f>raw_data!G284</f>
        <v>20.37</v>
      </c>
      <c r="E284">
        <f>raw_data!H284</f>
        <v>6.73</v>
      </c>
      <c r="F284">
        <f>raw_data!I284</f>
        <v>11.54</v>
      </c>
      <c r="G284">
        <f>raw_data!J284</f>
        <v>2.1</v>
      </c>
      <c r="H284" t="str">
        <f t="shared" si="4"/>
        <v>Wage Pressure</v>
      </c>
    </row>
    <row r="285" spans="1:8" x14ac:dyDescent="0.2">
      <c r="A285" t="str">
        <f>raw_data!A285</f>
        <v>2013Q3</v>
      </c>
      <c r="B285" t="str">
        <f>raw_data!B285</f>
        <v>Victoria</v>
      </c>
      <c r="C285" t="str">
        <f>raw_data!C285</f>
        <v>Construction</v>
      </c>
      <c r="D285">
        <f>raw_data!G285</f>
        <v>22.93</v>
      </c>
      <c r="E285">
        <f>raw_data!H285</f>
        <v>5.0199999999999996</v>
      </c>
      <c r="F285">
        <f>raw_data!I285</f>
        <v>16.73</v>
      </c>
      <c r="G285">
        <f>raw_data!J285</f>
        <v>1.19</v>
      </c>
      <c r="H285" t="str">
        <f t="shared" si="4"/>
        <v>Wage Pressure</v>
      </c>
    </row>
    <row r="286" spans="1:8" x14ac:dyDescent="0.2">
      <c r="A286" t="str">
        <f>raw_data!A286</f>
        <v>2013Q3</v>
      </c>
      <c r="B286" t="str">
        <f>raw_data!B286</f>
        <v>Victoria</v>
      </c>
      <c r="C286" t="str">
        <f>raw_data!C286</f>
        <v>Education and Training</v>
      </c>
      <c r="D286">
        <f>raw_data!G286</f>
        <v>15.8</v>
      </c>
      <c r="E286">
        <f>raw_data!H286</f>
        <v>1.64</v>
      </c>
      <c r="F286">
        <f>raw_data!I286</f>
        <v>12.12</v>
      </c>
      <c r="G286">
        <f>raw_data!J286</f>
        <v>2.0499999999999998</v>
      </c>
      <c r="H286" t="str">
        <f t="shared" si="4"/>
        <v>Wage Pressure</v>
      </c>
    </row>
    <row r="287" spans="1:8" x14ac:dyDescent="0.2">
      <c r="A287" t="str">
        <f>raw_data!A287</f>
        <v>2013Q3</v>
      </c>
      <c r="B287" t="str">
        <f>raw_data!B287</f>
        <v>Victoria</v>
      </c>
      <c r="C287" t="str">
        <f>raw_data!C287</f>
        <v>Health Care and Social Assistance</v>
      </c>
      <c r="D287">
        <f>raw_data!G287</f>
        <v>20.51</v>
      </c>
      <c r="E287">
        <f>raw_data!H287</f>
        <v>3.42</v>
      </c>
      <c r="F287">
        <f>raw_data!I287</f>
        <v>14.42</v>
      </c>
      <c r="G287">
        <f>raw_data!J287</f>
        <v>2.66</v>
      </c>
      <c r="H287" t="str">
        <f t="shared" si="4"/>
        <v>Wage Pressure</v>
      </c>
    </row>
    <row r="288" spans="1:8" x14ac:dyDescent="0.2">
      <c r="A288" t="str">
        <f>raw_data!A288</f>
        <v>2013Q3</v>
      </c>
      <c r="B288" t="str">
        <f>raw_data!B288</f>
        <v>Victoria</v>
      </c>
      <c r="C288" t="str">
        <f>raw_data!C288</f>
        <v>Manufacturing</v>
      </c>
      <c r="D288">
        <f>raw_data!G288</f>
        <v>19.07</v>
      </c>
      <c r="E288">
        <f>raw_data!H288</f>
        <v>2.75</v>
      </c>
      <c r="F288">
        <f>raw_data!I288</f>
        <v>15.58</v>
      </c>
      <c r="G288">
        <f>raw_data!J288</f>
        <v>0.74</v>
      </c>
      <c r="H288" t="str">
        <f t="shared" si="4"/>
        <v>Wage Pressure</v>
      </c>
    </row>
    <row r="289" spans="1:8" x14ac:dyDescent="0.2">
      <c r="A289" t="str">
        <f>raw_data!A289</f>
        <v>2013Q3</v>
      </c>
      <c r="B289" t="str">
        <f>raw_data!B289</f>
        <v>Victoria</v>
      </c>
      <c r="C289" t="str">
        <f>raw_data!C289</f>
        <v>Professional, Scientific and Technical Services</v>
      </c>
      <c r="D289">
        <f>raw_data!G289</f>
        <v>19.829999999999998</v>
      </c>
      <c r="E289">
        <f>raw_data!H289</f>
        <v>6.53</v>
      </c>
      <c r="F289">
        <f>raw_data!I289</f>
        <v>9.23</v>
      </c>
      <c r="G289">
        <f>raw_data!J289</f>
        <v>4.0599999999999996</v>
      </c>
      <c r="H289" t="str">
        <f t="shared" si="4"/>
        <v>Wage Pressure</v>
      </c>
    </row>
    <row r="290" spans="1:8" x14ac:dyDescent="0.2">
      <c r="A290" t="str">
        <f>raw_data!A290</f>
        <v>2013Q4</v>
      </c>
      <c r="B290" t="str">
        <f>raw_data!B290</f>
        <v>New South Wales</v>
      </c>
      <c r="C290" t="str">
        <f>raw_data!C290</f>
        <v>Accommodation and Food Services</v>
      </c>
      <c r="D290">
        <f>raw_data!G290</f>
        <v>22.08</v>
      </c>
      <c r="E290">
        <f>raw_data!H290</f>
        <v>9.39</v>
      </c>
      <c r="F290">
        <f>raw_data!I290</f>
        <v>10.96</v>
      </c>
      <c r="G290">
        <f>raw_data!J290</f>
        <v>1.73</v>
      </c>
      <c r="H290" t="str">
        <f t="shared" si="4"/>
        <v>Wage Pressure</v>
      </c>
    </row>
    <row r="291" spans="1:8" x14ac:dyDescent="0.2">
      <c r="A291" t="str">
        <f>raw_data!A291</f>
        <v>2013Q4</v>
      </c>
      <c r="B291" t="str">
        <f>raw_data!B291</f>
        <v>New South Wales</v>
      </c>
      <c r="C291" t="str">
        <f>raw_data!C291</f>
        <v>Construction</v>
      </c>
      <c r="D291">
        <f>raw_data!G291</f>
        <v>18.96</v>
      </c>
      <c r="E291">
        <f>raw_data!H291</f>
        <v>3.25</v>
      </c>
      <c r="F291">
        <f>raw_data!I291</f>
        <v>14.42</v>
      </c>
      <c r="G291">
        <f>raw_data!J291</f>
        <v>1.28</v>
      </c>
      <c r="H291" t="str">
        <f t="shared" si="4"/>
        <v>Wage Pressure</v>
      </c>
    </row>
    <row r="292" spans="1:8" x14ac:dyDescent="0.2">
      <c r="A292" t="str">
        <f>raw_data!A292</f>
        <v>2013Q4</v>
      </c>
      <c r="B292" t="str">
        <f>raw_data!B292</f>
        <v>New South Wales</v>
      </c>
      <c r="C292" t="str">
        <f>raw_data!C292</f>
        <v>Education and Training</v>
      </c>
      <c r="D292">
        <f>raw_data!G292</f>
        <v>16.059999999999999</v>
      </c>
      <c r="E292">
        <f>raw_data!H292</f>
        <v>0.35</v>
      </c>
      <c r="F292">
        <f>raw_data!I292</f>
        <v>15</v>
      </c>
      <c r="G292">
        <f>raw_data!J292</f>
        <v>0.71</v>
      </c>
      <c r="H292" t="str">
        <f t="shared" si="4"/>
        <v>Wage Pressure</v>
      </c>
    </row>
    <row r="293" spans="1:8" x14ac:dyDescent="0.2">
      <c r="A293" t="str">
        <f>raw_data!A293</f>
        <v>2013Q4</v>
      </c>
      <c r="B293" t="str">
        <f>raw_data!B293</f>
        <v>New South Wales</v>
      </c>
      <c r="C293" t="str">
        <f>raw_data!C293</f>
        <v>Health Care and Social Assistance</v>
      </c>
      <c r="D293">
        <f>raw_data!G293</f>
        <v>19.66</v>
      </c>
      <c r="E293">
        <f>raw_data!H293</f>
        <v>2.5</v>
      </c>
      <c r="F293">
        <f>raw_data!I293</f>
        <v>13.85</v>
      </c>
      <c r="G293">
        <f>raw_data!J293</f>
        <v>3.32</v>
      </c>
      <c r="H293" t="str">
        <f t="shared" si="4"/>
        <v>Wage Pressure</v>
      </c>
    </row>
    <row r="294" spans="1:8" x14ac:dyDescent="0.2">
      <c r="A294" t="str">
        <f>raw_data!A294</f>
        <v>2013Q4</v>
      </c>
      <c r="B294" t="str">
        <f>raw_data!B294</f>
        <v>New South Wales</v>
      </c>
      <c r="C294" t="str">
        <f>raw_data!C294</f>
        <v>Manufacturing</v>
      </c>
      <c r="D294">
        <f>raw_data!G294</f>
        <v>16.649999999999999</v>
      </c>
      <c r="E294">
        <f>raw_data!H294</f>
        <v>1.7</v>
      </c>
      <c r="F294">
        <f>raw_data!I294</f>
        <v>14.42</v>
      </c>
      <c r="G294">
        <f>raw_data!J294</f>
        <v>0.52</v>
      </c>
      <c r="H294" t="str">
        <f t="shared" si="4"/>
        <v>Wage Pressure</v>
      </c>
    </row>
    <row r="295" spans="1:8" x14ac:dyDescent="0.2">
      <c r="A295" t="str">
        <f>raw_data!A295</f>
        <v>2013Q4</v>
      </c>
      <c r="B295" t="str">
        <f>raw_data!B295</f>
        <v>New South Wales</v>
      </c>
      <c r="C295" t="str">
        <f>raw_data!C295</f>
        <v>Professional, Scientific and Technical Services</v>
      </c>
      <c r="D295">
        <f>raw_data!G295</f>
        <v>15.37</v>
      </c>
      <c r="E295">
        <f>raw_data!H295</f>
        <v>5.23</v>
      </c>
      <c r="F295">
        <f>raw_data!I295</f>
        <v>7.5</v>
      </c>
      <c r="G295">
        <f>raw_data!J295</f>
        <v>2.64</v>
      </c>
      <c r="H295" t="str">
        <f t="shared" si="4"/>
        <v>Wage Pressure</v>
      </c>
    </row>
    <row r="296" spans="1:8" x14ac:dyDescent="0.2">
      <c r="A296" t="str">
        <f>raw_data!A296</f>
        <v>2013Q4</v>
      </c>
      <c r="B296" t="str">
        <f>raw_data!B296</f>
        <v>Queensland</v>
      </c>
      <c r="C296" t="str">
        <f>raw_data!C296</f>
        <v>Accommodation and Food Services</v>
      </c>
      <c r="D296">
        <f>raw_data!G296</f>
        <v>29.25</v>
      </c>
      <c r="E296">
        <f>raw_data!H296</f>
        <v>15.71</v>
      </c>
      <c r="F296">
        <f>raw_data!I296</f>
        <v>10.96</v>
      </c>
      <c r="G296">
        <f>raw_data!J296</f>
        <v>2.58</v>
      </c>
      <c r="H296" t="str">
        <f t="shared" si="4"/>
        <v>Vacancy Intensity</v>
      </c>
    </row>
    <row r="297" spans="1:8" x14ac:dyDescent="0.2">
      <c r="A297" t="str">
        <f>raw_data!A297</f>
        <v>2013Q4</v>
      </c>
      <c r="B297" t="str">
        <f>raw_data!B297</f>
        <v>Queensland</v>
      </c>
      <c r="C297" t="str">
        <f>raw_data!C297</f>
        <v>Construction</v>
      </c>
      <c r="D297">
        <f>raw_data!G297</f>
        <v>19.850000000000001</v>
      </c>
      <c r="E297">
        <f>raw_data!H297</f>
        <v>4.03</v>
      </c>
      <c r="F297">
        <f>raw_data!I297</f>
        <v>14.42</v>
      </c>
      <c r="G297">
        <f>raw_data!J297</f>
        <v>1.4</v>
      </c>
      <c r="H297" t="str">
        <f t="shared" si="4"/>
        <v>Wage Pressure</v>
      </c>
    </row>
    <row r="298" spans="1:8" x14ac:dyDescent="0.2">
      <c r="A298" t="str">
        <f>raw_data!A298</f>
        <v>2013Q4</v>
      </c>
      <c r="B298" t="str">
        <f>raw_data!B298</f>
        <v>Queensland</v>
      </c>
      <c r="C298" t="str">
        <f>raw_data!C298</f>
        <v>Education and Training</v>
      </c>
      <c r="D298">
        <f>raw_data!G298</f>
        <v>18.16</v>
      </c>
      <c r="E298">
        <f>raw_data!H298</f>
        <v>1.19</v>
      </c>
      <c r="F298">
        <f>raw_data!I298</f>
        <v>15</v>
      </c>
      <c r="G298">
        <f>raw_data!J298</f>
        <v>1.97</v>
      </c>
      <c r="H298" t="str">
        <f t="shared" si="4"/>
        <v>Wage Pressure</v>
      </c>
    </row>
    <row r="299" spans="1:8" x14ac:dyDescent="0.2">
      <c r="A299" t="str">
        <f>raw_data!A299</f>
        <v>2013Q4</v>
      </c>
      <c r="B299" t="str">
        <f>raw_data!B299</f>
        <v>Queensland</v>
      </c>
      <c r="C299" t="str">
        <f>raw_data!C299</f>
        <v>Health Care and Social Assistance</v>
      </c>
      <c r="D299">
        <f>raw_data!G299</f>
        <v>21.08</v>
      </c>
      <c r="E299">
        <f>raw_data!H299</f>
        <v>4.4400000000000004</v>
      </c>
      <c r="F299">
        <f>raw_data!I299</f>
        <v>13.85</v>
      </c>
      <c r="G299">
        <f>raw_data!J299</f>
        <v>2.79</v>
      </c>
      <c r="H299" t="str">
        <f t="shared" si="4"/>
        <v>Wage Pressure</v>
      </c>
    </row>
    <row r="300" spans="1:8" x14ac:dyDescent="0.2">
      <c r="A300" t="str">
        <f>raw_data!A300</f>
        <v>2013Q4</v>
      </c>
      <c r="B300" t="str">
        <f>raw_data!B300</f>
        <v>Queensland</v>
      </c>
      <c r="C300" t="str">
        <f>raw_data!C300</f>
        <v>Manufacturing</v>
      </c>
      <c r="D300">
        <f>raw_data!G300</f>
        <v>18.32</v>
      </c>
      <c r="E300">
        <f>raw_data!H300</f>
        <v>2.7</v>
      </c>
      <c r="F300">
        <f>raw_data!I300</f>
        <v>14.42</v>
      </c>
      <c r="G300">
        <f>raw_data!J300</f>
        <v>1.2</v>
      </c>
      <c r="H300" t="str">
        <f t="shared" si="4"/>
        <v>Wage Pressure</v>
      </c>
    </row>
    <row r="301" spans="1:8" x14ac:dyDescent="0.2">
      <c r="A301" t="str">
        <f>raw_data!A301</f>
        <v>2013Q4</v>
      </c>
      <c r="B301" t="str">
        <f>raw_data!B301</f>
        <v>Queensland</v>
      </c>
      <c r="C301" t="str">
        <f>raw_data!C301</f>
        <v>Professional, Scientific and Technical Services</v>
      </c>
      <c r="D301">
        <f>raw_data!G301</f>
        <v>29.32</v>
      </c>
      <c r="E301">
        <f>raw_data!H301</f>
        <v>11.56</v>
      </c>
      <c r="F301">
        <f>raw_data!I301</f>
        <v>7.5</v>
      </c>
      <c r="G301">
        <f>raw_data!J301</f>
        <v>10.26</v>
      </c>
      <c r="H301" t="str">
        <f t="shared" si="4"/>
        <v>Vacancy Intensity</v>
      </c>
    </row>
    <row r="302" spans="1:8" x14ac:dyDescent="0.2">
      <c r="A302" t="str">
        <f>raw_data!A302</f>
        <v>2013Q4</v>
      </c>
      <c r="B302" t="str">
        <f>raw_data!B302</f>
        <v>Victoria</v>
      </c>
      <c r="C302" t="str">
        <f>raw_data!C302</f>
        <v>Accommodation and Food Services</v>
      </c>
      <c r="D302">
        <f>raw_data!G302</f>
        <v>25.14</v>
      </c>
      <c r="E302">
        <f>raw_data!H302</f>
        <v>12.04</v>
      </c>
      <c r="F302">
        <f>raw_data!I302</f>
        <v>10.96</v>
      </c>
      <c r="G302">
        <f>raw_data!J302</f>
        <v>2.14</v>
      </c>
      <c r="H302" t="str">
        <f t="shared" si="4"/>
        <v>Vacancy Intensity</v>
      </c>
    </row>
    <row r="303" spans="1:8" x14ac:dyDescent="0.2">
      <c r="A303" t="str">
        <f>raw_data!A303</f>
        <v>2013Q4</v>
      </c>
      <c r="B303" t="str">
        <f>raw_data!B303</f>
        <v>Victoria</v>
      </c>
      <c r="C303" t="str">
        <f>raw_data!C303</f>
        <v>Construction</v>
      </c>
      <c r="D303">
        <f>raw_data!G303</f>
        <v>19.46</v>
      </c>
      <c r="E303">
        <f>raw_data!H303</f>
        <v>3.76</v>
      </c>
      <c r="F303">
        <f>raw_data!I303</f>
        <v>14.42</v>
      </c>
      <c r="G303">
        <f>raw_data!J303</f>
        <v>1.28</v>
      </c>
      <c r="H303" t="str">
        <f t="shared" si="4"/>
        <v>Wage Pressure</v>
      </c>
    </row>
    <row r="304" spans="1:8" x14ac:dyDescent="0.2">
      <c r="A304" t="str">
        <f>raw_data!A304</f>
        <v>2013Q4</v>
      </c>
      <c r="B304" t="str">
        <f>raw_data!B304</f>
        <v>Victoria</v>
      </c>
      <c r="C304" t="str">
        <f>raw_data!C304</f>
        <v>Education and Training</v>
      </c>
      <c r="D304">
        <f>raw_data!G304</f>
        <v>16.350000000000001</v>
      </c>
      <c r="E304">
        <f>raw_data!H304</f>
        <v>0.6</v>
      </c>
      <c r="F304">
        <f>raw_data!I304</f>
        <v>15</v>
      </c>
      <c r="G304">
        <f>raw_data!J304</f>
        <v>0.76</v>
      </c>
      <c r="H304" t="str">
        <f t="shared" si="4"/>
        <v>Wage Pressure</v>
      </c>
    </row>
    <row r="305" spans="1:8" x14ac:dyDescent="0.2">
      <c r="A305" t="str">
        <f>raw_data!A305</f>
        <v>2013Q4</v>
      </c>
      <c r="B305" t="str">
        <f>raw_data!B305</f>
        <v>Victoria</v>
      </c>
      <c r="C305" t="str">
        <f>raw_data!C305</f>
        <v>Health Care and Social Assistance</v>
      </c>
      <c r="D305">
        <f>raw_data!G305</f>
        <v>19.68</v>
      </c>
      <c r="E305">
        <f>raw_data!H305</f>
        <v>3.28</v>
      </c>
      <c r="F305">
        <f>raw_data!I305</f>
        <v>13.85</v>
      </c>
      <c r="G305">
        <f>raw_data!J305</f>
        <v>2.56</v>
      </c>
      <c r="H305" t="str">
        <f t="shared" si="4"/>
        <v>Wage Pressure</v>
      </c>
    </row>
    <row r="306" spans="1:8" x14ac:dyDescent="0.2">
      <c r="A306" t="str">
        <f>raw_data!A306</f>
        <v>2013Q4</v>
      </c>
      <c r="B306" t="str">
        <f>raw_data!B306</f>
        <v>Victoria</v>
      </c>
      <c r="C306" t="str">
        <f>raw_data!C306</f>
        <v>Manufacturing</v>
      </c>
      <c r="D306">
        <f>raw_data!G306</f>
        <v>16.739999999999998</v>
      </c>
      <c r="E306">
        <f>raw_data!H306</f>
        <v>1.68</v>
      </c>
      <c r="F306">
        <f>raw_data!I306</f>
        <v>14.42</v>
      </c>
      <c r="G306">
        <f>raw_data!J306</f>
        <v>0.64</v>
      </c>
      <c r="H306" t="str">
        <f t="shared" si="4"/>
        <v>Wage Pressure</v>
      </c>
    </row>
    <row r="307" spans="1:8" x14ac:dyDescent="0.2">
      <c r="A307" t="str">
        <f>raw_data!A307</f>
        <v>2013Q4</v>
      </c>
      <c r="B307" t="str">
        <f>raw_data!B307</f>
        <v>Victoria</v>
      </c>
      <c r="C307" t="str">
        <f>raw_data!C307</f>
        <v>Professional, Scientific and Technical Services</v>
      </c>
      <c r="D307">
        <f>raw_data!G307</f>
        <v>16.23</v>
      </c>
      <c r="E307">
        <f>raw_data!H307</f>
        <v>6.56</v>
      </c>
      <c r="F307">
        <f>raw_data!I307</f>
        <v>7.5</v>
      </c>
      <c r="G307">
        <f>raw_data!J307</f>
        <v>2.1800000000000002</v>
      </c>
      <c r="H307" t="str">
        <f t="shared" si="4"/>
        <v>Wage Pressure</v>
      </c>
    </row>
    <row r="308" spans="1:8" x14ac:dyDescent="0.2">
      <c r="A308" t="str">
        <f>raw_data!A308</f>
        <v>2014Q1</v>
      </c>
      <c r="B308" t="str">
        <f>raw_data!B308</f>
        <v>New South Wales</v>
      </c>
      <c r="C308" t="str">
        <f>raw_data!C308</f>
        <v>Accommodation and Food Services</v>
      </c>
      <c r="D308">
        <f>raw_data!G308</f>
        <v>19.75</v>
      </c>
      <c r="E308">
        <f>raw_data!H308</f>
        <v>7.37</v>
      </c>
      <c r="F308">
        <f>raw_data!I308</f>
        <v>11.54</v>
      </c>
      <c r="G308">
        <f>raw_data!J308</f>
        <v>0.84</v>
      </c>
      <c r="H308" t="str">
        <f t="shared" si="4"/>
        <v>Wage Pressure</v>
      </c>
    </row>
    <row r="309" spans="1:8" x14ac:dyDescent="0.2">
      <c r="A309" t="str">
        <f>raw_data!A309</f>
        <v>2014Q1</v>
      </c>
      <c r="B309" t="str">
        <f>raw_data!B309</f>
        <v>New South Wales</v>
      </c>
      <c r="C309" t="str">
        <f>raw_data!C309</f>
        <v>Construction</v>
      </c>
      <c r="D309">
        <f>raw_data!G309</f>
        <v>22.78</v>
      </c>
      <c r="E309">
        <f>raw_data!H309</f>
        <v>4.3600000000000003</v>
      </c>
      <c r="F309">
        <f>raw_data!I309</f>
        <v>16.73</v>
      </c>
      <c r="G309">
        <f>raw_data!J309</f>
        <v>1.69</v>
      </c>
      <c r="H309" t="str">
        <f t="shared" si="4"/>
        <v>Wage Pressure</v>
      </c>
    </row>
    <row r="310" spans="1:8" x14ac:dyDescent="0.2">
      <c r="A310" t="str">
        <f>raw_data!A310</f>
        <v>2014Q1</v>
      </c>
      <c r="B310" t="str">
        <f>raw_data!B310</f>
        <v>New South Wales</v>
      </c>
      <c r="C310" t="str">
        <f>raw_data!C310</f>
        <v>Education and Training</v>
      </c>
      <c r="D310">
        <f>raw_data!G310</f>
        <v>17.18</v>
      </c>
      <c r="E310">
        <f>raw_data!H310</f>
        <v>0.14000000000000001</v>
      </c>
      <c r="F310">
        <f>raw_data!I310</f>
        <v>16.73</v>
      </c>
      <c r="G310">
        <f>raw_data!J310</f>
        <v>0.31</v>
      </c>
      <c r="H310" t="str">
        <f t="shared" si="4"/>
        <v>Wage Pressure</v>
      </c>
    </row>
    <row r="311" spans="1:8" x14ac:dyDescent="0.2">
      <c r="A311" t="str">
        <f>raw_data!A311</f>
        <v>2014Q1</v>
      </c>
      <c r="B311" t="str">
        <f>raw_data!B311</f>
        <v>New South Wales</v>
      </c>
      <c r="C311" t="str">
        <f>raw_data!C311</f>
        <v>Health Care and Social Assistance</v>
      </c>
      <c r="D311">
        <f>raw_data!G311</f>
        <v>19.86</v>
      </c>
      <c r="E311">
        <f>raw_data!H311</f>
        <v>2.52</v>
      </c>
      <c r="F311">
        <f>raw_data!I311</f>
        <v>15</v>
      </c>
      <c r="G311">
        <f>raw_data!J311</f>
        <v>2.33</v>
      </c>
      <c r="H311" t="str">
        <f t="shared" si="4"/>
        <v>Wage Pressure</v>
      </c>
    </row>
    <row r="312" spans="1:8" x14ac:dyDescent="0.2">
      <c r="A312" t="str">
        <f>raw_data!A312</f>
        <v>2014Q1</v>
      </c>
      <c r="B312" t="str">
        <f>raw_data!B312</f>
        <v>New South Wales</v>
      </c>
      <c r="C312" t="str">
        <f>raw_data!C312</f>
        <v>Manufacturing</v>
      </c>
      <c r="D312">
        <f>raw_data!G312</f>
        <v>18.989999999999998</v>
      </c>
      <c r="E312">
        <f>raw_data!H312</f>
        <v>2.2999999999999998</v>
      </c>
      <c r="F312">
        <f>raw_data!I312</f>
        <v>16.149999999999999</v>
      </c>
      <c r="G312">
        <f>raw_data!J312</f>
        <v>0.53</v>
      </c>
      <c r="H312" t="str">
        <f t="shared" si="4"/>
        <v>Wage Pressure</v>
      </c>
    </row>
    <row r="313" spans="1:8" x14ac:dyDescent="0.2">
      <c r="A313" t="str">
        <f>raw_data!A313</f>
        <v>2014Q1</v>
      </c>
      <c r="B313" t="str">
        <f>raw_data!B313</f>
        <v>New South Wales</v>
      </c>
      <c r="C313" t="str">
        <f>raw_data!C313</f>
        <v>Professional, Scientific and Technical Services</v>
      </c>
      <c r="D313">
        <f>raw_data!G313</f>
        <v>16.850000000000001</v>
      </c>
      <c r="E313">
        <f>raw_data!H313</f>
        <v>5.05</v>
      </c>
      <c r="F313">
        <f>raw_data!I313</f>
        <v>9.23</v>
      </c>
      <c r="G313">
        <f>raw_data!J313</f>
        <v>2.57</v>
      </c>
      <c r="H313" t="str">
        <f t="shared" si="4"/>
        <v>Wage Pressure</v>
      </c>
    </row>
    <row r="314" spans="1:8" x14ac:dyDescent="0.2">
      <c r="A314" t="str">
        <f>raw_data!A314</f>
        <v>2014Q1</v>
      </c>
      <c r="B314" t="str">
        <f>raw_data!B314</f>
        <v>Queensland</v>
      </c>
      <c r="C314" t="str">
        <f>raw_data!C314</f>
        <v>Accommodation and Food Services</v>
      </c>
      <c r="D314">
        <f>raw_data!G314</f>
        <v>25.8</v>
      </c>
      <c r="E314">
        <f>raw_data!H314</f>
        <v>12.64</v>
      </c>
      <c r="F314">
        <f>raw_data!I314</f>
        <v>11.54</v>
      </c>
      <c r="G314">
        <f>raw_data!J314</f>
        <v>1.62</v>
      </c>
      <c r="H314" t="str">
        <f t="shared" si="4"/>
        <v>Vacancy Intensity</v>
      </c>
    </row>
    <row r="315" spans="1:8" x14ac:dyDescent="0.2">
      <c r="A315" t="str">
        <f>raw_data!A315</f>
        <v>2014Q1</v>
      </c>
      <c r="B315" t="str">
        <f>raw_data!B315</f>
        <v>Queensland</v>
      </c>
      <c r="C315" t="str">
        <f>raw_data!C315</f>
        <v>Construction</v>
      </c>
      <c r="D315">
        <f>raw_data!G315</f>
        <v>24.22</v>
      </c>
      <c r="E315">
        <f>raw_data!H315</f>
        <v>6.01</v>
      </c>
      <c r="F315">
        <f>raw_data!I315</f>
        <v>16.73</v>
      </c>
      <c r="G315">
        <f>raw_data!J315</f>
        <v>1.48</v>
      </c>
      <c r="H315" t="str">
        <f t="shared" si="4"/>
        <v>Wage Pressure</v>
      </c>
    </row>
    <row r="316" spans="1:8" x14ac:dyDescent="0.2">
      <c r="A316" t="str">
        <f>raw_data!A316</f>
        <v>2014Q1</v>
      </c>
      <c r="B316" t="str">
        <f>raw_data!B316</f>
        <v>Queensland</v>
      </c>
      <c r="C316" t="str">
        <f>raw_data!C316</f>
        <v>Education and Training</v>
      </c>
      <c r="D316">
        <f>raw_data!G316</f>
        <v>17.89</v>
      </c>
      <c r="E316">
        <f>raw_data!H316</f>
        <v>0.82</v>
      </c>
      <c r="F316">
        <f>raw_data!I316</f>
        <v>16.73</v>
      </c>
      <c r="G316">
        <f>raw_data!J316</f>
        <v>0.34</v>
      </c>
      <c r="H316" t="str">
        <f t="shared" si="4"/>
        <v>Wage Pressure</v>
      </c>
    </row>
    <row r="317" spans="1:8" x14ac:dyDescent="0.2">
      <c r="A317" t="str">
        <f>raw_data!A317</f>
        <v>2014Q1</v>
      </c>
      <c r="B317" t="str">
        <f>raw_data!B317</f>
        <v>Queensland</v>
      </c>
      <c r="C317" t="str">
        <f>raw_data!C317</f>
        <v>Health Care and Social Assistance</v>
      </c>
      <c r="D317">
        <f>raw_data!G317</f>
        <v>22.31</v>
      </c>
      <c r="E317">
        <f>raw_data!H317</f>
        <v>4.41</v>
      </c>
      <c r="F317">
        <f>raw_data!I317</f>
        <v>15</v>
      </c>
      <c r="G317">
        <f>raw_data!J317</f>
        <v>2.9</v>
      </c>
      <c r="H317" t="str">
        <f t="shared" si="4"/>
        <v>Wage Pressure</v>
      </c>
    </row>
    <row r="318" spans="1:8" x14ac:dyDescent="0.2">
      <c r="A318" t="str">
        <f>raw_data!A318</f>
        <v>2014Q1</v>
      </c>
      <c r="B318" t="str">
        <f>raw_data!B318</f>
        <v>Queensland</v>
      </c>
      <c r="C318" t="str">
        <f>raw_data!C318</f>
        <v>Manufacturing</v>
      </c>
      <c r="D318">
        <f>raw_data!G318</f>
        <v>21.61</v>
      </c>
      <c r="E318">
        <f>raw_data!H318</f>
        <v>4.29</v>
      </c>
      <c r="F318">
        <f>raw_data!I318</f>
        <v>16.149999999999999</v>
      </c>
      <c r="G318">
        <f>raw_data!J318</f>
        <v>1.17</v>
      </c>
      <c r="H318" t="str">
        <f t="shared" si="4"/>
        <v>Wage Pressure</v>
      </c>
    </row>
    <row r="319" spans="1:8" x14ac:dyDescent="0.2">
      <c r="A319" t="str">
        <f>raw_data!A319</f>
        <v>2014Q1</v>
      </c>
      <c r="B319" t="str">
        <f>raw_data!B319</f>
        <v>Queensland</v>
      </c>
      <c r="C319" t="str">
        <f>raw_data!C319</f>
        <v>Professional, Scientific and Technical Services</v>
      </c>
      <c r="D319">
        <f>raw_data!G319</f>
        <v>23.46</v>
      </c>
      <c r="E319">
        <f>raw_data!H319</f>
        <v>9.9</v>
      </c>
      <c r="F319">
        <f>raw_data!I319</f>
        <v>9.23</v>
      </c>
      <c r="G319">
        <f>raw_data!J319</f>
        <v>4.34</v>
      </c>
      <c r="H319" t="str">
        <f t="shared" si="4"/>
        <v>Vacancy Intensity</v>
      </c>
    </row>
    <row r="320" spans="1:8" x14ac:dyDescent="0.2">
      <c r="A320" t="str">
        <f>raw_data!A320</f>
        <v>2014Q1</v>
      </c>
      <c r="B320" t="str">
        <f>raw_data!B320</f>
        <v>Victoria</v>
      </c>
      <c r="C320" t="str">
        <f>raw_data!C320</f>
        <v>Accommodation and Food Services</v>
      </c>
      <c r="D320">
        <f>raw_data!G320</f>
        <v>23.25</v>
      </c>
      <c r="E320">
        <f>raw_data!H320</f>
        <v>10.57</v>
      </c>
      <c r="F320">
        <f>raw_data!I320</f>
        <v>11.54</v>
      </c>
      <c r="G320">
        <f>raw_data!J320</f>
        <v>1.1399999999999999</v>
      </c>
      <c r="H320" t="str">
        <f t="shared" si="4"/>
        <v>Wage Pressure</v>
      </c>
    </row>
    <row r="321" spans="1:8" x14ac:dyDescent="0.2">
      <c r="A321" t="str">
        <f>raw_data!A321</f>
        <v>2014Q1</v>
      </c>
      <c r="B321" t="str">
        <f>raw_data!B321</f>
        <v>Victoria</v>
      </c>
      <c r="C321" t="str">
        <f>raw_data!C321</f>
        <v>Construction</v>
      </c>
      <c r="D321">
        <f>raw_data!G321</f>
        <v>23.79</v>
      </c>
      <c r="E321">
        <f>raw_data!H321</f>
        <v>5.45</v>
      </c>
      <c r="F321">
        <f>raw_data!I321</f>
        <v>16.73</v>
      </c>
      <c r="G321">
        <f>raw_data!J321</f>
        <v>1.61</v>
      </c>
      <c r="H321" t="str">
        <f t="shared" si="4"/>
        <v>Wage Pressure</v>
      </c>
    </row>
    <row r="322" spans="1:8" x14ac:dyDescent="0.2">
      <c r="A322" t="str">
        <f>raw_data!A322</f>
        <v>2014Q1</v>
      </c>
      <c r="B322" t="str">
        <f>raw_data!B322</f>
        <v>Victoria</v>
      </c>
      <c r="C322" t="str">
        <f>raw_data!C322</f>
        <v>Education and Training</v>
      </c>
      <c r="D322">
        <f>raw_data!G322</f>
        <v>17.329999999999998</v>
      </c>
      <c r="E322">
        <f>raw_data!H322</f>
        <v>0.44</v>
      </c>
      <c r="F322">
        <f>raw_data!I322</f>
        <v>16.73</v>
      </c>
      <c r="G322">
        <f>raw_data!J322</f>
        <v>0.16</v>
      </c>
      <c r="H322" t="str">
        <f t="shared" si="4"/>
        <v>Wage Pressure</v>
      </c>
    </row>
    <row r="323" spans="1:8" x14ac:dyDescent="0.2">
      <c r="A323" t="str">
        <f>raw_data!A323</f>
        <v>2014Q1</v>
      </c>
      <c r="B323" t="str">
        <f>raw_data!B323</f>
        <v>Victoria</v>
      </c>
      <c r="C323" t="str">
        <f>raw_data!C323</f>
        <v>Health Care and Social Assistance</v>
      </c>
      <c r="D323">
        <f>raw_data!G323</f>
        <v>20.2</v>
      </c>
      <c r="E323">
        <f>raw_data!H323</f>
        <v>3.52</v>
      </c>
      <c r="F323">
        <f>raw_data!I323</f>
        <v>15</v>
      </c>
      <c r="G323">
        <f>raw_data!J323</f>
        <v>1.68</v>
      </c>
      <c r="H323" t="str">
        <f t="shared" ref="H323:H386" si="5">IF(AND(E323&gt;=F323,E323&gt;=G323),"Vacancy Intensity",IF(F323&gt;=G323,"Wage Pressure","Labour Tightness"))</f>
        <v>Wage Pressure</v>
      </c>
    </row>
    <row r="324" spans="1:8" x14ac:dyDescent="0.2">
      <c r="A324" t="str">
        <f>raw_data!A324</f>
        <v>2014Q1</v>
      </c>
      <c r="B324" t="str">
        <f>raw_data!B324</f>
        <v>Victoria</v>
      </c>
      <c r="C324" t="str">
        <f>raw_data!C324</f>
        <v>Manufacturing</v>
      </c>
      <c r="D324">
        <f>raw_data!G324</f>
        <v>19.25</v>
      </c>
      <c r="E324">
        <f>raw_data!H324</f>
        <v>2.37</v>
      </c>
      <c r="F324">
        <f>raw_data!I324</f>
        <v>16.149999999999999</v>
      </c>
      <c r="G324">
        <f>raw_data!J324</f>
        <v>0.72</v>
      </c>
      <c r="H324" t="str">
        <f t="shared" si="5"/>
        <v>Wage Pressure</v>
      </c>
    </row>
    <row r="325" spans="1:8" x14ac:dyDescent="0.2">
      <c r="A325" t="str">
        <f>raw_data!A325</f>
        <v>2014Q1</v>
      </c>
      <c r="B325" t="str">
        <f>raw_data!B325</f>
        <v>Victoria</v>
      </c>
      <c r="C325" t="str">
        <f>raw_data!C325</f>
        <v>Professional, Scientific and Technical Services</v>
      </c>
      <c r="D325">
        <f>raw_data!G325</f>
        <v>17.260000000000002</v>
      </c>
      <c r="E325">
        <f>raw_data!H325</f>
        <v>6.33</v>
      </c>
      <c r="F325">
        <f>raw_data!I325</f>
        <v>9.23</v>
      </c>
      <c r="G325">
        <f>raw_data!J325</f>
        <v>1.7</v>
      </c>
      <c r="H325" t="str">
        <f t="shared" si="5"/>
        <v>Wage Pressure</v>
      </c>
    </row>
    <row r="326" spans="1:8" x14ac:dyDescent="0.2">
      <c r="A326" t="str">
        <f>raw_data!A326</f>
        <v>2014Q2</v>
      </c>
      <c r="B326" t="str">
        <f>raw_data!B326</f>
        <v>New South Wales</v>
      </c>
      <c r="C326" t="str">
        <f>raw_data!C326</f>
        <v>Accommodation and Food Services</v>
      </c>
      <c r="D326">
        <f>raw_data!G326</f>
        <v>16.11</v>
      </c>
      <c r="E326">
        <f>raw_data!H326</f>
        <v>4.8099999999999996</v>
      </c>
      <c r="F326">
        <f>raw_data!I326</f>
        <v>10.38</v>
      </c>
      <c r="G326">
        <f>raw_data!J326</f>
        <v>0.91</v>
      </c>
      <c r="H326" t="str">
        <f t="shared" si="5"/>
        <v>Wage Pressure</v>
      </c>
    </row>
    <row r="327" spans="1:8" x14ac:dyDescent="0.2">
      <c r="A327" t="str">
        <f>raw_data!A327</f>
        <v>2014Q2</v>
      </c>
      <c r="B327" t="str">
        <f>raw_data!B327</f>
        <v>New South Wales</v>
      </c>
      <c r="C327" t="str">
        <f>raw_data!C327</f>
        <v>Construction</v>
      </c>
      <c r="D327">
        <f>raw_data!G327</f>
        <v>20.69</v>
      </c>
      <c r="E327">
        <f>raw_data!H327</f>
        <v>3.87</v>
      </c>
      <c r="F327">
        <f>raw_data!I327</f>
        <v>15</v>
      </c>
      <c r="G327">
        <f>raw_data!J327</f>
        <v>1.83</v>
      </c>
      <c r="H327" t="str">
        <f t="shared" si="5"/>
        <v>Wage Pressure</v>
      </c>
    </row>
    <row r="328" spans="1:8" x14ac:dyDescent="0.2">
      <c r="A328" t="str">
        <f>raw_data!A328</f>
        <v>2014Q2</v>
      </c>
      <c r="B328" t="str">
        <f>raw_data!B328</f>
        <v>New South Wales</v>
      </c>
      <c r="C328" t="str">
        <f>raw_data!C328</f>
        <v>Education and Training</v>
      </c>
      <c r="D328">
        <f>raw_data!G328</f>
        <v>17.13</v>
      </c>
      <c r="E328">
        <f>raw_data!H328</f>
        <v>0</v>
      </c>
      <c r="F328">
        <f>raw_data!I328</f>
        <v>16.73</v>
      </c>
      <c r="G328">
        <f>raw_data!J328</f>
        <v>0.4</v>
      </c>
      <c r="H328" t="str">
        <f t="shared" si="5"/>
        <v>Wage Pressure</v>
      </c>
    </row>
    <row r="329" spans="1:8" x14ac:dyDescent="0.2">
      <c r="A329" t="str">
        <f>raw_data!A329</f>
        <v>2014Q2</v>
      </c>
      <c r="B329" t="str">
        <f>raw_data!B329</f>
        <v>New South Wales</v>
      </c>
      <c r="C329" t="str">
        <f>raw_data!C329</f>
        <v>Health Care and Social Assistance</v>
      </c>
      <c r="D329">
        <f>raw_data!G329</f>
        <v>19.87</v>
      </c>
      <c r="E329">
        <f>raw_data!H329</f>
        <v>2.83</v>
      </c>
      <c r="F329">
        <f>raw_data!I329</f>
        <v>15</v>
      </c>
      <c r="G329">
        <f>raw_data!J329</f>
        <v>2.04</v>
      </c>
      <c r="H329" t="str">
        <f t="shared" si="5"/>
        <v>Wage Pressure</v>
      </c>
    </row>
    <row r="330" spans="1:8" x14ac:dyDescent="0.2">
      <c r="A330" t="str">
        <f>raw_data!A330</f>
        <v>2014Q2</v>
      </c>
      <c r="B330" t="str">
        <f>raw_data!B330</f>
        <v>New South Wales</v>
      </c>
      <c r="C330" t="str">
        <f>raw_data!C330</f>
        <v>Manufacturing</v>
      </c>
      <c r="D330">
        <f>raw_data!G330</f>
        <v>18.309999999999999</v>
      </c>
      <c r="E330">
        <f>raw_data!H330</f>
        <v>3.59</v>
      </c>
      <c r="F330">
        <f>raw_data!I330</f>
        <v>13.85</v>
      </c>
      <c r="G330">
        <f>raw_data!J330</f>
        <v>0.87</v>
      </c>
      <c r="H330" t="str">
        <f t="shared" si="5"/>
        <v>Wage Pressure</v>
      </c>
    </row>
    <row r="331" spans="1:8" x14ac:dyDescent="0.2">
      <c r="A331" t="str">
        <f>raw_data!A331</f>
        <v>2014Q2</v>
      </c>
      <c r="B331" t="str">
        <f>raw_data!B331</f>
        <v>New South Wales</v>
      </c>
      <c r="C331" t="str">
        <f>raw_data!C331</f>
        <v>Professional, Scientific and Technical Services</v>
      </c>
      <c r="D331">
        <f>raw_data!G331</f>
        <v>19.89</v>
      </c>
      <c r="E331">
        <f>raw_data!H331</f>
        <v>6.14</v>
      </c>
      <c r="F331">
        <f>raw_data!I331</f>
        <v>9.81</v>
      </c>
      <c r="G331">
        <f>raw_data!J331</f>
        <v>3.94</v>
      </c>
      <c r="H331" t="str">
        <f t="shared" si="5"/>
        <v>Wage Pressure</v>
      </c>
    </row>
    <row r="332" spans="1:8" x14ac:dyDescent="0.2">
      <c r="A332" t="str">
        <f>raw_data!A332</f>
        <v>2014Q2</v>
      </c>
      <c r="B332" t="str">
        <f>raw_data!B332</f>
        <v>Queensland</v>
      </c>
      <c r="C332" t="str">
        <f>raw_data!C332</f>
        <v>Accommodation and Food Services</v>
      </c>
      <c r="D332">
        <f>raw_data!G332</f>
        <v>18.87</v>
      </c>
      <c r="E332">
        <f>raw_data!H332</f>
        <v>7.39</v>
      </c>
      <c r="F332">
        <f>raw_data!I332</f>
        <v>10.38</v>
      </c>
      <c r="G332">
        <f>raw_data!J332</f>
        <v>1.0900000000000001</v>
      </c>
      <c r="H332" t="str">
        <f t="shared" si="5"/>
        <v>Wage Pressure</v>
      </c>
    </row>
    <row r="333" spans="1:8" x14ac:dyDescent="0.2">
      <c r="A333" t="str">
        <f>raw_data!A333</f>
        <v>2014Q2</v>
      </c>
      <c r="B333" t="str">
        <f>raw_data!B333</f>
        <v>Queensland</v>
      </c>
      <c r="C333" t="str">
        <f>raw_data!C333</f>
        <v>Construction</v>
      </c>
      <c r="D333">
        <f>raw_data!G333</f>
        <v>23.04</v>
      </c>
      <c r="E333">
        <f>raw_data!H333</f>
        <v>6.07</v>
      </c>
      <c r="F333">
        <f>raw_data!I333</f>
        <v>15</v>
      </c>
      <c r="G333">
        <f>raw_data!J333</f>
        <v>1.97</v>
      </c>
      <c r="H333" t="str">
        <f t="shared" si="5"/>
        <v>Wage Pressure</v>
      </c>
    </row>
    <row r="334" spans="1:8" x14ac:dyDescent="0.2">
      <c r="A334" t="str">
        <f>raw_data!A334</f>
        <v>2014Q2</v>
      </c>
      <c r="B334" t="str">
        <f>raw_data!B334</f>
        <v>Queensland</v>
      </c>
      <c r="C334" t="str">
        <f>raw_data!C334</f>
        <v>Education and Training</v>
      </c>
      <c r="D334">
        <f>raw_data!G334</f>
        <v>17.82</v>
      </c>
      <c r="E334">
        <f>raw_data!H334</f>
        <v>0.41</v>
      </c>
      <c r="F334">
        <f>raw_data!I334</f>
        <v>16.73</v>
      </c>
      <c r="G334">
        <f>raw_data!J334</f>
        <v>0.68</v>
      </c>
      <c r="H334" t="str">
        <f t="shared" si="5"/>
        <v>Wage Pressure</v>
      </c>
    </row>
    <row r="335" spans="1:8" x14ac:dyDescent="0.2">
      <c r="A335" t="str">
        <f>raw_data!A335</f>
        <v>2014Q2</v>
      </c>
      <c r="B335" t="str">
        <f>raw_data!B335</f>
        <v>Queensland</v>
      </c>
      <c r="C335" t="str">
        <f>raw_data!C335</f>
        <v>Health Care and Social Assistance</v>
      </c>
      <c r="D335">
        <f>raw_data!G335</f>
        <v>22.07</v>
      </c>
      <c r="E335">
        <f>raw_data!H335</f>
        <v>4.51</v>
      </c>
      <c r="F335">
        <f>raw_data!I335</f>
        <v>15</v>
      </c>
      <c r="G335">
        <f>raw_data!J335</f>
        <v>2.56</v>
      </c>
      <c r="H335" t="str">
        <f t="shared" si="5"/>
        <v>Wage Pressure</v>
      </c>
    </row>
    <row r="336" spans="1:8" x14ac:dyDescent="0.2">
      <c r="A336" t="str">
        <f>raw_data!A336</f>
        <v>2014Q2</v>
      </c>
      <c r="B336" t="str">
        <f>raw_data!B336</f>
        <v>Queensland</v>
      </c>
      <c r="C336" t="str">
        <f>raw_data!C336</f>
        <v>Manufacturing</v>
      </c>
      <c r="D336">
        <f>raw_data!G336</f>
        <v>22.09</v>
      </c>
      <c r="E336">
        <f>raw_data!H336</f>
        <v>6.82</v>
      </c>
      <c r="F336">
        <f>raw_data!I336</f>
        <v>13.85</v>
      </c>
      <c r="G336">
        <f>raw_data!J336</f>
        <v>1.43</v>
      </c>
      <c r="H336" t="str">
        <f t="shared" si="5"/>
        <v>Wage Pressure</v>
      </c>
    </row>
    <row r="337" spans="1:8" x14ac:dyDescent="0.2">
      <c r="A337" t="str">
        <f>raw_data!A337</f>
        <v>2014Q2</v>
      </c>
      <c r="B337" t="str">
        <f>raw_data!B337</f>
        <v>Queensland</v>
      </c>
      <c r="C337" t="str">
        <f>raw_data!C337</f>
        <v>Professional, Scientific and Technical Services</v>
      </c>
      <c r="D337">
        <f>raw_data!G337</f>
        <v>25.66</v>
      </c>
      <c r="E337">
        <f>raw_data!H337</f>
        <v>11.63</v>
      </c>
      <c r="F337">
        <f>raw_data!I337</f>
        <v>9.81</v>
      </c>
      <c r="G337">
        <f>raw_data!J337</f>
        <v>4.22</v>
      </c>
      <c r="H337" t="str">
        <f t="shared" si="5"/>
        <v>Vacancy Intensity</v>
      </c>
    </row>
    <row r="338" spans="1:8" x14ac:dyDescent="0.2">
      <c r="A338" t="str">
        <f>raw_data!A338</f>
        <v>2014Q2</v>
      </c>
      <c r="B338" t="str">
        <f>raw_data!B338</f>
        <v>Victoria</v>
      </c>
      <c r="C338" t="str">
        <f>raw_data!C338</f>
        <v>Accommodation and Food Services</v>
      </c>
      <c r="D338">
        <f>raw_data!G338</f>
        <v>17.55</v>
      </c>
      <c r="E338">
        <f>raw_data!H338</f>
        <v>6.31</v>
      </c>
      <c r="F338">
        <f>raw_data!I338</f>
        <v>10.38</v>
      </c>
      <c r="G338">
        <f>raw_data!J338</f>
        <v>0.85</v>
      </c>
      <c r="H338" t="str">
        <f t="shared" si="5"/>
        <v>Wage Pressure</v>
      </c>
    </row>
    <row r="339" spans="1:8" x14ac:dyDescent="0.2">
      <c r="A339" t="str">
        <f>raw_data!A339</f>
        <v>2014Q2</v>
      </c>
      <c r="B339" t="str">
        <f>raw_data!B339</f>
        <v>Victoria</v>
      </c>
      <c r="C339" t="str">
        <f>raw_data!C339</f>
        <v>Construction</v>
      </c>
      <c r="D339">
        <f>raw_data!G339</f>
        <v>22.62</v>
      </c>
      <c r="E339">
        <f>raw_data!H339</f>
        <v>5.53</v>
      </c>
      <c r="F339">
        <f>raw_data!I339</f>
        <v>15</v>
      </c>
      <c r="G339">
        <f>raw_data!J339</f>
        <v>2.09</v>
      </c>
      <c r="H339" t="str">
        <f t="shared" si="5"/>
        <v>Wage Pressure</v>
      </c>
    </row>
    <row r="340" spans="1:8" x14ac:dyDescent="0.2">
      <c r="A340" t="str">
        <f>raw_data!A340</f>
        <v>2014Q2</v>
      </c>
      <c r="B340" t="str">
        <f>raw_data!B340</f>
        <v>Victoria</v>
      </c>
      <c r="C340" t="str">
        <f>raw_data!C340</f>
        <v>Education and Training</v>
      </c>
      <c r="D340">
        <f>raw_data!G340</f>
        <v>17.37</v>
      </c>
      <c r="E340">
        <f>raw_data!H340</f>
        <v>0.14000000000000001</v>
      </c>
      <c r="F340">
        <f>raw_data!I340</f>
        <v>16.73</v>
      </c>
      <c r="G340">
        <f>raw_data!J340</f>
        <v>0.5</v>
      </c>
      <c r="H340" t="str">
        <f t="shared" si="5"/>
        <v>Wage Pressure</v>
      </c>
    </row>
    <row r="341" spans="1:8" x14ac:dyDescent="0.2">
      <c r="A341" t="str">
        <f>raw_data!A341</f>
        <v>2014Q2</v>
      </c>
      <c r="B341" t="str">
        <f>raw_data!B341</f>
        <v>Victoria</v>
      </c>
      <c r="C341" t="str">
        <f>raw_data!C341</f>
        <v>Health Care and Social Assistance</v>
      </c>
      <c r="D341">
        <f>raw_data!G341</f>
        <v>20.75</v>
      </c>
      <c r="E341">
        <f>raw_data!H341</f>
        <v>3.46</v>
      </c>
      <c r="F341">
        <f>raw_data!I341</f>
        <v>15</v>
      </c>
      <c r="G341">
        <f>raw_data!J341</f>
        <v>2.29</v>
      </c>
      <c r="H341" t="str">
        <f t="shared" si="5"/>
        <v>Wage Pressure</v>
      </c>
    </row>
    <row r="342" spans="1:8" x14ac:dyDescent="0.2">
      <c r="A342" t="str">
        <f>raw_data!A342</f>
        <v>2014Q2</v>
      </c>
      <c r="B342" t="str">
        <f>raw_data!B342</f>
        <v>Victoria</v>
      </c>
      <c r="C342" t="str">
        <f>raw_data!C342</f>
        <v>Manufacturing</v>
      </c>
      <c r="D342">
        <f>raw_data!G342</f>
        <v>18.72</v>
      </c>
      <c r="E342">
        <f>raw_data!H342</f>
        <v>3.69</v>
      </c>
      <c r="F342">
        <f>raw_data!I342</f>
        <v>13.85</v>
      </c>
      <c r="G342">
        <f>raw_data!J342</f>
        <v>1.18</v>
      </c>
      <c r="H342" t="str">
        <f t="shared" si="5"/>
        <v>Wage Pressure</v>
      </c>
    </row>
    <row r="343" spans="1:8" x14ac:dyDescent="0.2">
      <c r="A343" t="str">
        <f>raw_data!A343</f>
        <v>2014Q2</v>
      </c>
      <c r="B343" t="str">
        <f>raw_data!B343</f>
        <v>Victoria</v>
      </c>
      <c r="C343" t="str">
        <f>raw_data!C343</f>
        <v>Professional, Scientific and Technical Services</v>
      </c>
      <c r="D343">
        <f>raw_data!G343</f>
        <v>21.33</v>
      </c>
      <c r="E343">
        <f>raw_data!H343</f>
        <v>7.88</v>
      </c>
      <c r="F343">
        <f>raw_data!I343</f>
        <v>9.81</v>
      </c>
      <c r="G343">
        <f>raw_data!J343</f>
        <v>3.64</v>
      </c>
      <c r="H343" t="str">
        <f t="shared" si="5"/>
        <v>Wage Pressure</v>
      </c>
    </row>
    <row r="344" spans="1:8" x14ac:dyDescent="0.2">
      <c r="A344" t="str">
        <f>raw_data!A344</f>
        <v>2014Q3</v>
      </c>
      <c r="B344" t="str">
        <f>raw_data!B344</f>
        <v>New South Wales</v>
      </c>
      <c r="C344" t="str">
        <f>raw_data!C344</f>
        <v>Accommodation and Food Services</v>
      </c>
      <c r="D344">
        <f>raw_data!G344</f>
        <v>19.5</v>
      </c>
      <c r="E344">
        <f>raw_data!H344</f>
        <v>5.3</v>
      </c>
      <c r="F344">
        <f>raw_data!I344</f>
        <v>13.27</v>
      </c>
      <c r="G344">
        <f>raw_data!J344</f>
        <v>0.93</v>
      </c>
      <c r="H344" t="str">
        <f t="shared" si="5"/>
        <v>Wage Pressure</v>
      </c>
    </row>
    <row r="345" spans="1:8" x14ac:dyDescent="0.2">
      <c r="A345" t="str">
        <f>raw_data!A345</f>
        <v>2014Q3</v>
      </c>
      <c r="B345" t="str">
        <f>raw_data!B345</f>
        <v>New South Wales</v>
      </c>
      <c r="C345" t="str">
        <f>raw_data!C345</f>
        <v>Construction</v>
      </c>
      <c r="D345">
        <f>raw_data!G345</f>
        <v>18.2</v>
      </c>
      <c r="E345">
        <f>raw_data!H345</f>
        <v>3.56</v>
      </c>
      <c r="F345">
        <f>raw_data!I345</f>
        <v>12.69</v>
      </c>
      <c r="G345">
        <f>raw_data!J345</f>
        <v>1.95</v>
      </c>
      <c r="H345" t="str">
        <f t="shared" si="5"/>
        <v>Wage Pressure</v>
      </c>
    </row>
    <row r="346" spans="1:8" x14ac:dyDescent="0.2">
      <c r="A346" t="str">
        <f>raw_data!A346</f>
        <v>2014Q3</v>
      </c>
      <c r="B346" t="str">
        <f>raw_data!B346</f>
        <v>New South Wales</v>
      </c>
      <c r="C346" t="str">
        <f>raw_data!C346</f>
        <v>Education and Training</v>
      </c>
      <c r="D346">
        <f>raw_data!G346</f>
        <v>17.27</v>
      </c>
      <c r="E346">
        <f>raw_data!H346</f>
        <v>0.18</v>
      </c>
      <c r="F346">
        <f>raw_data!I346</f>
        <v>16.73</v>
      </c>
      <c r="G346">
        <f>raw_data!J346</f>
        <v>0.36</v>
      </c>
      <c r="H346" t="str">
        <f t="shared" si="5"/>
        <v>Wage Pressure</v>
      </c>
    </row>
    <row r="347" spans="1:8" x14ac:dyDescent="0.2">
      <c r="A347" t="str">
        <f>raw_data!A347</f>
        <v>2014Q3</v>
      </c>
      <c r="B347" t="str">
        <f>raw_data!B347</f>
        <v>New South Wales</v>
      </c>
      <c r="C347" t="str">
        <f>raw_data!C347</f>
        <v>Health Care and Social Assistance</v>
      </c>
      <c r="D347">
        <f>raw_data!G347</f>
        <v>19.940000000000001</v>
      </c>
      <c r="E347">
        <f>raw_data!H347</f>
        <v>2.42</v>
      </c>
      <c r="F347">
        <f>raw_data!I347</f>
        <v>15.58</v>
      </c>
      <c r="G347">
        <f>raw_data!J347</f>
        <v>1.94</v>
      </c>
      <c r="H347" t="str">
        <f t="shared" si="5"/>
        <v>Wage Pressure</v>
      </c>
    </row>
    <row r="348" spans="1:8" x14ac:dyDescent="0.2">
      <c r="A348" t="str">
        <f>raw_data!A348</f>
        <v>2014Q3</v>
      </c>
      <c r="B348" t="str">
        <f>raw_data!B348</f>
        <v>New South Wales</v>
      </c>
      <c r="C348" t="str">
        <f>raw_data!C348</f>
        <v>Manufacturing</v>
      </c>
      <c r="D348">
        <f>raw_data!G348</f>
        <v>18.22</v>
      </c>
      <c r="E348">
        <f>raw_data!H348</f>
        <v>3.62</v>
      </c>
      <c r="F348">
        <f>raw_data!I348</f>
        <v>13.85</v>
      </c>
      <c r="G348">
        <f>raw_data!J348</f>
        <v>0.75</v>
      </c>
      <c r="H348" t="str">
        <f t="shared" si="5"/>
        <v>Wage Pressure</v>
      </c>
    </row>
    <row r="349" spans="1:8" x14ac:dyDescent="0.2">
      <c r="A349" t="str">
        <f>raw_data!A349</f>
        <v>2014Q3</v>
      </c>
      <c r="B349" t="str">
        <f>raw_data!B349</f>
        <v>New South Wales</v>
      </c>
      <c r="C349" t="str">
        <f>raw_data!C349</f>
        <v>Professional, Scientific and Technical Services</v>
      </c>
      <c r="D349">
        <f>raw_data!G349</f>
        <v>19.52</v>
      </c>
      <c r="E349">
        <f>raw_data!H349</f>
        <v>6.59</v>
      </c>
      <c r="F349">
        <f>raw_data!I349</f>
        <v>9.81</v>
      </c>
      <c r="G349">
        <f>raw_data!J349</f>
        <v>3.12</v>
      </c>
      <c r="H349" t="str">
        <f t="shared" si="5"/>
        <v>Wage Pressure</v>
      </c>
    </row>
    <row r="350" spans="1:8" x14ac:dyDescent="0.2">
      <c r="A350" t="str">
        <f>raw_data!A350</f>
        <v>2014Q3</v>
      </c>
      <c r="B350" t="str">
        <f>raw_data!B350</f>
        <v>Queensland</v>
      </c>
      <c r="C350" t="str">
        <f>raw_data!C350</f>
        <v>Accommodation and Food Services</v>
      </c>
      <c r="D350">
        <f>raw_data!G350</f>
        <v>22.16</v>
      </c>
      <c r="E350">
        <f>raw_data!H350</f>
        <v>8.1</v>
      </c>
      <c r="F350">
        <f>raw_data!I350</f>
        <v>13.27</v>
      </c>
      <c r="G350">
        <f>raw_data!J350</f>
        <v>0.78</v>
      </c>
      <c r="H350" t="str">
        <f t="shared" si="5"/>
        <v>Wage Pressure</v>
      </c>
    </row>
    <row r="351" spans="1:8" x14ac:dyDescent="0.2">
      <c r="A351" t="str">
        <f>raw_data!A351</f>
        <v>2014Q3</v>
      </c>
      <c r="B351" t="str">
        <f>raw_data!B351</f>
        <v>Queensland</v>
      </c>
      <c r="C351" t="str">
        <f>raw_data!C351</f>
        <v>Construction</v>
      </c>
      <c r="D351">
        <f>raw_data!G351</f>
        <v>19.37</v>
      </c>
      <c r="E351">
        <f>raw_data!H351</f>
        <v>5.4</v>
      </c>
      <c r="F351">
        <f>raw_data!I351</f>
        <v>12.69</v>
      </c>
      <c r="G351">
        <f>raw_data!J351</f>
        <v>1.28</v>
      </c>
      <c r="H351" t="str">
        <f t="shared" si="5"/>
        <v>Wage Pressure</v>
      </c>
    </row>
    <row r="352" spans="1:8" x14ac:dyDescent="0.2">
      <c r="A352" t="str">
        <f>raw_data!A352</f>
        <v>2014Q3</v>
      </c>
      <c r="B352" t="str">
        <f>raw_data!B352</f>
        <v>Queensland</v>
      </c>
      <c r="C352" t="str">
        <f>raw_data!C352</f>
        <v>Education and Training</v>
      </c>
      <c r="D352">
        <f>raw_data!G352</f>
        <v>19.7</v>
      </c>
      <c r="E352">
        <f>raw_data!H352</f>
        <v>0.95</v>
      </c>
      <c r="F352">
        <f>raw_data!I352</f>
        <v>16.73</v>
      </c>
      <c r="G352">
        <f>raw_data!J352</f>
        <v>2.02</v>
      </c>
      <c r="H352" t="str">
        <f t="shared" si="5"/>
        <v>Wage Pressure</v>
      </c>
    </row>
    <row r="353" spans="1:8" x14ac:dyDescent="0.2">
      <c r="A353" t="str">
        <f>raw_data!A353</f>
        <v>2014Q3</v>
      </c>
      <c r="B353" t="str">
        <f>raw_data!B353</f>
        <v>Queensland</v>
      </c>
      <c r="C353" t="str">
        <f>raw_data!C353</f>
        <v>Health Care and Social Assistance</v>
      </c>
      <c r="D353">
        <f>raw_data!G353</f>
        <v>21.59</v>
      </c>
      <c r="E353">
        <f>raw_data!H353</f>
        <v>3.75</v>
      </c>
      <c r="F353">
        <f>raw_data!I353</f>
        <v>15.58</v>
      </c>
      <c r="G353">
        <f>raw_data!J353</f>
        <v>2.2599999999999998</v>
      </c>
      <c r="H353" t="str">
        <f t="shared" si="5"/>
        <v>Wage Pressure</v>
      </c>
    </row>
    <row r="354" spans="1:8" x14ac:dyDescent="0.2">
      <c r="A354" t="str">
        <f>raw_data!A354</f>
        <v>2014Q3</v>
      </c>
      <c r="B354" t="str">
        <f>raw_data!B354</f>
        <v>Queensland</v>
      </c>
      <c r="C354" t="str">
        <f>raw_data!C354</f>
        <v>Manufacturing</v>
      </c>
      <c r="D354">
        <f>raw_data!G354</f>
        <v>21.48</v>
      </c>
      <c r="E354">
        <f>raw_data!H354</f>
        <v>6.3</v>
      </c>
      <c r="F354">
        <f>raw_data!I354</f>
        <v>13.85</v>
      </c>
      <c r="G354">
        <f>raw_data!J354</f>
        <v>1.34</v>
      </c>
      <c r="H354" t="str">
        <f t="shared" si="5"/>
        <v>Wage Pressure</v>
      </c>
    </row>
    <row r="355" spans="1:8" x14ac:dyDescent="0.2">
      <c r="A355" t="str">
        <f>raw_data!A355</f>
        <v>2014Q3</v>
      </c>
      <c r="B355" t="str">
        <f>raw_data!B355</f>
        <v>Queensland</v>
      </c>
      <c r="C355" t="str">
        <f>raw_data!C355</f>
        <v>Professional, Scientific and Technical Services</v>
      </c>
      <c r="D355">
        <f>raw_data!G355</f>
        <v>28.28</v>
      </c>
      <c r="E355">
        <f>raw_data!H355</f>
        <v>11.64</v>
      </c>
      <c r="F355">
        <f>raw_data!I355</f>
        <v>9.81</v>
      </c>
      <c r="G355">
        <f>raw_data!J355</f>
        <v>6.83</v>
      </c>
      <c r="H355" t="str">
        <f t="shared" si="5"/>
        <v>Vacancy Intensity</v>
      </c>
    </row>
    <row r="356" spans="1:8" x14ac:dyDescent="0.2">
      <c r="A356" t="str">
        <f>raw_data!A356</f>
        <v>2014Q3</v>
      </c>
      <c r="B356" t="str">
        <f>raw_data!B356</f>
        <v>Victoria</v>
      </c>
      <c r="C356" t="str">
        <f>raw_data!C356</f>
        <v>Accommodation and Food Services</v>
      </c>
      <c r="D356">
        <f>raw_data!G356</f>
        <v>20.73</v>
      </c>
      <c r="E356">
        <f>raw_data!H356</f>
        <v>6.82</v>
      </c>
      <c r="F356">
        <f>raw_data!I356</f>
        <v>13.27</v>
      </c>
      <c r="G356">
        <f>raw_data!J356</f>
        <v>0.64</v>
      </c>
      <c r="H356" t="str">
        <f t="shared" si="5"/>
        <v>Wage Pressure</v>
      </c>
    </row>
    <row r="357" spans="1:8" x14ac:dyDescent="0.2">
      <c r="A357" t="str">
        <f>raw_data!A357</f>
        <v>2014Q3</v>
      </c>
      <c r="B357" t="str">
        <f>raw_data!B357</f>
        <v>Victoria</v>
      </c>
      <c r="C357" t="str">
        <f>raw_data!C357</f>
        <v>Construction</v>
      </c>
      <c r="D357">
        <f>raw_data!G357</f>
        <v>19.239999999999998</v>
      </c>
      <c r="E357">
        <f>raw_data!H357</f>
        <v>5.2</v>
      </c>
      <c r="F357">
        <f>raw_data!I357</f>
        <v>12.69</v>
      </c>
      <c r="G357">
        <f>raw_data!J357</f>
        <v>1.35</v>
      </c>
      <c r="H357" t="str">
        <f t="shared" si="5"/>
        <v>Wage Pressure</v>
      </c>
    </row>
    <row r="358" spans="1:8" x14ac:dyDescent="0.2">
      <c r="A358" t="str">
        <f>raw_data!A358</f>
        <v>2014Q3</v>
      </c>
      <c r="B358" t="str">
        <f>raw_data!B358</f>
        <v>Victoria</v>
      </c>
      <c r="C358" t="str">
        <f>raw_data!C358</f>
        <v>Education and Training</v>
      </c>
      <c r="D358">
        <f>raw_data!G358</f>
        <v>17.77</v>
      </c>
      <c r="E358">
        <f>raw_data!H358</f>
        <v>0.48</v>
      </c>
      <c r="F358">
        <f>raw_data!I358</f>
        <v>16.73</v>
      </c>
      <c r="G358">
        <f>raw_data!J358</f>
        <v>0.56999999999999995</v>
      </c>
      <c r="H358" t="str">
        <f t="shared" si="5"/>
        <v>Wage Pressure</v>
      </c>
    </row>
    <row r="359" spans="1:8" x14ac:dyDescent="0.2">
      <c r="A359" t="str">
        <f>raw_data!A359</f>
        <v>2014Q3</v>
      </c>
      <c r="B359" t="str">
        <f>raw_data!B359</f>
        <v>Victoria</v>
      </c>
      <c r="C359" t="str">
        <f>raw_data!C359</f>
        <v>Health Care and Social Assistance</v>
      </c>
      <c r="D359">
        <f>raw_data!G359</f>
        <v>20.149999999999999</v>
      </c>
      <c r="E359">
        <f>raw_data!H359</f>
        <v>3.2</v>
      </c>
      <c r="F359">
        <f>raw_data!I359</f>
        <v>15.58</v>
      </c>
      <c r="G359">
        <f>raw_data!J359</f>
        <v>1.38</v>
      </c>
      <c r="H359" t="str">
        <f t="shared" si="5"/>
        <v>Wage Pressure</v>
      </c>
    </row>
    <row r="360" spans="1:8" x14ac:dyDescent="0.2">
      <c r="A360" t="str">
        <f>raw_data!A360</f>
        <v>2014Q3</v>
      </c>
      <c r="B360" t="str">
        <f>raw_data!B360</f>
        <v>Victoria</v>
      </c>
      <c r="C360" t="str">
        <f>raw_data!C360</f>
        <v>Manufacturing</v>
      </c>
      <c r="D360">
        <f>raw_data!G360</f>
        <v>17.97</v>
      </c>
      <c r="E360">
        <f>raw_data!H360</f>
        <v>3.31</v>
      </c>
      <c r="F360">
        <f>raw_data!I360</f>
        <v>13.85</v>
      </c>
      <c r="G360">
        <f>raw_data!J360</f>
        <v>0.81</v>
      </c>
      <c r="H360" t="str">
        <f t="shared" si="5"/>
        <v>Wage Pressure</v>
      </c>
    </row>
    <row r="361" spans="1:8" x14ac:dyDescent="0.2">
      <c r="A361" t="str">
        <f>raw_data!A361</f>
        <v>2014Q3</v>
      </c>
      <c r="B361" t="str">
        <f>raw_data!B361</f>
        <v>Victoria</v>
      </c>
      <c r="C361" t="str">
        <f>raw_data!C361</f>
        <v>Professional, Scientific and Technical Services</v>
      </c>
      <c r="D361">
        <f>raw_data!G361</f>
        <v>21.22</v>
      </c>
      <c r="E361">
        <f>raw_data!H361</f>
        <v>8.11</v>
      </c>
      <c r="F361">
        <f>raw_data!I361</f>
        <v>9.81</v>
      </c>
      <c r="G361">
        <f>raw_data!J361</f>
        <v>3.3</v>
      </c>
      <c r="H361" t="str">
        <f t="shared" si="5"/>
        <v>Wage Pressure</v>
      </c>
    </row>
    <row r="362" spans="1:8" x14ac:dyDescent="0.2">
      <c r="A362" t="str">
        <f>raw_data!A362</f>
        <v>2014Q4</v>
      </c>
      <c r="B362" t="str">
        <f>raw_data!B362</f>
        <v>New South Wales</v>
      </c>
      <c r="C362" t="str">
        <f>raw_data!C362</f>
        <v>Accommodation and Food Services</v>
      </c>
      <c r="D362">
        <f>raw_data!G362</f>
        <v>21.41</v>
      </c>
      <c r="E362">
        <f>raw_data!H362</f>
        <v>7.24</v>
      </c>
      <c r="F362">
        <f>raw_data!I362</f>
        <v>13.27</v>
      </c>
      <c r="G362">
        <f>raw_data!J362</f>
        <v>0.9</v>
      </c>
      <c r="H362" t="str">
        <f t="shared" si="5"/>
        <v>Wage Pressure</v>
      </c>
    </row>
    <row r="363" spans="1:8" x14ac:dyDescent="0.2">
      <c r="A363" t="str">
        <f>raw_data!A363</f>
        <v>2014Q4</v>
      </c>
      <c r="B363" t="str">
        <f>raw_data!B363</f>
        <v>New South Wales</v>
      </c>
      <c r="C363" t="str">
        <f>raw_data!C363</f>
        <v>Construction</v>
      </c>
      <c r="D363">
        <f>raw_data!G363</f>
        <v>17.079999999999998</v>
      </c>
      <c r="E363">
        <f>raw_data!H363</f>
        <v>2.92</v>
      </c>
      <c r="F363">
        <f>raw_data!I363</f>
        <v>12.69</v>
      </c>
      <c r="G363">
        <f>raw_data!J363</f>
        <v>1.47</v>
      </c>
      <c r="H363" t="str">
        <f t="shared" si="5"/>
        <v>Wage Pressure</v>
      </c>
    </row>
    <row r="364" spans="1:8" x14ac:dyDescent="0.2">
      <c r="A364" t="str">
        <f>raw_data!A364</f>
        <v>2014Q4</v>
      </c>
      <c r="B364" t="str">
        <f>raw_data!B364</f>
        <v>New South Wales</v>
      </c>
      <c r="C364" t="str">
        <f>raw_data!C364</f>
        <v>Education and Training</v>
      </c>
      <c r="D364">
        <f>raw_data!G364</f>
        <v>19.18</v>
      </c>
      <c r="E364">
        <f>raw_data!H364</f>
        <v>0.63</v>
      </c>
      <c r="F364">
        <f>raw_data!I364</f>
        <v>17.88</v>
      </c>
      <c r="G364">
        <f>raw_data!J364</f>
        <v>0.67</v>
      </c>
      <c r="H364" t="str">
        <f t="shared" si="5"/>
        <v>Wage Pressure</v>
      </c>
    </row>
    <row r="365" spans="1:8" x14ac:dyDescent="0.2">
      <c r="A365" t="str">
        <f>raw_data!A365</f>
        <v>2014Q4</v>
      </c>
      <c r="B365" t="str">
        <f>raw_data!B365</f>
        <v>New South Wales</v>
      </c>
      <c r="C365" t="str">
        <f>raw_data!C365</f>
        <v>Health Care and Social Assistance</v>
      </c>
      <c r="D365">
        <f>raw_data!G365</f>
        <v>19.690000000000001</v>
      </c>
      <c r="E365">
        <f>raw_data!H365</f>
        <v>2.9</v>
      </c>
      <c r="F365">
        <f>raw_data!I365</f>
        <v>14.42</v>
      </c>
      <c r="G365">
        <f>raw_data!J365</f>
        <v>2.37</v>
      </c>
      <c r="H365" t="str">
        <f t="shared" si="5"/>
        <v>Wage Pressure</v>
      </c>
    </row>
    <row r="366" spans="1:8" x14ac:dyDescent="0.2">
      <c r="A366" t="str">
        <f>raw_data!A366</f>
        <v>2014Q4</v>
      </c>
      <c r="B366" t="str">
        <f>raw_data!B366</f>
        <v>New South Wales</v>
      </c>
      <c r="C366" t="str">
        <f>raw_data!C366</f>
        <v>Manufacturing</v>
      </c>
      <c r="D366">
        <f>raw_data!G366</f>
        <v>18.52</v>
      </c>
      <c r="E366">
        <f>raw_data!H366</f>
        <v>2.94</v>
      </c>
      <c r="F366">
        <f>raw_data!I366</f>
        <v>14.42</v>
      </c>
      <c r="G366">
        <f>raw_data!J366</f>
        <v>1.1599999999999999</v>
      </c>
      <c r="H366" t="str">
        <f t="shared" si="5"/>
        <v>Wage Pressure</v>
      </c>
    </row>
    <row r="367" spans="1:8" x14ac:dyDescent="0.2">
      <c r="A367" t="str">
        <f>raw_data!A367</f>
        <v>2014Q4</v>
      </c>
      <c r="B367" t="str">
        <f>raw_data!B367</f>
        <v>New South Wales</v>
      </c>
      <c r="C367" t="str">
        <f>raw_data!C367</f>
        <v>Professional, Scientific and Technical Services</v>
      </c>
      <c r="D367">
        <f>raw_data!G367</f>
        <v>20.25</v>
      </c>
      <c r="E367">
        <f>raw_data!H367</f>
        <v>6.47</v>
      </c>
      <c r="F367">
        <f>raw_data!I367</f>
        <v>9.23</v>
      </c>
      <c r="G367">
        <f>raw_data!J367</f>
        <v>4.54</v>
      </c>
      <c r="H367" t="str">
        <f t="shared" si="5"/>
        <v>Wage Pressure</v>
      </c>
    </row>
    <row r="368" spans="1:8" x14ac:dyDescent="0.2">
      <c r="A368" t="str">
        <f>raw_data!A368</f>
        <v>2014Q4</v>
      </c>
      <c r="B368" t="str">
        <f>raw_data!B368</f>
        <v>Queensland</v>
      </c>
      <c r="C368" t="str">
        <f>raw_data!C368</f>
        <v>Accommodation and Food Services</v>
      </c>
      <c r="D368">
        <f>raw_data!G368</f>
        <v>25.16</v>
      </c>
      <c r="E368">
        <f>raw_data!H368</f>
        <v>10.36</v>
      </c>
      <c r="F368">
        <f>raw_data!I368</f>
        <v>13.27</v>
      </c>
      <c r="G368">
        <f>raw_data!J368</f>
        <v>1.53</v>
      </c>
      <c r="H368" t="str">
        <f t="shared" si="5"/>
        <v>Wage Pressure</v>
      </c>
    </row>
    <row r="369" spans="1:8" x14ac:dyDescent="0.2">
      <c r="A369" t="str">
        <f>raw_data!A369</f>
        <v>2014Q4</v>
      </c>
      <c r="B369" t="str">
        <f>raw_data!B369</f>
        <v>Queensland</v>
      </c>
      <c r="C369" t="str">
        <f>raw_data!C369</f>
        <v>Construction</v>
      </c>
      <c r="D369">
        <f>raw_data!G369</f>
        <v>18.940000000000001</v>
      </c>
      <c r="E369">
        <f>raw_data!H369</f>
        <v>5.07</v>
      </c>
      <c r="F369">
        <f>raw_data!I369</f>
        <v>12.69</v>
      </c>
      <c r="G369">
        <f>raw_data!J369</f>
        <v>1.18</v>
      </c>
      <c r="H369" t="str">
        <f t="shared" si="5"/>
        <v>Wage Pressure</v>
      </c>
    </row>
    <row r="370" spans="1:8" x14ac:dyDescent="0.2">
      <c r="A370" t="str">
        <f>raw_data!A370</f>
        <v>2014Q4</v>
      </c>
      <c r="B370" t="str">
        <f>raw_data!B370</f>
        <v>Queensland</v>
      </c>
      <c r="C370" t="str">
        <f>raw_data!C370</f>
        <v>Education and Training</v>
      </c>
      <c r="D370">
        <f>raw_data!G370</f>
        <v>20.98</v>
      </c>
      <c r="E370">
        <f>raw_data!H370</f>
        <v>1.67</v>
      </c>
      <c r="F370">
        <f>raw_data!I370</f>
        <v>17.88</v>
      </c>
      <c r="G370">
        <f>raw_data!J370</f>
        <v>1.42</v>
      </c>
      <c r="H370" t="str">
        <f t="shared" si="5"/>
        <v>Wage Pressure</v>
      </c>
    </row>
    <row r="371" spans="1:8" x14ac:dyDescent="0.2">
      <c r="A371" t="str">
        <f>raw_data!A371</f>
        <v>2014Q4</v>
      </c>
      <c r="B371" t="str">
        <f>raw_data!B371</f>
        <v>Queensland</v>
      </c>
      <c r="C371" t="str">
        <f>raw_data!C371</f>
        <v>Health Care and Social Assistance</v>
      </c>
      <c r="D371">
        <f>raw_data!G371</f>
        <v>21.66</v>
      </c>
      <c r="E371">
        <f>raw_data!H371</f>
        <v>4.8899999999999997</v>
      </c>
      <c r="F371">
        <f>raw_data!I371</f>
        <v>14.42</v>
      </c>
      <c r="G371">
        <f>raw_data!J371</f>
        <v>2.35</v>
      </c>
      <c r="H371" t="str">
        <f t="shared" si="5"/>
        <v>Wage Pressure</v>
      </c>
    </row>
    <row r="372" spans="1:8" x14ac:dyDescent="0.2">
      <c r="A372" t="str">
        <f>raw_data!A372</f>
        <v>2014Q4</v>
      </c>
      <c r="B372" t="str">
        <f>raw_data!B372</f>
        <v>Queensland</v>
      </c>
      <c r="C372" t="str">
        <f>raw_data!C372</f>
        <v>Manufacturing</v>
      </c>
      <c r="D372">
        <f>raw_data!G372</f>
        <v>22.41</v>
      </c>
      <c r="E372">
        <f>raw_data!H372</f>
        <v>6.16</v>
      </c>
      <c r="F372">
        <f>raw_data!I372</f>
        <v>14.42</v>
      </c>
      <c r="G372">
        <f>raw_data!J372</f>
        <v>1.83</v>
      </c>
      <c r="H372" t="str">
        <f t="shared" si="5"/>
        <v>Wage Pressure</v>
      </c>
    </row>
    <row r="373" spans="1:8" x14ac:dyDescent="0.2">
      <c r="A373" t="str">
        <f>raw_data!A373</f>
        <v>2014Q4</v>
      </c>
      <c r="B373" t="str">
        <f>raw_data!B373</f>
        <v>Queensland</v>
      </c>
      <c r="C373" t="str">
        <f>raw_data!C373</f>
        <v>Professional, Scientific and Technical Services</v>
      </c>
      <c r="D373">
        <f>raw_data!G373</f>
        <v>29.24</v>
      </c>
      <c r="E373">
        <f>raw_data!H373</f>
        <v>11.73</v>
      </c>
      <c r="F373">
        <f>raw_data!I373</f>
        <v>9.23</v>
      </c>
      <c r="G373">
        <f>raw_data!J373</f>
        <v>8.27</v>
      </c>
      <c r="H373" t="str">
        <f t="shared" si="5"/>
        <v>Vacancy Intensity</v>
      </c>
    </row>
    <row r="374" spans="1:8" x14ac:dyDescent="0.2">
      <c r="A374" t="str">
        <f>raw_data!A374</f>
        <v>2014Q4</v>
      </c>
      <c r="B374" t="str">
        <f>raw_data!B374</f>
        <v>Victoria</v>
      </c>
      <c r="C374" t="str">
        <f>raw_data!C374</f>
        <v>Accommodation and Food Services</v>
      </c>
      <c r="D374">
        <f>raw_data!G374</f>
        <v>23.8</v>
      </c>
      <c r="E374">
        <f>raw_data!H374</f>
        <v>9.4600000000000009</v>
      </c>
      <c r="F374">
        <f>raw_data!I374</f>
        <v>13.27</v>
      </c>
      <c r="G374">
        <f>raw_data!J374</f>
        <v>1.07</v>
      </c>
      <c r="H374" t="str">
        <f t="shared" si="5"/>
        <v>Wage Pressure</v>
      </c>
    </row>
    <row r="375" spans="1:8" x14ac:dyDescent="0.2">
      <c r="A375" t="str">
        <f>raw_data!A375</f>
        <v>2014Q4</v>
      </c>
      <c r="B375" t="str">
        <f>raw_data!B375</f>
        <v>Victoria</v>
      </c>
      <c r="C375" t="str">
        <f>raw_data!C375</f>
        <v>Construction</v>
      </c>
      <c r="D375">
        <f>raw_data!G375</f>
        <v>18.600000000000001</v>
      </c>
      <c r="E375">
        <f>raw_data!H375</f>
        <v>4.59</v>
      </c>
      <c r="F375">
        <f>raw_data!I375</f>
        <v>12.69</v>
      </c>
      <c r="G375">
        <f>raw_data!J375</f>
        <v>1.32</v>
      </c>
      <c r="H375" t="str">
        <f t="shared" si="5"/>
        <v>Wage Pressure</v>
      </c>
    </row>
    <row r="376" spans="1:8" x14ac:dyDescent="0.2">
      <c r="A376" t="str">
        <f>raw_data!A376</f>
        <v>2014Q4</v>
      </c>
      <c r="B376" t="str">
        <f>raw_data!B376</f>
        <v>Victoria</v>
      </c>
      <c r="C376" t="str">
        <f>raw_data!C376</f>
        <v>Education and Training</v>
      </c>
      <c r="D376">
        <f>raw_data!G376</f>
        <v>19.79</v>
      </c>
      <c r="E376">
        <f>raw_data!H376</f>
        <v>0.93</v>
      </c>
      <c r="F376">
        <f>raw_data!I376</f>
        <v>17.88</v>
      </c>
      <c r="G376">
        <f>raw_data!J376</f>
        <v>0.97</v>
      </c>
      <c r="H376" t="str">
        <f t="shared" si="5"/>
        <v>Wage Pressure</v>
      </c>
    </row>
    <row r="377" spans="1:8" x14ac:dyDescent="0.2">
      <c r="A377" t="str">
        <f>raw_data!A377</f>
        <v>2014Q4</v>
      </c>
      <c r="B377" t="str">
        <f>raw_data!B377</f>
        <v>Victoria</v>
      </c>
      <c r="C377" t="str">
        <f>raw_data!C377</f>
        <v>Health Care and Social Assistance</v>
      </c>
      <c r="D377">
        <f>raw_data!G377</f>
        <v>20.12</v>
      </c>
      <c r="E377">
        <f>raw_data!H377</f>
        <v>3.78</v>
      </c>
      <c r="F377">
        <f>raw_data!I377</f>
        <v>14.42</v>
      </c>
      <c r="G377">
        <f>raw_data!J377</f>
        <v>1.92</v>
      </c>
      <c r="H377" t="str">
        <f t="shared" si="5"/>
        <v>Wage Pressure</v>
      </c>
    </row>
    <row r="378" spans="1:8" x14ac:dyDescent="0.2">
      <c r="A378" t="str">
        <f>raw_data!A378</f>
        <v>2014Q4</v>
      </c>
      <c r="B378" t="str">
        <f>raw_data!B378</f>
        <v>Victoria</v>
      </c>
      <c r="C378" t="str">
        <f>raw_data!C378</f>
        <v>Manufacturing</v>
      </c>
      <c r="D378">
        <f>raw_data!G378</f>
        <v>18.239999999999998</v>
      </c>
      <c r="E378">
        <f>raw_data!H378</f>
        <v>2.93</v>
      </c>
      <c r="F378">
        <f>raw_data!I378</f>
        <v>14.42</v>
      </c>
      <c r="G378">
        <f>raw_data!J378</f>
        <v>0.89</v>
      </c>
      <c r="H378" t="str">
        <f t="shared" si="5"/>
        <v>Wage Pressure</v>
      </c>
    </row>
    <row r="379" spans="1:8" x14ac:dyDescent="0.2">
      <c r="A379" t="str">
        <f>raw_data!A379</f>
        <v>2014Q4</v>
      </c>
      <c r="B379" t="str">
        <f>raw_data!B379</f>
        <v>Victoria</v>
      </c>
      <c r="C379" t="str">
        <f>raw_data!C379</f>
        <v>Professional, Scientific and Technical Services</v>
      </c>
      <c r="D379">
        <f>raw_data!G379</f>
        <v>20.75</v>
      </c>
      <c r="E379">
        <f>raw_data!H379</f>
        <v>8.83</v>
      </c>
      <c r="F379">
        <f>raw_data!I379</f>
        <v>9.23</v>
      </c>
      <c r="G379">
        <f>raw_data!J379</f>
        <v>2.69</v>
      </c>
      <c r="H379" t="str">
        <f t="shared" si="5"/>
        <v>Wage Pressure</v>
      </c>
    </row>
    <row r="380" spans="1:8" x14ac:dyDescent="0.2">
      <c r="A380" t="str">
        <f>raw_data!A380</f>
        <v>2015Q1</v>
      </c>
      <c r="B380" t="str">
        <f>raw_data!B380</f>
        <v>New South Wales</v>
      </c>
      <c r="C380" t="str">
        <f>raw_data!C380</f>
        <v>Accommodation and Food Services</v>
      </c>
      <c r="D380">
        <f>raw_data!G380</f>
        <v>19.149999999999999</v>
      </c>
      <c r="E380">
        <f>raw_data!H380</f>
        <v>6.32</v>
      </c>
      <c r="F380">
        <f>raw_data!I380</f>
        <v>12.12</v>
      </c>
      <c r="G380">
        <f>raw_data!J380</f>
        <v>0.71</v>
      </c>
      <c r="H380" t="str">
        <f t="shared" si="5"/>
        <v>Wage Pressure</v>
      </c>
    </row>
    <row r="381" spans="1:8" x14ac:dyDescent="0.2">
      <c r="A381" t="str">
        <f>raw_data!A381</f>
        <v>2015Q1</v>
      </c>
      <c r="B381" t="str">
        <f>raw_data!B381</f>
        <v>New South Wales</v>
      </c>
      <c r="C381" t="str">
        <f>raw_data!C381</f>
        <v>Construction</v>
      </c>
      <c r="D381">
        <f>raw_data!G381</f>
        <v>13.76</v>
      </c>
      <c r="E381">
        <f>raw_data!H381</f>
        <v>4.05</v>
      </c>
      <c r="F381">
        <f>raw_data!I381</f>
        <v>8.65</v>
      </c>
      <c r="G381">
        <f>raw_data!J381</f>
        <v>1.06</v>
      </c>
      <c r="H381" t="str">
        <f t="shared" si="5"/>
        <v>Wage Pressure</v>
      </c>
    </row>
    <row r="382" spans="1:8" x14ac:dyDescent="0.2">
      <c r="A382" t="str">
        <f>raw_data!A382</f>
        <v>2015Q1</v>
      </c>
      <c r="B382" t="str">
        <f>raw_data!B382</f>
        <v>New South Wales</v>
      </c>
      <c r="C382" t="str">
        <f>raw_data!C382</f>
        <v>Education and Training</v>
      </c>
      <c r="D382">
        <f>raw_data!G382</f>
        <v>15.18</v>
      </c>
      <c r="E382">
        <f>raw_data!H382</f>
        <v>0.51</v>
      </c>
      <c r="F382">
        <f>raw_data!I382</f>
        <v>14.42</v>
      </c>
      <c r="G382">
        <f>raw_data!J382</f>
        <v>0.25</v>
      </c>
      <c r="H382" t="str">
        <f t="shared" si="5"/>
        <v>Wage Pressure</v>
      </c>
    </row>
    <row r="383" spans="1:8" x14ac:dyDescent="0.2">
      <c r="A383" t="str">
        <f>raw_data!A383</f>
        <v>2015Q1</v>
      </c>
      <c r="B383" t="str">
        <f>raw_data!B383</f>
        <v>New South Wales</v>
      </c>
      <c r="C383" t="str">
        <f>raw_data!C383</f>
        <v>Health Care and Social Assistance</v>
      </c>
      <c r="D383">
        <f>raw_data!G383</f>
        <v>18.28</v>
      </c>
      <c r="E383">
        <f>raw_data!H383</f>
        <v>3.03</v>
      </c>
      <c r="F383">
        <f>raw_data!I383</f>
        <v>13.27</v>
      </c>
      <c r="G383">
        <f>raw_data!J383</f>
        <v>1.98</v>
      </c>
      <c r="H383" t="str">
        <f t="shared" si="5"/>
        <v>Wage Pressure</v>
      </c>
    </row>
    <row r="384" spans="1:8" x14ac:dyDescent="0.2">
      <c r="A384" t="str">
        <f>raw_data!A384</f>
        <v>2015Q1</v>
      </c>
      <c r="B384" t="str">
        <f>raw_data!B384</f>
        <v>New South Wales</v>
      </c>
      <c r="C384" t="str">
        <f>raw_data!C384</f>
        <v>Manufacturing</v>
      </c>
      <c r="D384">
        <f>raw_data!G384</f>
        <v>17.440000000000001</v>
      </c>
      <c r="E384">
        <f>raw_data!H384</f>
        <v>3.21</v>
      </c>
      <c r="F384">
        <f>raw_data!I384</f>
        <v>13.27</v>
      </c>
      <c r="G384">
        <f>raw_data!J384</f>
        <v>0.97</v>
      </c>
      <c r="H384" t="str">
        <f t="shared" si="5"/>
        <v>Wage Pressure</v>
      </c>
    </row>
    <row r="385" spans="1:8" x14ac:dyDescent="0.2">
      <c r="A385" t="str">
        <f>raw_data!A385</f>
        <v>2015Q1</v>
      </c>
      <c r="B385" t="str">
        <f>raw_data!B385</f>
        <v>New South Wales</v>
      </c>
      <c r="C385" t="str">
        <f>raw_data!C385</f>
        <v>Professional, Scientific and Technical Services</v>
      </c>
      <c r="D385">
        <f>raw_data!G385</f>
        <v>15.89</v>
      </c>
      <c r="E385">
        <f>raw_data!H385</f>
        <v>5.83</v>
      </c>
      <c r="F385">
        <f>raw_data!I385</f>
        <v>7.5</v>
      </c>
      <c r="G385">
        <f>raw_data!J385</f>
        <v>2.56</v>
      </c>
      <c r="H385" t="str">
        <f t="shared" si="5"/>
        <v>Wage Pressure</v>
      </c>
    </row>
    <row r="386" spans="1:8" x14ac:dyDescent="0.2">
      <c r="A386" t="str">
        <f>raw_data!A386</f>
        <v>2015Q1</v>
      </c>
      <c r="B386" t="str">
        <f>raw_data!B386</f>
        <v>Queensland</v>
      </c>
      <c r="C386" t="str">
        <f>raw_data!C386</f>
        <v>Accommodation and Food Services</v>
      </c>
      <c r="D386">
        <f>raw_data!G386</f>
        <v>23.06</v>
      </c>
      <c r="E386">
        <f>raw_data!H386</f>
        <v>9.0500000000000007</v>
      </c>
      <c r="F386">
        <f>raw_data!I386</f>
        <v>12.12</v>
      </c>
      <c r="G386">
        <f>raw_data!J386</f>
        <v>1.9</v>
      </c>
      <c r="H386" t="str">
        <f t="shared" si="5"/>
        <v>Wage Pressure</v>
      </c>
    </row>
    <row r="387" spans="1:8" x14ac:dyDescent="0.2">
      <c r="A387" t="str">
        <f>raw_data!A387</f>
        <v>2015Q1</v>
      </c>
      <c r="B387" t="str">
        <f>raw_data!B387</f>
        <v>Queensland</v>
      </c>
      <c r="C387" t="str">
        <f>raw_data!C387</f>
        <v>Construction</v>
      </c>
      <c r="D387">
        <f>raw_data!G387</f>
        <v>15.66</v>
      </c>
      <c r="E387">
        <f>raw_data!H387</f>
        <v>6.08</v>
      </c>
      <c r="F387">
        <f>raw_data!I387</f>
        <v>8.65</v>
      </c>
      <c r="G387">
        <f>raw_data!J387</f>
        <v>0.93</v>
      </c>
      <c r="H387" t="str">
        <f t="shared" ref="H387:H450" si="6">IF(AND(E387&gt;=F387,E387&gt;=G387),"Vacancy Intensity",IF(F387&gt;=G387,"Wage Pressure","Labour Tightness"))</f>
        <v>Wage Pressure</v>
      </c>
    </row>
    <row r="388" spans="1:8" x14ac:dyDescent="0.2">
      <c r="A388" t="str">
        <f>raw_data!A388</f>
        <v>2015Q1</v>
      </c>
      <c r="B388" t="str">
        <f>raw_data!B388</f>
        <v>Queensland</v>
      </c>
      <c r="C388" t="str">
        <f>raw_data!C388</f>
        <v>Education and Training</v>
      </c>
      <c r="D388">
        <f>raw_data!G388</f>
        <v>16.23</v>
      </c>
      <c r="E388">
        <f>raw_data!H388</f>
        <v>1.24</v>
      </c>
      <c r="F388">
        <f>raw_data!I388</f>
        <v>14.42</v>
      </c>
      <c r="G388">
        <f>raw_data!J388</f>
        <v>0.56999999999999995</v>
      </c>
      <c r="H388" t="str">
        <f t="shared" si="6"/>
        <v>Wage Pressure</v>
      </c>
    </row>
    <row r="389" spans="1:8" x14ac:dyDescent="0.2">
      <c r="A389" t="str">
        <f>raw_data!A389</f>
        <v>2015Q1</v>
      </c>
      <c r="B389" t="str">
        <f>raw_data!B389</f>
        <v>Queensland</v>
      </c>
      <c r="C389" t="str">
        <f>raw_data!C389</f>
        <v>Health Care and Social Assistance</v>
      </c>
      <c r="D389">
        <f>raw_data!G389</f>
        <v>21.18</v>
      </c>
      <c r="E389">
        <f>raw_data!H389</f>
        <v>5.39</v>
      </c>
      <c r="F389">
        <f>raw_data!I389</f>
        <v>13.27</v>
      </c>
      <c r="G389">
        <f>raw_data!J389</f>
        <v>2.52</v>
      </c>
      <c r="H389" t="str">
        <f t="shared" si="6"/>
        <v>Wage Pressure</v>
      </c>
    </row>
    <row r="390" spans="1:8" x14ac:dyDescent="0.2">
      <c r="A390" t="str">
        <f>raw_data!A390</f>
        <v>2015Q1</v>
      </c>
      <c r="B390" t="str">
        <f>raw_data!B390</f>
        <v>Queensland</v>
      </c>
      <c r="C390" t="str">
        <f>raw_data!C390</f>
        <v>Manufacturing</v>
      </c>
      <c r="D390">
        <f>raw_data!G390</f>
        <v>20.34</v>
      </c>
      <c r="E390">
        <f>raw_data!H390</f>
        <v>5.93</v>
      </c>
      <c r="F390">
        <f>raw_data!I390</f>
        <v>13.27</v>
      </c>
      <c r="G390">
        <f>raw_data!J390</f>
        <v>1.1399999999999999</v>
      </c>
      <c r="H390" t="str">
        <f t="shared" si="6"/>
        <v>Wage Pressure</v>
      </c>
    </row>
    <row r="391" spans="1:8" x14ac:dyDescent="0.2">
      <c r="A391" t="str">
        <f>raw_data!A391</f>
        <v>2015Q1</v>
      </c>
      <c r="B391" t="str">
        <f>raw_data!B391</f>
        <v>Queensland</v>
      </c>
      <c r="C391" t="str">
        <f>raw_data!C391</f>
        <v>Professional, Scientific and Technical Services</v>
      </c>
      <c r="D391">
        <f>raw_data!G391</f>
        <v>25.04</v>
      </c>
      <c r="E391">
        <f>raw_data!H391</f>
        <v>11.65</v>
      </c>
      <c r="F391">
        <f>raw_data!I391</f>
        <v>7.5</v>
      </c>
      <c r="G391">
        <f>raw_data!J391</f>
        <v>5.9</v>
      </c>
      <c r="H391" t="str">
        <f t="shared" si="6"/>
        <v>Vacancy Intensity</v>
      </c>
    </row>
    <row r="392" spans="1:8" x14ac:dyDescent="0.2">
      <c r="A392" t="str">
        <f>raw_data!A392</f>
        <v>2015Q1</v>
      </c>
      <c r="B392" t="str">
        <f>raw_data!B392</f>
        <v>Victoria</v>
      </c>
      <c r="C392" t="str">
        <f>raw_data!C392</f>
        <v>Accommodation and Food Services</v>
      </c>
      <c r="D392">
        <f>raw_data!G392</f>
        <v>21.12</v>
      </c>
      <c r="E392">
        <f>raw_data!H392</f>
        <v>7.8</v>
      </c>
      <c r="F392">
        <f>raw_data!I392</f>
        <v>12.12</v>
      </c>
      <c r="G392">
        <f>raw_data!J392</f>
        <v>1.2</v>
      </c>
      <c r="H392" t="str">
        <f t="shared" si="6"/>
        <v>Wage Pressure</v>
      </c>
    </row>
    <row r="393" spans="1:8" x14ac:dyDescent="0.2">
      <c r="A393" t="str">
        <f>raw_data!A393</f>
        <v>2015Q1</v>
      </c>
      <c r="B393" t="str">
        <f>raw_data!B393</f>
        <v>Victoria</v>
      </c>
      <c r="C393" t="str">
        <f>raw_data!C393</f>
        <v>Construction</v>
      </c>
      <c r="D393">
        <f>raw_data!G393</f>
        <v>15.59</v>
      </c>
      <c r="E393">
        <f>raw_data!H393</f>
        <v>5.2</v>
      </c>
      <c r="F393">
        <f>raw_data!I393</f>
        <v>8.65</v>
      </c>
      <c r="G393">
        <f>raw_data!J393</f>
        <v>1.74</v>
      </c>
      <c r="H393" t="str">
        <f t="shared" si="6"/>
        <v>Wage Pressure</v>
      </c>
    </row>
    <row r="394" spans="1:8" x14ac:dyDescent="0.2">
      <c r="A394" t="str">
        <f>raw_data!A394</f>
        <v>2015Q1</v>
      </c>
      <c r="B394" t="str">
        <f>raw_data!B394</f>
        <v>Victoria</v>
      </c>
      <c r="C394" t="str">
        <f>raw_data!C394</f>
        <v>Education and Training</v>
      </c>
      <c r="D394">
        <f>raw_data!G394</f>
        <v>15.52</v>
      </c>
      <c r="E394">
        <f>raw_data!H394</f>
        <v>0.74</v>
      </c>
      <c r="F394">
        <f>raw_data!I394</f>
        <v>14.42</v>
      </c>
      <c r="G394">
        <f>raw_data!J394</f>
        <v>0.36</v>
      </c>
      <c r="H394" t="str">
        <f t="shared" si="6"/>
        <v>Wage Pressure</v>
      </c>
    </row>
    <row r="395" spans="1:8" x14ac:dyDescent="0.2">
      <c r="A395" t="str">
        <f>raw_data!A395</f>
        <v>2015Q1</v>
      </c>
      <c r="B395" t="str">
        <f>raw_data!B395</f>
        <v>Victoria</v>
      </c>
      <c r="C395" t="str">
        <f>raw_data!C395</f>
        <v>Health Care and Social Assistance</v>
      </c>
      <c r="D395">
        <f>raw_data!G395</f>
        <v>20.23</v>
      </c>
      <c r="E395">
        <f>raw_data!H395</f>
        <v>4.09</v>
      </c>
      <c r="F395">
        <f>raw_data!I395</f>
        <v>13.27</v>
      </c>
      <c r="G395">
        <f>raw_data!J395</f>
        <v>2.87</v>
      </c>
      <c r="H395" t="str">
        <f t="shared" si="6"/>
        <v>Wage Pressure</v>
      </c>
    </row>
    <row r="396" spans="1:8" x14ac:dyDescent="0.2">
      <c r="A396" t="str">
        <f>raw_data!A396</f>
        <v>2015Q1</v>
      </c>
      <c r="B396" t="str">
        <f>raw_data!B396</f>
        <v>Victoria</v>
      </c>
      <c r="C396" t="str">
        <f>raw_data!C396</f>
        <v>Manufacturing</v>
      </c>
      <c r="D396">
        <f>raw_data!G396</f>
        <v>17.47</v>
      </c>
      <c r="E396">
        <f>raw_data!H396</f>
        <v>3.15</v>
      </c>
      <c r="F396">
        <f>raw_data!I396</f>
        <v>13.27</v>
      </c>
      <c r="G396">
        <f>raw_data!J396</f>
        <v>1.05</v>
      </c>
      <c r="H396" t="str">
        <f t="shared" si="6"/>
        <v>Wage Pressure</v>
      </c>
    </row>
    <row r="397" spans="1:8" x14ac:dyDescent="0.2">
      <c r="A397" t="str">
        <f>raw_data!A397</f>
        <v>2015Q1</v>
      </c>
      <c r="B397" t="str">
        <f>raw_data!B397</f>
        <v>Victoria</v>
      </c>
      <c r="C397" t="str">
        <f>raw_data!C397</f>
        <v>Professional, Scientific and Technical Services</v>
      </c>
      <c r="D397">
        <f>raw_data!G397</f>
        <v>17.82</v>
      </c>
      <c r="E397">
        <f>raw_data!H397</f>
        <v>7.07</v>
      </c>
      <c r="F397">
        <f>raw_data!I397</f>
        <v>7.5</v>
      </c>
      <c r="G397">
        <f>raw_data!J397</f>
        <v>3.25</v>
      </c>
      <c r="H397" t="str">
        <f t="shared" si="6"/>
        <v>Wage Pressure</v>
      </c>
    </row>
    <row r="398" spans="1:8" x14ac:dyDescent="0.2">
      <c r="A398" t="str">
        <f>raw_data!A398</f>
        <v>2015Q2</v>
      </c>
      <c r="B398" t="str">
        <f>raw_data!B398</f>
        <v>New South Wales</v>
      </c>
      <c r="C398" t="str">
        <f>raw_data!C398</f>
        <v>Accommodation and Food Services</v>
      </c>
      <c r="D398">
        <f>raw_data!G398</f>
        <v>19.95</v>
      </c>
      <c r="E398">
        <f>raw_data!H398</f>
        <v>6.29</v>
      </c>
      <c r="F398">
        <f>raw_data!I398</f>
        <v>12.69</v>
      </c>
      <c r="G398">
        <f>raw_data!J398</f>
        <v>0.97</v>
      </c>
      <c r="H398" t="str">
        <f t="shared" si="6"/>
        <v>Wage Pressure</v>
      </c>
    </row>
    <row r="399" spans="1:8" x14ac:dyDescent="0.2">
      <c r="A399" t="str">
        <f>raw_data!A399</f>
        <v>2015Q2</v>
      </c>
      <c r="B399" t="str">
        <f>raw_data!B399</f>
        <v>New South Wales</v>
      </c>
      <c r="C399" t="str">
        <f>raw_data!C399</f>
        <v>Construction</v>
      </c>
      <c r="D399">
        <f>raw_data!G399</f>
        <v>13.54</v>
      </c>
      <c r="E399">
        <f>raw_data!H399</f>
        <v>3.68</v>
      </c>
      <c r="F399">
        <f>raw_data!I399</f>
        <v>8.08</v>
      </c>
      <c r="G399">
        <f>raw_data!J399</f>
        <v>1.79</v>
      </c>
      <c r="H399" t="str">
        <f t="shared" si="6"/>
        <v>Wage Pressure</v>
      </c>
    </row>
    <row r="400" spans="1:8" x14ac:dyDescent="0.2">
      <c r="A400" t="str">
        <f>raw_data!A400</f>
        <v>2015Q2</v>
      </c>
      <c r="B400" t="str">
        <f>raw_data!B400</f>
        <v>New South Wales</v>
      </c>
      <c r="C400" t="str">
        <f>raw_data!C400</f>
        <v>Education and Training</v>
      </c>
      <c r="D400">
        <f>raw_data!G400</f>
        <v>15.33</v>
      </c>
      <c r="E400">
        <f>raw_data!H400</f>
        <v>0.54</v>
      </c>
      <c r="F400">
        <f>raw_data!I400</f>
        <v>13.85</v>
      </c>
      <c r="G400">
        <f>raw_data!J400</f>
        <v>0.95</v>
      </c>
      <c r="H400" t="str">
        <f t="shared" si="6"/>
        <v>Wage Pressure</v>
      </c>
    </row>
    <row r="401" spans="1:8" x14ac:dyDescent="0.2">
      <c r="A401" t="str">
        <f>raw_data!A401</f>
        <v>2015Q2</v>
      </c>
      <c r="B401" t="str">
        <f>raw_data!B401</f>
        <v>New South Wales</v>
      </c>
      <c r="C401" t="str">
        <f>raw_data!C401</f>
        <v>Health Care and Social Assistance</v>
      </c>
      <c r="D401">
        <f>raw_data!G401</f>
        <v>17.95</v>
      </c>
      <c r="E401">
        <f>raw_data!H401</f>
        <v>2.16</v>
      </c>
      <c r="F401">
        <f>raw_data!I401</f>
        <v>13.85</v>
      </c>
      <c r="G401">
        <f>raw_data!J401</f>
        <v>1.95</v>
      </c>
      <c r="H401" t="str">
        <f t="shared" si="6"/>
        <v>Wage Pressure</v>
      </c>
    </row>
    <row r="402" spans="1:8" x14ac:dyDescent="0.2">
      <c r="A402" t="str">
        <f>raw_data!A402</f>
        <v>2015Q2</v>
      </c>
      <c r="B402" t="str">
        <f>raw_data!B402</f>
        <v>New South Wales</v>
      </c>
      <c r="C402" t="str">
        <f>raw_data!C402</f>
        <v>Manufacturing</v>
      </c>
      <c r="D402">
        <f>raw_data!G402</f>
        <v>18.62</v>
      </c>
      <c r="E402">
        <f>raw_data!H402</f>
        <v>3.46</v>
      </c>
      <c r="F402">
        <f>raw_data!I402</f>
        <v>13.85</v>
      </c>
      <c r="G402">
        <f>raw_data!J402</f>
        <v>1.32</v>
      </c>
      <c r="H402" t="str">
        <f t="shared" si="6"/>
        <v>Wage Pressure</v>
      </c>
    </row>
    <row r="403" spans="1:8" x14ac:dyDescent="0.2">
      <c r="A403" t="str">
        <f>raw_data!A403</f>
        <v>2015Q2</v>
      </c>
      <c r="B403" t="str">
        <f>raw_data!B403</f>
        <v>New South Wales</v>
      </c>
      <c r="C403" t="str">
        <f>raw_data!C403</f>
        <v>Professional, Scientific and Technical Services</v>
      </c>
      <c r="D403">
        <f>raw_data!G403</f>
        <v>16.07</v>
      </c>
      <c r="E403">
        <f>raw_data!H403</f>
        <v>5.07</v>
      </c>
      <c r="F403">
        <f>raw_data!I403</f>
        <v>8.08</v>
      </c>
      <c r="G403">
        <f>raw_data!J403</f>
        <v>2.92</v>
      </c>
      <c r="H403" t="str">
        <f t="shared" si="6"/>
        <v>Wage Pressure</v>
      </c>
    </row>
    <row r="404" spans="1:8" x14ac:dyDescent="0.2">
      <c r="A404" t="str">
        <f>raw_data!A404</f>
        <v>2015Q2</v>
      </c>
      <c r="B404" t="str">
        <f>raw_data!B404</f>
        <v>Queensland</v>
      </c>
      <c r="C404" t="str">
        <f>raw_data!C404</f>
        <v>Accommodation and Food Services</v>
      </c>
      <c r="D404">
        <f>raw_data!G404</f>
        <v>22.79</v>
      </c>
      <c r="E404">
        <f>raw_data!H404</f>
        <v>8.8699999999999992</v>
      </c>
      <c r="F404">
        <f>raw_data!I404</f>
        <v>12.69</v>
      </c>
      <c r="G404">
        <f>raw_data!J404</f>
        <v>1.23</v>
      </c>
      <c r="H404" t="str">
        <f t="shared" si="6"/>
        <v>Wage Pressure</v>
      </c>
    </row>
    <row r="405" spans="1:8" x14ac:dyDescent="0.2">
      <c r="A405" t="str">
        <f>raw_data!A405</f>
        <v>2015Q2</v>
      </c>
      <c r="B405" t="str">
        <f>raw_data!B405</f>
        <v>Queensland</v>
      </c>
      <c r="C405" t="str">
        <f>raw_data!C405</f>
        <v>Construction</v>
      </c>
      <c r="D405">
        <f>raw_data!G405</f>
        <v>15.93</v>
      </c>
      <c r="E405">
        <f>raw_data!H405</f>
        <v>6.19</v>
      </c>
      <c r="F405">
        <f>raw_data!I405</f>
        <v>8.08</v>
      </c>
      <c r="G405">
        <f>raw_data!J405</f>
        <v>1.65</v>
      </c>
      <c r="H405" t="str">
        <f t="shared" si="6"/>
        <v>Wage Pressure</v>
      </c>
    </row>
    <row r="406" spans="1:8" x14ac:dyDescent="0.2">
      <c r="A406" t="str">
        <f>raw_data!A406</f>
        <v>2015Q2</v>
      </c>
      <c r="B406" t="str">
        <f>raw_data!B406</f>
        <v>Queensland</v>
      </c>
      <c r="C406" t="str">
        <f>raw_data!C406</f>
        <v>Education and Training</v>
      </c>
      <c r="D406">
        <f>raw_data!G406</f>
        <v>16.440000000000001</v>
      </c>
      <c r="E406">
        <f>raw_data!H406</f>
        <v>1.23</v>
      </c>
      <c r="F406">
        <f>raw_data!I406</f>
        <v>13.85</v>
      </c>
      <c r="G406">
        <f>raw_data!J406</f>
        <v>1.37</v>
      </c>
      <c r="H406" t="str">
        <f t="shared" si="6"/>
        <v>Wage Pressure</v>
      </c>
    </row>
    <row r="407" spans="1:8" x14ac:dyDescent="0.2">
      <c r="A407" t="str">
        <f>raw_data!A407</f>
        <v>2015Q2</v>
      </c>
      <c r="B407" t="str">
        <f>raw_data!B407</f>
        <v>Queensland</v>
      </c>
      <c r="C407" t="str">
        <f>raw_data!C407</f>
        <v>Health Care and Social Assistance</v>
      </c>
      <c r="D407">
        <f>raw_data!G407</f>
        <v>23.46</v>
      </c>
      <c r="E407">
        <f>raw_data!H407</f>
        <v>4.2300000000000004</v>
      </c>
      <c r="F407">
        <f>raw_data!I407</f>
        <v>13.85</v>
      </c>
      <c r="G407">
        <f>raw_data!J407</f>
        <v>5.38</v>
      </c>
      <c r="H407" t="str">
        <f t="shared" si="6"/>
        <v>Wage Pressure</v>
      </c>
    </row>
    <row r="408" spans="1:8" x14ac:dyDescent="0.2">
      <c r="A408" t="str">
        <f>raw_data!A408</f>
        <v>2015Q2</v>
      </c>
      <c r="B408" t="str">
        <f>raw_data!B408</f>
        <v>Queensland</v>
      </c>
      <c r="C408" t="str">
        <f>raw_data!C408</f>
        <v>Manufacturing</v>
      </c>
      <c r="D408">
        <f>raw_data!G408</f>
        <v>20.82</v>
      </c>
      <c r="E408">
        <f>raw_data!H408</f>
        <v>5.8</v>
      </c>
      <c r="F408">
        <f>raw_data!I408</f>
        <v>13.85</v>
      </c>
      <c r="G408">
        <f>raw_data!J408</f>
        <v>1.17</v>
      </c>
      <c r="H408" t="str">
        <f t="shared" si="6"/>
        <v>Wage Pressure</v>
      </c>
    </row>
    <row r="409" spans="1:8" x14ac:dyDescent="0.2">
      <c r="A409" t="str">
        <f>raw_data!A409</f>
        <v>2015Q2</v>
      </c>
      <c r="B409" t="str">
        <f>raw_data!B409</f>
        <v>Queensland</v>
      </c>
      <c r="C409" t="str">
        <f>raw_data!C409</f>
        <v>Professional, Scientific and Technical Services</v>
      </c>
      <c r="D409">
        <f>raw_data!G409</f>
        <v>22.91</v>
      </c>
      <c r="E409">
        <f>raw_data!H409</f>
        <v>10.24</v>
      </c>
      <c r="F409">
        <f>raw_data!I409</f>
        <v>8.08</v>
      </c>
      <c r="G409">
        <f>raw_data!J409</f>
        <v>4.59</v>
      </c>
      <c r="H409" t="str">
        <f t="shared" si="6"/>
        <v>Vacancy Intensity</v>
      </c>
    </row>
    <row r="410" spans="1:8" x14ac:dyDescent="0.2">
      <c r="A410" t="str">
        <f>raw_data!A410</f>
        <v>2015Q2</v>
      </c>
      <c r="B410" t="str">
        <f>raw_data!B410</f>
        <v>Victoria</v>
      </c>
      <c r="C410" t="str">
        <f>raw_data!C410</f>
        <v>Accommodation and Food Services</v>
      </c>
      <c r="D410">
        <f>raw_data!G410</f>
        <v>21.28</v>
      </c>
      <c r="E410">
        <f>raw_data!H410</f>
        <v>7.64</v>
      </c>
      <c r="F410">
        <f>raw_data!I410</f>
        <v>12.69</v>
      </c>
      <c r="G410">
        <f>raw_data!J410</f>
        <v>0.95</v>
      </c>
      <c r="H410" t="str">
        <f t="shared" si="6"/>
        <v>Wage Pressure</v>
      </c>
    </row>
    <row r="411" spans="1:8" x14ac:dyDescent="0.2">
      <c r="A411" t="str">
        <f>raw_data!A411</f>
        <v>2015Q2</v>
      </c>
      <c r="B411" t="str">
        <f>raw_data!B411</f>
        <v>Victoria</v>
      </c>
      <c r="C411" t="str">
        <f>raw_data!C411</f>
        <v>Construction</v>
      </c>
      <c r="D411">
        <f>raw_data!G411</f>
        <v>15.08</v>
      </c>
      <c r="E411">
        <f>raw_data!H411</f>
        <v>4.9000000000000004</v>
      </c>
      <c r="F411">
        <f>raw_data!I411</f>
        <v>8.08</v>
      </c>
      <c r="G411">
        <f>raw_data!J411</f>
        <v>2.11</v>
      </c>
      <c r="H411" t="str">
        <f t="shared" si="6"/>
        <v>Wage Pressure</v>
      </c>
    </row>
    <row r="412" spans="1:8" x14ac:dyDescent="0.2">
      <c r="A412" t="str">
        <f>raw_data!A412</f>
        <v>2015Q2</v>
      </c>
      <c r="B412" t="str">
        <f>raw_data!B412</f>
        <v>Victoria</v>
      </c>
      <c r="C412" t="str">
        <f>raw_data!C412</f>
        <v>Education and Training</v>
      </c>
      <c r="D412">
        <f>raw_data!G412</f>
        <v>14.97</v>
      </c>
      <c r="E412">
        <f>raw_data!H412</f>
        <v>0.79</v>
      </c>
      <c r="F412">
        <f>raw_data!I412</f>
        <v>13.85</v>
      </c>
      <c r="G412">
        <f>raw_data!J412</f>
        <v>0.34</v>
      </c>
      <c r="H412" t="str">
        <f t="shared" si="6"/>
        <v>Wage Pressure</v>
      </c>
    </row>
    <row r="413" spans="1:8" x14ac:dyDescent="0.2">
      <c r="A413" t="str">
        <f>raw_data!A413</f>
        <v>2015Q2</v>
      </c>
      <c r="B413" t="str">
        <f>raw_data!B413</f>
        <v>Victoria</v>
      </c>
      <c r="C413" t="str">
        <f>raw_data!C413</f>
        <v>Health Care and Social Assistance</v>
      </c>
      <c r="D413">
        <f>raw_data!G413</f>
        <v>19.54</v>
      </c>
      <c r="E413">
        <f>raw_data!H413</f>
        <v>3.29</v>
      </c>
      <c r="F413">
        <f>raw_data!I413</f>
        <v>13.85</v>
      </c>
      <c r="G413">
        <f>raw_data!J413</f>
        <v>2.4</v>
      </c>
      <c r="H413" t="str">
        <f t="shared" si="6"/>
        <v>Wage Pressure</v>
      </c>
    </row>
    <row r="414" spans="1:8" x14ac:dyDescent="0.2">
      <c r="A414" t="str">
        <f>raw_data!A414</f>
        <v>2015Q2</v>
      </c>
      <c r="B414" t="str">
        <f>raw_data!B414</f>
        <v>Victoria</v>
      </c>
      <c r="C414" t="str">
        <f>raw_data!C414</f>
        <v>Manufacturing</v>
      </c>
      <c r="D414">
        <f>raw_data!G414</f>
        <v>18.190000000000001</v>
      </c>
      <c r="E414">
        <f>raw_data!H414</f>
        <v>3.1</v>
      </c>
      <c r="F414">
        <f>raw_data!I414</f>
        <v>13.85</v>
      </c>
      <c r="G414">
        <f>raw_data!J414</f>
        <v>1.24</v>
      </c>
      <c r="H414" t="str">
        <f t="shared" si="6"/>
        <v>Wage Pressure</v>
      </c>
    </row>
    <row r="415" spans="1:8" x14ac:dyDescent="0.2">
      <c r="A415" t="str">
        <f>raw_data!A415</f>
        <v>2015Q2</v>
      </c>
      <c r="B415" t="str">
        <f>raw_data!B415</f>
        <v>Victoria</v>
      </c>
      <c r="C415" t="str">
        <f>raw_data!C415</f>
        <v>Professional, Scientific and Technical Services</v>
      </c>
      <c r="D415">
        <f>raw_data!G415</f>
        <v>17.579999999999998</v>
      </c>
      <c r="E415">
        <f>raw_data!H415</f>
        <v>6.67</v>
      </c>
      <c r="F415">
        <f>raw_data!I415</f>
        <v>8.08</v>
      </c>
      <c r="G415">
        <f>raw_data!J415</f>
        <v>2.83</v>
      </c>
      <c r="H415" t="str">
        <f t="shared" si="6"/>
        <v>Wage Pressure</v>
      </c>
    </row>
    <row r="416" spans="1:8" x14ac:dyDescent="0.2">
      <c r="A416" t="str">
        <f>raw_data!A416</f>
        <v>2015Q3</v>
      </c>
      <c r="B416" t="str">
        <f>raw_data!B416</f>
        <v>New South Wales</v>
      </c>
      <c r="C416" t="str">
        <f>raw_data!C416</f>
        <v>Accommodation and Food Services</v>
      </c>
      <c r="D416">
        <f>raw_data!G416</f>
        <v>20.71</v>
      </c>
      <c r="E416">
        <f>raw_data!H416</f>
        <v>8.01</v>
      </c>
      <c r="F416">
        <f>raw_data!I416</f>
        <v>10.96</v>
      </c>
      <c r="G416">
        <f>raw_data!J416</f>
        <v>1.73</v>
      </c>
      <c r="H416" t="str">
        <f t="shared" si="6"/>
        <v>Wage Pressure</v>
      </c>
    </row>
    <row r="417" spans="1:8" x14ac:dyDescent="0.2">
      <c r="A417" t="str">
        <f>raw_data!A417</f>
        <v>2015Q3</v>
      </c>
      <c r="B417" t="str">
        <f>raw_data!B417</f>
        <v>New South Wales</v>
      </c>
      <c r="C417" t="str">
        <f>raw_data!C417</f>
        <v>Construction</v>
      </c>
      <c r="D417">
        <f>raw_data!G417</f>
        <v>11.8</v>
      </c>
      <c r="E417">
        <f>raw_data!H417</f>
        <v>2.8</v>
      </c>
      <c r="F417">
        <f>raw_data!I417</f>
        <v>8.08</v>
      </c>
      <c r="G417">
        <f>raw_data!J417</f>
        <v>0.92</v>
      </c>
      <c r="H417" t="str">
        <f t="shared" si="6"/>
        <v>Wage Pressure</v>
      </c>
    </row>
    <row r="418" spans="1:8" x14ac:dyDescent="0.2">
      <c r="A418" t="str">
        <f>raw_data!A418</f>
        <v>2015Q3</v>
      </c>
      <c r="B418" t="str">
        <f>raw_data!B418</f>
        <v>New South Wales</v>
      </c>
      <c r="C418" t="str">
        <f>raw_data!C418</f>
        <v>Education and Training</v>
      </c>
      <c r="D418">
        <f>raw_data!G418</f>
        <v>17.399999999999999</v>
      </c>
      <c r="E418">
        <f>raw_data!H418</f>
        <v>0.73</v>
      </c>
      <c r="F418">
        <f>raw_data!I418</f>
        <v>15.58</v>
      </c>
      <c r="G418">
        <f>raw_data!J418</f>
        <v>1.0900000000000001</v>
      </c>
      <c r="H418" t="str">
        <f t="shared" si="6"/>
        <v>Wage Pressure</v>
      </c>
    </row>
    <row r="419" spans="1:8" x14ac:dyDescent="0.2">
      <c r="A419" t="str">
        <f>raw_data!A419</f>
        <v>2015Q3</v>
      </c>
      <c r="B419" t="str">
        <f>raw_data!B419</f>
        <v>New South Wales</v>
      </c>
      <c r="C419" t="str">
        <f>raw_data!C419</f>
        <v>Health Care and Social Assistance</v>
      </c>
      <c r="D419">
        <f>raw_data!G419</f>
        <v>17.86</v>
      </c>
      <c r="E419">
        <f>raw_data!H419</f>
        <v>3</v>
      </c>
      <c r="F419">
        <f>raw_data!I419</f>
        <v>13.27</v>
      </c>
      <c r="G419">
        <f>raw_data!J419</f>
        <v>1.59</v>
      </c>
      <c r="H419" t="str">
        <f t="shared" si="6"/>
        <v>Wage Pressure</v>
      </c>
    </row>
    <row r="420" spans="1:8" x14ac:dyDescent="0.2">
      <c r="A420" t="str">
        <f>raw_data!A420</f>
        <v>2015Q3</v>
      </c>
      <c r="B420" t="str">
        <f>raw_data!B420</f>
        <v>New South Wales</v>
      </c>
      <c r="C420" t="str">
        <f>raw_data!C420</f>
        <v>Manufacturing</v>
      </c>
      <c r="D420">
        <f>raw_data!G420</f>
        <v>16.48</v>
      </c>
      <c r="E420">
        <f>raw_data!H420</f>
        <v>2.2599999999999998</v>
      </c>
      <c r="F420">
        <f>raw_data!I420</f>
        <v>13.27</v>
      </c>
      <c r="G420">
        <f>raw_data!J420</f>
        <v>0.95</v>
      </c>
      <c r="H420" t="str">
        <f t="shared" si="6"/>
        <v>Wage Pressure</v>
      </c>
    </row>
    <row r="421" spans="1:8" x14ac:dyDescent="0.2">
      <c r="A421" t="str">
        <f>raw_data!A421</f>
        <v>2015Q3</v>
      </c>
      <c r="B421" t="str">
        <f>raw_data!B421</f>
        <v>New South Wales</v>
      </c>
      <c r="C421" t="str">
        <f>raw_data!C421</f>
        <v>Professional, Scientific and Technical Services</v>
      </c>
      <c r="D421">
        <f>raw_data!G421</f>
        <v>18.059999999999999</v>
      </c>
      <c r="E421">
        <f>raw_data!H421</f>
        <v>5.89</v>
      </c>
      <c r="F421">
        <f>raw_data!I421</f>
        <v>6.92</v>
      </c>
      <c r="G421">
        <f>raw_data!J421</f>
        <v>5.24</v>
      </c>
      <c r="H421" t="str">
        <f t="shared" si="6"/>
        <v>Wage Pressure</v>
      </c>
    </row>
    <row r="422" spans="1:8" x14ac:dyDescent="0.2">
      <c r="A422" t="str">
        <f>raw_data!A422</f>
        <v>2015Q3</v>
      </c>
      <c r="B422" t="str">
        <f>raw_data!B422</f>
        <v>Queensland</v>
      </c>
      <c r="C422" t="str">
        <f>raw_data!C422</f>
        <v>Accommodation and Food Services</v>
      </c>
      <c r="D422">
        <f>raw_data!G422</f>
        <v>25.35</v>
      </c>
      <c r="E422">
        <f>raw_data!H422</f>
        <v>13.01</v>
      </c>
      <c r="F422">
        <f>raw_data!I422</f>
        <v>10.96</v>
      </c>
      <c r="G422">
        <f>raw_data!J422</f>
        <v>1.38</v>
      </c>
      <c r="H422" t="str">
        <f t="shared" si="6"/>
        <v>Vacancy Intensity</v>
      </c>
    </row>
    <row r="423" spans="1:8" x14ac:dyDescent="0.2">
      <c r="A423" t="str">
        <f>raw_data!A423</f>
        <v>2015Q3</v>
      </c>
      <c r="B423" t="str">
        <f>raw_data!B423</f>
        <v>Queensland</v>
      </c>
      <c r="C423" t="str">
        <f>raw_data!C423</f>
        <v>Construction</v>
      </c>
      <c r="D423">
        <f>raw_data!G423</f>
        <v>14.13</v>
      </c>
      <c r="E423">
        <f>raw_data!H423</f>
        <v>4.99</v>
      </c>
      <c r="F423">
        <f>raw_data!I423</f>
        <v>8.08</v>
      </c>
      <c r="G423">
        <f>raw_data!J423</f>
        <v>1.06</v>
      </c>
      <c r="H423" t="str">
        <f t="shared" si="6"/>
        <v>Wage Pressure</v>
      </c>
    </row>
    <row r="424" spans="1:8" x14ac:dyDescent="0.2">
      <c r="A424" t="str">
        <f>raw_data!A424</f>
        <v>2015Q3</v>
      </c>
      <c r="B424" t="str">
        <f>raw_data!B424</f>
        <v>Queensland</v>
      </c>
      <c r="C424" t="str">
        <f>raw_data!C424</f>
        <v>Education and Training</v>
      </c>
      <c r="D424">
        <f>raw_data!G424</f>
        <v>20.53</v>
      </c>
      <c r="E424">
        <f>raw_data!H424</f>
        <v>1.54</v>
      </c>
      <c r="F424">
        <f>raw_data!I424</f>
        <v>15.58</v>
      </c>
      <c r="G424">
        <f>raw_data!J424</f>
        <v>3.41</v>
      </c>
      <c r="H424" t="str">
        <f t="shared" si="6"/>
        <v>Wage Pressure</v>
      </c>
    </row>
    <row r="425" spans="1:8" x14ac:dyDescent="0.2">
      <c r="A425" t="str">
        <f>raw_data!A425</f>
        <v>2015Q3</v>
      </c>
      <c r="B425" t="str">
        <f>raw_data!B425</f>
        <v>Queensland</v>
      </c>
      <c r="C425" t="str">
        <f>raw_data!C425</f>
        <v>Health Care and Social Assistance</v>
      </c>
      <c r="D425">
        <f>raw_data!G425</f>
        <v>24.26</v>
      </c>
      <c r="E425">
        <f>raw_data!H425</f>
        <v>5.0199999999999996</v>
      </c>
      <c r="F425">
        <f>raw_data!I425</f>
        <v>13.27</v>
      </c>
      <c r="G425">
        <f>raw_data!J425</f>
        <v>5.97</v>
      </c>
      <c r="H425" t="str">
        <f t="shared" si="6"/>
        <v>Wage Pressure</v>
      </c>
    </row>
    <row r="426" spans="1:8" x14ac:dyDescent="0.2">
      <c r="A426" t="str">
        <f>raw_data!A426</f>
        <v>2015Q3</v>
      </c>
      <c r="B426" t="str">
        <f>raw_data!B426</f>
        <v>Queensland</v>
      </c>
      <c r="C426" t="str">
        <f>raw_data!C426</f>
        <v>Manufacturing</v>
      </c>
      <c r="D426">
        <f>raw_data!G426</f>
        <v>18.32</v>
      </c>
      <c r="E426">
        <f>raw_data!H426</f>
        <v>4.21</v>
      </c>
      <c r="F426">
        <f>raw_data!I426</f>
        <v>13.27</v>
      </c>
      <c r="G426">
        <f>raw_data!J426</f>
        <v>0.84</v>
      </c>
      <c r="H426" t="str">
        <f t="shared" si="6"/>
        <v>Wage Pressure</v>
      </c>
    </row>
    <row r="427" spans="1:8" x14ac:dyDescent="0.2">
      <c r="A427" t="str">
        <f>raw_data!A427</f>
        <v>2015Q3</v>
      </c>
      <c r="B427" t="str">
        <f>raw_data!B427</f>
        <v>Queensland</v>
      </c>
      <c r="C427" t="str">
        <f>raw_data!C427</f>
        <v>Professional, Scientific and Technical Services</v>
      </c>
      <c r="D427">
        <f>raw_data!G427</f>
        <v>23.5</v>
      </c>
      <c r="E427">
        <f>raw_data!H427</f>
        <v>12.32</v>
      </c>
      <c r="F427">
        <f>raw_data!I427</f>
        <v>6.92</v>
      </c>
      <c r="G427">
        <f>raw_data!J427</f>
        <v>4.26</v>
      </c>
      <c r="H427" t="str">
        <f t="shared" si="6"/>
        <v>Vacancy Intensity</v>
      </c>
    </row>
    <row r="428" spans="1:8" x14ac:dyDescent="0.2">
      <c r="A428" t="str">
        <f>raw_data!A428</f>
        <v>2015Q3</v>
      </c>
      <c r="B428" t="str">
        <f>raw_data!B428</f>
        <v>Victoria</v>
      </c>
      <c r="C428" t="str">
        <f>raw_data!C428</f>
        <v>Accommodation and Food Services</v>
      </c>
      <c r="D428">
        <f>raw_data!G428</f>
        <v>22.37</v>
      </c>
      <c r="E428">
        <f>raw_data!H428</f>
        <v>10.11</v>
      </c>
      <c r="F428">
        <f>raw_data!I428</f>
        <v>10.96</v>
      </c>
      <c r="G428">
        <f>raw_data!J428</f>
        <v>1.3</v>
      </c>
      <c r="H428" t="str">
        <f t="shared" si="6"/>
        <v>Wage Pressure</v>
      </c>
    </row>
    <row r="429" spans="1:8" x14ac:dyDescent="0.2">
      <c r="A429" t="str">
        <f>raw_data!A429</f>
        <v>2015Q3</v>
      </c>
      <c r="B429" t="str">
        <f>raw_data!B429</f>
        <v>Victoria</v>
      </c>
      <c r="C429" t="str">
        <f>raw_data!C429</f>
        <v>Construction</v>
      </c>
      <c r="D429">
        <f>raw_data!G429</f>
        <v>12.92</v>
      </c>
      <c r="E429">
        <f>raw_data!H429</f>
        <v>3.6</v>
      </c>
      <c r="F429">
        <f>raw_data!I429</f>
        <v>8.08</v>
      </c>
      <c r="G429">
        <f>raw_data!J429</f>
        <v>1.25</v>
      </c>
      <c r="H429" t="str">
        <f t="shared" si="6"/>
        <v>Wage Pressure</v>
      </c>
    </row>
    <row r="430" spans="1:8" x14ac:dyDescent="0.2">
      <c r="A430" t="str">
        <f>raw_data!A430</f>
        <v>2015Q3</v>
      </c>
      <c r="B430" t="str">
        <f>raw_data!B430</f>
        <v>Victoria</v>
      </c>
      <c r="C430" t="str">
        <f>raw_data!C430</f>
        <v>Education and Training</v>
      </c>
      <c r="D430">
        <f>raw_data!G430</f>
        <v>17.16</v>
      </c>
      <c r="E430">
        <f>raw_data!H430</f>
        <v>0.96</v>
      </c>
      <c r="F430">
        <f>raw_data!I430</f>
        <v>15.58</v>
      </c>
      <c r="G430">
        <f>raw_data!J430</f>
        <v>0.62</v>
      </c>
      <c r="H430" t="str">
        <f t="shared" si="6"/>
        <v>Wage Pressure</v>
      </c>
    </row>
    <row r="431" spans="1:8" x14ac:dyDescent="0.2">
      <c r="A431" t="str">
        <f>raw_data!A431</f>
        <v>2015Q3</v>
      </c>
      <c r="B431" t="str">
        <f>raw_data!B431</f>
        <v>Victoria</v>
      </c>
      <c r="C431" t="str">
        <f>raw_data!C431</f>
        <v>Health Care and Social Assistance</v>
      </c>
      <c r="D431">
        <f>raw_data!G431</f>
        <v>20.260000000000002</v>
      </c>
      <c r="E431">
        <f>raw_data!H431</f>
        <v>4.09</v>
      </c>
      <c r="F431">
        <f>raw_data!I431</f>
        <v>13.27</v>
      </c>
      <c r="G431">
        <f>raw_data!J431</f>
        <v>2.9</v>
      </c>
      <c r="H431" t="str">
        <f t="shared" si="6"/>
        <v>Wage Pressure</v>
      </c>
    </row>
    <row r="432" spans="1:8" x14ac:dyDescent="0.2">
      <c r="A432" t="str">
        <f>raw_data!A432</f>
        <v>2015Q3</v>
      </c>
      <c r="B432" t="str">
        <f>raw_data!B432</f>
        <v>Victoria</v>
      </c>
      <c r="C432" t="str">
        <f>raw_data!C432</f>
        <v>Manufacturing</v>
      </c>
      <c r="D432">
        <f>raw_data!G432</f>
        <v>16.36</v>
      </c>
      <c r="E432">
        <f>raw_data!H432</f>
        <v>2.2999999999999998</v>
      </c>
      <c r="F432">
        <f>raw_data!I432</f>
        <v>13.27</v>
      </c>
      <c r="G432">
        <f>raw_data!J432</f>
        <v>0.8</v>
      </c>
      <c r="H432" t="str">
        <f t="shared" si="6"/>
        <v>Wage Pressure</v>
      </c>
    </row>
    <row r="433" spans="1:8" x14ac:dyDescent="0.2">
      <c r="A433" t="str">
        <f>raw_data!A433</f>
        <v>2015Q3</v>
      </c>
      <c r="B433" t="str">
        <f>raw_data!B433</f>
        <v>Victoria</v>
      </c>
      <c r="C433" t="str">
        <f>raw_data!C433</f>
        <v>Professional, Scientific and Technical Services</v>
      </c>
      <c r="D433">
        <f>raw_data!G433</f>
        <v>20.32</v>
      </c>
      <c r="E433">
        <f>raw_data!H433</f>
        <v>8.3800000000000008</v>
      </c>
      <c r="F433">
        <f>raw_data!I433</f>
        <v>6.92</v>
      </c>
      <c r="G433">
        <f>raw_data!J433</f>
        <v>5.0199999999999996</v>
      </c>
      <c r="H433" t="str">
        <f t="shared" si="6"/>
        <v>Vacancy Intensity</v>
      </c>
    </row>
    <row r="434" spans="1:8" x14ac:dyDescent="0.2">
      <c r="A434" t="str">
        <f>raw_data!A434</f>
        <v>2015Q4</v>
      </c>
      <c r="B434" t="str">
        <f>raw_data!B434</f>
        <v>New South Wales</v>
      </c>
      <c r="C434" t="str">
        <f>raw_data!C434</f>
        <v>Accommodation and Food Services</v>
      </c>
      <c r="D434">
        <f>raw_data!G434</f>
        <v>23.67</v>
      </c>
      <c r="E434">
        <f>raw_data!H434</f>
        <v>8.85</v>
      </c>
      <c r="F434">
        <f>raw_data!I434</f>
        <v>12.12</v>
      </c>
      <c r="G434">
        <f>raw_data!J434</f>
        <v>2.7</v>
      </c>
      <c r="H434" t="str">
        <f t="shared" si="6"/>
        <v>Wage Pressure</v>
      </c>
    </row>
    <row r="435" spans="1:8" x14ac:dyDescent="0.2">
      <c r="A435" t="str">
        <f>raw_data!A435</f>
        <v>2015Q4</v>
      </c>
      <c r="B435" t="str">
        <f>raw_data!B435</f>
        <v>New South Wales</v>
      </c>
      <c r="C435" t="str">
        <f>raw_data!C435</f>
        <v>Construction</v>
      </c>
      <c r="D435">
        <f>raw_data!G435</f>
        <v>11.38</v>
      </c>
      <c r="E435">
        <f>raw_data!H435</f>
        <v>2.59</v>
      </c>
      <c r="F435">
        <f>raw_data!I435</f>
        <v>7.5</v>
      </c>
      <c r="G435">
        <f>raw_data!J435</f>
        <v>1.29</v>
      </c>
      <c r="H435" t="str">
        <f t="shared" si="6"/>
        <v>Wage Pressure</v>
      </c>
    </row>
    <row r="436" spans="1:8" x14ac:dyDescent="0.2">
      <c r="A436" t="str">
        <f>raw_data!A436</f>
        <v>2015Q4</v>
      </c>
      <c r="B436" t="str">
        <f>raw_data!B436</f>
        <v>New South Wales</v>
      </c>
      <c r="C436" t="str">
        <f>raw_data!C436</f>
        <v>Education and Training</v>
      </c>
      <c r="D436">
        <f>raw_data!G436</f>
        <v>15.13</v>
      </c>
      <c r="E436">
        <f>raw_data!H436</f>
        <v>1.01</v>
      </c>
      <c r="F436">
        <f>raw_data!I436</f>
        <v>13.27</v>
      </c>
      <c r="G436">
        <f>raw_data!J436</f>
        <v>0.85</v>
      </c>
      <c r="H436" t="str">
        <f t="shared" si="6"/>
        <v>Wage Pressure</v>
      </c>
    </row>
    <row r="437" spans="1:8" x14ac:dyDescent="0.2">
      <c r="A437" t="str">
        <f>raw_data!A437</f>
        <v>2015Q4</v>
      </c>
      <c r="B437" t="str">
        <f>raw_data!B437</f>
        <v>New South Wales</v>
      </c>
      <c r="C437" t="str">
        <f>raw_data!C437</f>
        <v>Health Care and Social Assistance</v>
      </c>
      <c r="D437">
        <f>raw_data!G437</f>
        <v>16.66</v>
      </c>
      <c r="E437">
        <f>raw_data!H437</f>
        <v>2.73</v>
      </c>
      <c r="F437">
        <f>raw_data!I437</f>
        <v>12.12</v>
      </c>
      <c r="G437">
        <f>raw_data!J437</f>
        <v>1.81</v>
      </c>
      <c r="H437" t="str">
        <f t="shared" si="6"/>
        <v>Wage Pressure</v>
      </c>
    </row>
    <row r="438" spans="1:8" x14ac:dyDescent="0.2">
      <c r="A438" t="str">
        <f>raw_data!A438</f>
        <v>2015Q4</v>
      </c>
      <c r="B438" t="str">
        <f>raw_data!B438</f>
        <v>New South Wales</v>
      </c>
      <c r="C438" t="str">
        <f>raw_data!C438</f>
        <v>Manufacturing</v>
      </c>
      <c r="D438">
        <f>raw_data!G438</f>
        <v>17.28</v>
      </c>
      <c r="E438">
        <f>raw_data!H438</f>
        <v>3.17</v>
      </c>
      <c r="F438">
        <f>raw_data!I438</f>
        <v>12.69</v>
      </c>
      <c r="G438">
        <f>raw_data!J438</f>
        <v>1.42</v>
      </c>
      <c r="H438" t="str">
        <f t="shared" si="6"/>
        <v>Wage Pressure</v>
      </c>
    </row>
    <row r="439" spans="1:8" x14ac:dyDescent="0.2">
      <c r="A439" t="str">
        <f>raw_data!A439</f>
        <v>2015Q4</v>
      </c>
      <c r="B439" t="str">
        <f>raw_data!B439</f>
        <v>New South Wales</v>
      </c>
      <c r="C439" t="str">
        <f>raw_data!C439</f>
        <v>Professional, Scientific and Technical Services</v>
      </c>
      <c r="D439">
        <f>raw_data!G439</f>
        <v>17.82</v>
      </c>
      <c r="E439">
        <f>raw_data!H439</f>
        <v>5.16</v>
      </c>
      <c r="F439">
        <f>raw_data!I439</f>
        <v>7.5</v>
      </c>
      <c r="G439">
        <f>raw_data!J439</f>
        <v>5.16</v>
      </c>
      <c r="H439" t="str">
        <f t="shared" si="6"/>
        <v>Wage Pressure</v>
      </c>
    </row>
    <row r="440" spans="1:8" x14ac:dyDescent="0.2">
      <c r="A440" t="str">
        <f>raw_data!A440</f>
        <v>2015Q4</v>
      </c>
      <c r="B440" t="str">
        <f>raw_data!B440</f>
        <v>Queensland</v>
      </c>
      <c r="C440" t="str">
        <f>raw_data!C440</f>
        <v>Accommodation and Food Services</v>
      </c>
      <c r="D440">
        <f>raw_data!G440</f>
        <v>28.09</v>
      </c>
      <c r="E440">
        <f>raw_data!H440</f>
        <v>13.9</v>
      </c>
      <c r="F440">
        <f>raw_data!I440</f>
        <v>12.12</v>
      </c>
      <c r="G440">
        <f>raw_data!J440</f>
        <v>2.0699999999999998</v>
      </c>
      <c r="H440" t="str">
        <f t="shared" si="6"/>
        <v>Vacancy Intensity</v>
      </c>
    </row>
    <row r="441" spans="1:8" x14ac:dyDescent="0.2">
      <c r="A441" t="str">
        <f>raw_data!A441</f>
        <v>2015Q4</v>
      </c>
      <c r="B441" t="str">
        <f>raw_data!B441</f>
        <v>Queensland</v>
      </c>
      <c r="C441" t="str">
        <f>raw_data!C441</f>
        <v>Construction</v>
      </c>
      <c r="D441">
        <f>raw_data!G441</f>
        <v>13.4</v>
      </c>
      <c r="E441">
        <f>raw_data!H441</f>
        <v>4.47</v>
      </c>
      <c r="F441">
        <f>raw_data!I441</f>
        <v>7.5</v>
      </c>
      <c r="G441">
        <f>raw_data!J441</f>
        <v>1.43</v>
      </c>
      <c r="H441" t="str">
        <f t="shared" si="6"/>
        <v>Wage Pressure</v>
      </c>
    </row>
    <row r="442" spans="1:8" x14ac:dyDescent="0.2">
      <c r="A442" t="str">
        <f>raw_data!A442</f>
        <v>2015Q4</v>
      </c>
      <c r="B442" t="str">
        <f>raw_data!B442</f>
        <v>Queensland</v>
      </c>
      <c r="C442" t="str">
        <f>raw_data!C442</f>
        <v>Education and Training</v>
      </c>
      <c r="D442">
        <f>raw_data!G442</f>
        <v>22.61</v>
      </c>
      <c r="E442">
        <f>raw_data!H442</f>
        <v>1.89</v>
      </c>
      <c r="F442">
        <f>raw_data!I442</f>
        <v>13.27</v>
      </c>
      <c r="G442">
        <f>raw_data!J442</f>
        <v>7.45</v>
      </c>
      <c r="H442" t="str">
        <f t="shared" si="6"/>
        <v>Wage Pressure</v>
      </c>
    </row>
    <row r="443" spans="1:8" x14ac:dyDescent="0.2">
      <c r="A443" t="str">
        <f>raw_data!A443</f>
        <v>2015Q4</v>
      </c>
      <c r="B443" t="str">
        <f>raw_data!B443</f>
        <v>Queensland</v>
      </c>
      <c r="C443" t="str">
        <f>raw_data!C443</f>
        <v>Health Care and Social Assistance</v>
      </c>
      <c r="D443">
        <f>raw_data!G443</f>
        <v>20.34</v>
      </c>
      <c r="E443">
        <f>raw_data!H443</f>
        <v>4.6399999999999997</v>
      </c>
      <c r="F443">
        <f>raw_data!I443</f>
        <v>12.12</v>
      </c>
      <c r="G443">
        <f>raw_data!J443</f>
        <v>3.58</v>
      </c>
      <c r="H443" t="str">
        <f t="shared" si="6"/>
        <v>Wage Pressure</v>
      </c>
    </row>
    <row r="444" spans="1:8" x14ac:dyDescent="0.2">
      <c r="A444" t="str">
        <f>raw_data!A444</f>
        <v>2015Q4</v>
      </c>
      <c r="B444" t="str">
        <f>raw_data!B444</f>
        <v>Queensland</v>
      </c>
      <c r="C444" t="str">
        <f>raw_data!C444</f>
        <v>Manufacturing</v>
      </c>
      <c r="D444">
        <f>raw_data!G444</f>
        <v>19.149999999999999</v>
      </c>
      <c r="E444">
        <f>raw_data!H444</f>
        <v>4.9000000000000004</v>
      </c>
      <c r="F444">
        <f>raw_data!I444</f>
        <v>12.69</v>
      </c>
      <c r="G444">
        <f>raw_data!J444</f>
        <v>1.55</v>
      </c>
      <c r="H444" t="str">
        <f t="shared" si="6"/>
        <v>Wage Pressure</v>
      </c>
    </row>
    <row r="445" spans="1:8" x14ac:dyDescent="0.2">
      <c r="A445" t="str">
        <f>raw_data!A445</f>
        <v>2015Q4</v>
      </c>
      <c r="B445" t="str">
        <f>raw_data!B445</f>
        <v>Queensland</v>
      </c>
      <c r="C445" t="str">
        <f>raw_data!C445</f>
        <v>Professional, Scientific and Technical Services</v>
      </c>
      <c r="D445">
        <f>raw_data!G445</f>
        <v>24.25</v>
      </c>
      <c r="E445">
        <f>raw_data!H445</f>
        <v>11.94</v>
      </c>
      <c r="F445">
        <f>raw_data!I445</f>
        <v>7.5</v>
      </c>
      <c r="G445">
        <f>raw_data!J445</f>
        <v>4.8</v>
      </c>
      <c r="H445" t="str">
        <f t="shared" si="6"/>
        <v>Vacancy Intensity</v>
      </c>
    </row>
    <row r="446" spans="1:8" x14ac:dyDescent="0.2">
      <c r="A446" t="str">
        <f>raw_data!A446</f>
        <v>2015Q4</v>
      </c>
      <c r="B446" t="str">
        <f>raw_data!B446</f>
        <v>Victoria</v>
      </c>
      <c r="C446" t="str">
        <f>raw_data!C446</f>
        <v>Accommodation and Food Services</v>
      </c>
      <c r="D446">
        <f>raw_data!G446</f>
        <v>24.72</v>
      </c>
      <c r="E446">
        <f>raw_data!H446</f>
        <v>11.37</v>
      </c>
      <c r="F446">
        <f>raw_data!I446</f>
        <v>12.12</v>
      </c>
      <c r="G446">
        <f>raw_data!J446</f>
        <v>1.23</v>
      </c>
      <c r="H446" t="str">
        <f t="shared" si="6"/>
        <v>Wage Pressure</v>
      </c>
    </row>
    <row r="447" spans="1:8" x14ac:dyDescent="0.2">
      <c r="A447" t="str">
        <f>raw_data!A447</f>
        <v>2015Q4</v>
      </c>
      <c r="B447" t="str">
        <f>raw_data!B447</f>
        <v>Victoria</v>
      </c>
      <c r="C447" t="str">
        <f>raw_data!C447</f>
        <v>Construction</v>
      </c>
      <c r="D447">
        <f>raw_data!G447</f>
        <v>11.75</v>
      </c>
      <c r="E447">
        <f>raw_data!H447</f>
        <v>3.14</v>
      </c>
      <c r="F447">
        <f>raw_data!I447</f>
        <v>7.5</v>
      </c>
      <c r="G447">
        <f>raw_data!J447</f>
        <v>1.1200000000000001</v>
      </c>
      <c r="H447" t="str">
        <f t="shared" si="6"/>
        <v>Wage Pressure</v>
      </c>
    </row>
    <row r="448" spans="1:8" x14ac:dyDescent="0.2">
      <c r="A448" t="str">
        <f>raw_data!A448</f>
        <v>2015Q4</v>
      </c>
      <c r="B448" t="str">
        <f>raw_data!B448</f>
        <v>Victoria</v>
      </c>
      <c r="C448" t="str">
        <f>raw_data!C448</f>
        <v>Education and Training</v>
      </c>
      <c r="D448">
        <f>raw_data!G448</f>
        <v>16.66</v>
      </c>
      <c r="E448">
        <f>raw_data!H448</f>
        <v>1.57</v>
      </c>
      <c r="F448">
        <f>raw_data!I448</f>
        <v>13.27</v>
      </c>
      <c r="G448">
        <f>raw_data!J448</f>
        <v>1.81</v>
      </c>
      <c r="H448" t="str">
        <f t="shared" si="6"/>
        <v>Wage Pressure</v>
      </c>
    </row>
    <row r="449" spans="1:8" x14ac:dyDescent="0.2">
      <c r="A449" t="str">
        <f>raw_data!A449</f>
        <v>2015Q4</v>
      </c>
      <c r="B449" t="str">
        <f>raw_data!B449</f>
        <v>Victoria</v>
      </c>
      <c r="C449" t="str">
        <f>raw_data!C449</f>
        <v>Health Care and Social Assistance</v>
      </c>
      <c r="D449">
        <f>raw_data!G449</f>
        <v>18.690000000000001</v>
      </c>
      <c r="E449">
        <f>raw_data!H449</f>
        <v>3.89</v>
      </c>
      <c r="F449">
        <f>raw_data!I449</f>
        <v>12.12</v>
      </c>
      <c r="G449">
        <f>raw_data!J449</f>
        <v>2.68</v>
      </c>
      <c r="H449" t="str">
        <f t="shared" si="6"/>
        <v>Wage Pressure</v>
      </c>
    </row>
    <row r="450" spans="1:8" x14ac:dyDescent="0.2">
      <c r="A450" t="str">
        <f>raw_data!A450</f>
        <v>2015Q4</v>
      </c>
      <c r="B450" t="str">
        <f>raw_data!B450</f>
        <v>Victoria</v>
      </c>
      <c r="C450" t="str">
        <f>raw_data!C450</f>
        <v>Manufacturing</v>
      </c>
      <c r="D450">
        <f>raw_data!G450</f>
        <v>16.62</v>
      </c>
      <c r="E450">
        <f>raw_data!H450</f>
        <v>2.87</v>
      </c>
      <c r="F450">
        <f>raw_data!I450</f>
        <v>12.69</v>
      </c>
      <c r="G450">
        <f>raw_data!J450</f>
        <v>1.06</v>
      </c>
      <c r="H450" t="str">
        <f t="shared" si="6"/>
        <v>Wage Pressure</v>
      </c>
    </row>
    <row r="451" spans="1:8" x14ac:dyDescent="0.2">
      <c r="A451" t="str">
        <f>raw_data!A451</f>
        <v>2015Q4</v>
      </c>
      <c r="B451" t="str">
        <f>raw_data!B451</f>
        <v>Victoria</v>
      </c>
      <c r="C451" t="str">
        <f>raw_data!C451</f>
        <v>Professional, Scientific and Technical Services</v>
      </c>
      <c r="D451">
        <f>raw_data!G451</f>
        <v>18.93</v>
      </c>
      <c r="E451">
        <f>raw_data!H451</f>
        <v>7.79</v>
      </c>
      <c r="F451">
        <f>raw_data!I451</f>
        <v>7.5</v>
      </c>
      <c r="G451">
        <f>raw_data!J451</f>
        <v>3.64</v>
      </c>
      <c r="H451" t="str">
        <f t="shared" ref="H451:H514" si="7">IF(AND(E451&gt;=F451,E451&gt;=G451),"Vacancy Intensity",IF(F451&gt;=G451,"Wage Pressure","Labour Tightness"))</f>
        <v>Vacancy Intensity</v>
      </c>
    </row>
    <row r="452" spans="1:8" x14ac:dyDescent="0.2">
      <c r="A452" t="str">
        <f>raw_data!A452</f>
        <v>2016Q1</v>
      </c>
      <c r="B452" t="str">
        <f>raw_data!B452</f>
        <v>New South Wales</v>
      </c>
      <c r="C452" t="str">
        <f>raw_data!C452</f>
        <v>Accommodation and Food Services</v>
      </c>
      <c r="D452">
        <f>raw_data!G452</f>
        <v>22.35</v>
      </c>
      <c r="E452">
        <f>raw_data!H452</f>
        <v>9.68</v>
      </c>
      <c r="F452">
        <f>raw_data!I452</f>
        <v>11.54</v>
      </c>
      <c r="G452">
        <f>raw_data!J452</f>
        <v>1.1299999999999999</v>
      </c>
      <c r="H452" t="str">
        <f t="shared" si="7"/>
        <v>Wage Pressure</v>
      </c>
    </row>
    <row r="453" spans="1:8" x14ac:dyDescent="0.2">
      <c r="A453" t="str">
        <f>raw_data!A453</f>
        <v>2016Q1</v>
      </c>
      <c r="B453" t="str">
        <f>raw_data!B453</f>
        <v>New South Wales</v>
      </c>
      <c r="C453" t="str">
        <f>raw_data!C453</f>
        <v>Construction</v>
      </c>
      <c r="D453">
        <f>raw_data!G453</f>
        <v>12.53</v>
      </c>
      <c r="E453">
        <f>raw_data!H453</f>
        <v>3.44</v>
      </c>
      <c r="F453">
        <f>raw_data!I453</f>
        <v>7.5</v>
      </c>
      <c r="G453">
        <f>raw_data!J453</f>
        <v>1.59</v>
      </c>
      <c r="H453" t="str">
        <f t="shared" si="7"/>
        <v>Wage Pressure</v>
      </c>
    </row>
    <row r="454" spans="1:8" x14ac:dyDescent="0.2">
      <c r="A454" t="str">
        <f>raw_data!A454</f>
        <v>2016Q1</v>
      </c>
      <c r="B454" t="str">
        <f>raw_data!B454</f>
        <v>New South Wales</v>
      </c>
      <c r="C454" t="str">
        <f>raw_data!C454</f>
        <v>Education and Training</v>
      </c>
      <c r="D454">
        <f>raw_data!G454</f>
        <v>15.61</v>
      </c>
      <c r="E454">
        <f>raw_data!H454</f>
        <v>1.51</v>
      </c>
      <c r="F454">
        <f>raw_data!I454</f>
        <v>13.27</v>
      </c>
      <c r="G454">
        <f>raw_data!J454</f>
        <v>0.83</v>
      </c>
      <c r="H454" t="str">
        <f t="shared" si="7"/>
        <v>Wage Pressure</v>
      </c>
    </row>
    <row r="455" spans="1:8" x14ac:dyDescent="0.2">
      <c r="A455" t="str">
        <f>raw_data!A455</f>
        <v>2016Q1</v>
      </c>
      <c r="B455" t="str">
        <f>raw_data!B455</f>
        <v>New South Wales</v>
      </c>
      <c r="C455" t="str">
        <f>raw_data!C455</f>
        <v>Health Care and Social Assistance</v>
      </c>
      <c r="D455">
        <f>raw_data!G455</f>
        <v>18.63</v>
      </c>
      <c r="E455">
        <f>raw_data!H455</f>
        <v>2.76</v>
      </c>
      <c r="F455">
        <f>raw_data!I455</f>
        <v>13.27</v>
      </c>
      <c r="G455">
        <f>raw_data!J455</f>
        <v>2.61</v>
      </c>
      <c r="H455" t="str">
        <f t="shared" si="7"/>
        <v>Wage Pressure</v>
      </c>
    </row>
    <row r="456" spans="1:8" x14ac:dyDescent="0.2">
      <c r="A456" t="str">
        <f>raw_data!A456</f>
        <v>2016Q1</v>
      </c>
      <c r="B456" t="str">
        <f>raw_data!B456</f>
        <v>New South Wales</v>
      </c>
      <c r="C456" t="str">
        <f>raw_data!C456</f>
        <v>Manufacturing</v>
      </c>
      <c r="D456">
        <f>raw_data!G456</f>
        <v>15.44</v>
      </c>
      <c r="E456">
        <f>raw_data!H456</f>
        <v>2.83</v>
      </c>
      <c r="F456">
        <f>raw_data!I456</f>
        <v>10.96</v>
      </c>
      <c r="G456">
        <f>raw_data!J456</f>
        <v>1.65</v>
      </c>
      <c r="H456" t="str">
        <f t="shared" si="7"/>
        <v>Wage Pressure</v>
      </c>
    </row>
    <row r="457" spans="1:8" x14ac:dyDescent="0.2">
      <c r="A457" t="str">
        <f>raw_data!A457</f>
        <v>2016Q1</v>
      </c>
      <c r="B457" t="str">
        <f>raw_data!B457</f>
        <v>New South Wales</v>
      </c>
      <c r="C457" t="str">
        <f>raw_data!C457</f>
        <v>Professional, Scientific and Technical Services</v>
      </c>
      <c r="D457">
        <f>raw_data!G457</f>
        <v>14.66</v>
      </c>
      <c r="E457">
        <f>raw_data!H457</f>
        <v>5.08</v>
      </c>
      <c r="F457">
        <f>raw_data!I457</f>
        <v>7.5</v>
      </c>
      <c r="G457">
        <f>raw_data!J457</f>
        <v>2.08</v>
      </c>
      <c r="H457" t="str">
        <f t="shared" si="7"/>
        <v>Wage Pressure</v>
      </c>
    </row>
    <row r="458" spans="1:8" x14ac:dyDescent="0.2">
      <c r="A458" t="str">
        <f>raw_data!A458</f>
        <v>2016Q1</v>
      </c>
      <c r="B458" t="str">
        <f>raw_data!B458</f>
        <v>Queensland</v>
      </c>
      <c r="C458" t="str">
        <f>raw_data!C458</f>
        <v>Accommodation and Food Services</v>
      </c>
      <c r="D458">
        <f>raw_data!G458</f>
        <v>28.35</v>
      </c>
      <c r="E458">
        <f>raw_data!H458</f>
        <v>14.98</v>
      </c>
      <c r="F458">
        <f>raw_data!I458</f>
        <v>11.54</v>
      </c>
      <c r="G458">
        <f>raw_data!J458</f>
        <v>1.83</v>
      </c>
      <c r="H458" t="str">
        <f t="shared" si="7"/>
        <v>Vacancy Intensity</v>
      </c>
    </row>
    <row r="459" spans="1:8" x14ac:dyDescent="0.2">
      <c r="A459" t="str">
        <f>raw_data!A459</f>
        <v>2016Q1</v>
      </c>
      <c r="B459" t="str">
        <f>raw_data!B459</f>
        <v>Queensland</v>
      </c>
      <c r="C459" t="str">
        <f>raw_data!C459</f>
        <v>Construction</v>
      </c>
      <c r="D459">
        <f>raw_data!G459</f>
        <v>14.23</v>
      </c>
      <c r="E459">
        <f>raw_data!H459</f>
        <v>5.14</v>
      </c>
      <c r="F459">
        <f>raw_data!I459</f>
        <v>7.5</v>
      </c>
      <c r="G459">
        <f>raw_data!J459</f>
        <v>1.59</v>
      </c>
      <c r="H459" t="str">
        <f t="shared" si="7"/>
        <v>Wage Pressure</v>
      </c>
    </row>
    <row r="460" spans="1:8" x14ac:dyDescent="0.2">
      <c r="A460" t="str">
        <f>raw_data!A460</f>
        <v>2016Q1</v>
      </c>
      <c r="B460" t="str">
        <f>raw_data!B460</f>
        <v>Queensland</v>
      </c>
      <c r="C460" t="str">
        <f>raw_data!C460</f>
        <v>Education and Training</v>
      </c>
      <c r="D460">
        <f>raw_data!G460</f>
        <v>16.95</v>
      </c>
      <c r="E460">
        <f>raw_data!H460</f>
        <v>2.65</v>
      </c>
      <c r="F460">
        <f>raw_data!I460</f>
        <v>13.27</v>
      </c>
      <c r="G460">
        <f>raw_data!J460</f>
        <v>1.03</v>
      </c>
      <c r="H460" t="str">
        <f t="shared" si="7"/>
        <v>Wage Pressure</v>
      </c>
    </row>
    <row r="461" spans="1:8" x14ac:dyDescent="0.2">
      <c r="A461" t="str">
        <f>raw_data!A461</f>
        <v>2016Q1</v>
      </c>
      <c r="B461" t="str">
        <f>raw_data!B461</f>
        <v>Queensland</v>
      </c>
      <c r="C461" t="str">
        <f>raw_data!C461</f>
        <v>Health Care and Social Assistance</v>
      </c>
      <c r="D461">
        <f>raw_data!G461</f>
        <v>22.53</v>
      </c>
      <c r="E461">
        <f>raw_data!H461</f>
        <v>5.04</v>
      </c>
      <c r="F461">
        <f>raw_data!I461</f>
        <v>13.27</v>
      </c>
      <c r="G461">
        <f>raw_data!J461</f>
        <v>4.21</v>
      </c>
      <c r="H461" t="str">
        <f t="shared" si="7"/>
        <v>Wage Pressure</v>
      </c>
    </row>
    <row r="462" spans="1:8" x14ac:dyDescent="0.2">
      <c r="A462" t="str">
        <f>raw_data!A462</f>
        <v>2016Q1</v>
      </c>
      <c r="B462" t="str">
        <f>raw_data!B462</f>
        <v>Queensland</v>
      </c>
      <c r="C462" t="str">
        <f>raw_data!C462</f>
        <v>Manufacturing</v>
      </c>
      <c r="D462">
        <f>raw_data!G462</f>
        <v>17.63</v>
      </c>
      <c r="E462">
        <f>raw_data!H462</f>
        <v>5.05</v>
      </c>
      <c r="F462">
        <f>raw_data!I462</f>
        <v>10.96</v>
      </c>
      <c r="G462">
        <f>raw_data!J462</f>
        <v>1.62</v>
      </c>
      <c r="H462" t="str">
        <f t="shared" si="7"/>
        <v>Wage Pressure</v>
      </c>
    </row>
    <row r="463" spans="1:8" x14ac:dyDescent="0.2">
      <c r="A463" t="str">
        <f>raw_data!A463</f>
        <v>2016Q1</v>
      </c>
      <c r="B463" t="str">
        <f>raw_data!B463</f>
        <v>Queensland</v>
      </c>
      <c r="C463" t="str">
        <f>raw_data!C463</f>
        <v>Professional, Scientific and Technical Services</v>
      </c>
      <c r="D463">
        <f>raw_data!G463</f>
        <v>22.42</v>
      </c>
      <c r="E463">
        <f>raw_data!H463</f>
        <v>10.67</v>
      </c>
      <c r="F463">
        <f>raw_data!I463</f>
        <v>7.5</v>
      </c>
      <c r="G463">
        <f>raw_data!J463</f>
        <v>4.25</v>
      </c>
      <c r="H463" t="str">
        <f t="shared" si="7"/>
        <v>Vacancy Intensity</v>
      </c>
    </row>
    <row r="464" spans="1:8" x14ac:dyDescent="0.2">
      <c r="A464" t="str">
        <f>raw_data!A464</f>
        <v>2016Q1</v>
      </c>
      <c r="B464" t="str">
        <f>raw_data!B464</f>
        <v>Victoria</v>
      </c>
      <c r="C464" t="str">
        <f>raw_data!C464</f>
        <v>Accommodation and Food Services</v>
      </c>
      <c r="D464">
        <f>raw_data!G464</f>
        <v>25.22</v>
      </c>
      <c r="E464">
        <f>raw_data!H464</f>
        <v>11.87</v>
      </c>
      <c r="F464">
        <f>raw_data!I464</f>
        <v>11.54</v>
      </c>
      <c r="G464">
        <f>raw_data!J464</f>
        <v>1.81</v>
      </c>
      <c r="H464" t="str">
        <f t="shared" si="7"/>
        <v>Vacancy Intensity</v>
      </c>
    </row>
    <row r="465" spans="1:8" x14ac:dyDescent="0.2">
      <c r="A465" t="str">
        <f>raw_data!A465</f>
        <v>2016Q1</v>
      </c>
      <c r="B465" t="str">
        <f>raw_data!B465</f>
        <v>Victoria</v>
      </c>
      <c r="C465" t="str">
        <f>raw_data!C465</f>
        <v>Construction</v>
      </c>
      <c r="D465">
        <f>raw_data!G465</f>
        <v>12.91</v>
      </c>
      <c r="E465">
        <f>raw_data!H465</f>
        <v>3.64</v>
      </c>
      <c r="F465">
        <f>raw_data!I465</f>
        <v>7.5</v>
      </c>
      <c r="G465">
        <f>raw_data!J465</f>
        <v>1.78</v>
      </c>
      <c r="H465" t="str">
        <f t="shared" si="7"/>
        <v>Wage Pressure</v>
      </c>
    </row>
    <row r="466" spans="1:8" x14ac:dyDescent="0.2">
      <c r="A466" t="str">
        <f>raw_data!A466</f>
        <v>2016Q1</v>
      </c>
      <c r="B466" t="str">
        <f>raw_data!B466</f>
        <v>Victoria</v>
      </c>
      <c r="C466" t="str">
        <f>raw_data!C466</f>
        <v>Education and Training</v>
      </c>
      <c r="D466">
        <f>raw_data!G466</f>
        <v>16.420000000000002</v>
      </c>
      <c r="E466">
        <f>raw_data!H466</f>
        <v>2.04</v>
      </c>
      <c r="F466">
        <f>raw_data!I466</f>
        <v>13.27</v>
      </c>
      <c r="G466">
        <f>raw_data!J466</f>
        <v>1.1100000000000001</v>
      </c>
      <c r="H466" t="str">
        <f t="shared" si="7"/>
        <v>Wage Pressure</v>
      </c>
    </row>
    <row r="467" spans="1:8" x14ac:dyDescent="0.2">
      <c r="A467" t="str">
        <f>raw_data!A467</f>
        <v>2016Q1</v>
      </c>
      <c r="B467" t="str">
        <f>raw_data!B467</f>
        <v>Victoria</v>
      </c>
      <c r="C467" t="str">
        <f>raw_data!C467</f>
        <v>Health Care and Social Assistance</v>
      </c>
      <c r="D467">
        <f>raw_data!G467</f>
        <v>19.05</v>
      </c>
      <c r="E467">
        <f>raw_data!H467</f>
        <v>3.71</v>
      </c>
      <c r="F467">
        <f>raw_data!I467</f>
        <v>13.27</v>
      </c>
      <c r="G467">
        <f>raw_data!J467</f>
        <v>2.08</v>
      </c>
      <c r="H467" t="str">
        <f t="shared" si="7"/>
        <v>Wage Pressure</v>
      </c>
    </row>
    <row r="468" spans="1:8" x14ac:dyDescent="0.2">
      <c r="A468" t="str">
        <f>raw_data!A468</f>
        <v>2016Q1</v>
      </c>
      <c r="B468" t="str">
        <f>raw_data!B468</f>
        <v>Victoria</v>
      </c>
      <c r="C468" t="str">
        <f>raw_data!C468</f>
        <v>Manufacturing</v>
      </c>
      <c r="D468">
        <f>raw_data!G468</f>
        <v>14.78</v>
      </c>
      <c r="E468">
        <f>raw_data!H468</f>
        <v>2.92</v>
      </c>
      <c r="F468">
        <f>raw_data!I468</f>
        <v>10.96</v>
      </c>
      <c r="G468">
        <f>raw_data!J468</f>
        <v>0.89</v>
      </c>
      <c r="H468" t="str">
        <f t="shared" si="7"/>
        <v>Wage Pressure</v>
      </c>
    </row>
    <row r="469" spans="1:8" x14ac:dyDescent="0.2">
      <c r="A469" t="str">
        <f>raw_data!A469</f>
        <v>2016Q1</v>
      </c>
      <c r="B469" t="str">
        <f>raw_data!B469</f>
        <v>Victoria</v>
      </c>
      <c r="C469" t="str">
        <f>raw_data!C469</f>
        <v>Professional, Scientific and Technical Services</v>
      </c>
      <c r="D469">
        <f>raw_data!G469</f>
        <v>19.34</v>
      </c>
      <c r="E469">
        <f>raw_data!H469</f>
        <v>7.54</v>
      </c>
      <c r="F469">
        <f>raw_data!I469</f>
        <v>7.5</v>
      </c>
      <c r="G469">
        <f>raw_data!J469</f>
        <v>4.3</v>
      </c>
      <c r="H469" t="str">
        <f t="shared" si="7"/>
        <v>Vacancy Intensity</v>
      </c>
    </row>
    <row r="470" spans="1:8" x14ac:dyDescent="0.2">
      <c r="A470" t="str">
        <f>raw_data!A470</f>
        <v>2016Q2</v>
      </c>
      <c r="B470" t="str">
        <f>raw_data!B470</f>
        <v>New South Wales</v>
      </c>
      <c r="C470" t="str">
        <f>raw_data!C470</f>
        <v>Accommodation and Food Services</v>
      </c>
      <c r="D470">
        <f>raw_data!G470</f>
        <v>18.43</v>
      </c>
      <c r="E470">
        <f>raw_data!H470</f>
        <v>5.91</v>
      </c>
      <c r="F470">
        <f>raw_data!I470</f>
        <v>11.54</v>
      </c>
      <c r="G470">
        <f>raw_data!J470</f>
        <v>0.99</v>
      </c>
      <c r="H470" t="str">
        <f t="shared" si="7"/>
        <v>Wage Pressure</v>
      </c>
    </row>
    <row r="471" spans="1:8" x14ac:dyDescent="0.2">
      <c r="A471" t="str">
        <f>raw_data!A471</f>
        <v>2016Q2</v>
      </c>
      <c r="B471" t="str">
        <f>raw_data!B471</f>
        <v>New South Wales</v>
      </c>
      <c r="C471" t="str">
        <f>raw_data!C471</f>
        <v>Construction</v>
      </c>
      <c r="D471">
        <f>raw_data!G471</f>
        <v>10.35</v>
      </c>
      <c r="E471">
        <f>raw_data!H471</f>
        <v>2.4500000000000002</v>
      </c>
      <c r="F471">
        <f>raw_data!I471</f>
        <v>6.92</v>
      </c>
      <c r="G471">
        <f>raw_data!J471</f>
        <v>0.98</v>
      </c>
      <c r="H471" t="str">
        <f t="shared" si="7"/>
        <v>Wage Pressure</v>
      </c>
    </row>
    <row r="472" spans="1:8" x14ac:dyDescent="0.2">
      <c r="A472" t="str">
        <f>raw_data!A472</f>
        <v>2016Q2</v>
      </c>
      <c r="B472" t="str">
        <f>raw_data!B472</f>
        <v>New South Wales</v>
      </c>
      <c r="C472" t="str">
        <f>raw_data!C472</f>
        <v>Education and Training</v>
      </c>
      <c r="D472">
        <f>raw_data!G472</f>
        <v>16.309999999999999</v>
      </c>
      <c r="E472">
        <f>raw_data!H472</f>
        <v>1.48</v>
      </c>
      <c r="F472">
        <f>raw_data!I472</f>
        <v>12.69</v>
      </c>
      <c r="G472">
        <f>raw_data!J472</f>
        <v>2.14</v>
      </c>
      <c r="H472" t="str">
        <f t="shared" si="7"/>
        <v>Wage Pressure</v>
      </c>
    </row>
    <row r="473" spans="1:8" x14ac:dyDescent="0.2">
      <c r="A473" t="str">
        <f>raw_data!A473</f>
        <v>2016Q2</v>
      </c>
      <c r="B473" t="str">
        <f>raw_data!B473</f>
        <v>New South Wales</v>
      </c>
      <c r="C473" t="str">
        <f>raw_data!C473</f>
        <v>Health Care and Social Assistance</v>
      </c>
      <c r="D473">
        <f>raw_data!G473</f>
        <v>17.25</v>
      </c>
      <c r="E473">
        <f>raw_data!H473</f>
        <v>3.19</v>
      </c>
      <c r="F473">
        <f>raw_data!I473</f>
        <v>11.54</v>
      </c>
      <c r="G473">
        <f>raw_data!J473</f>
        <v>2.52</v>
      </c>
      <c r="H473" t="str">
        <f t="shared" si="7"/>
        <v>Wage Pressure</v>
      </c>
    </row>
    <row r="474" spans="1:8" x14ac:dyDescent="0.2">
      <c r="A474" t="str">
        <f>raw_data!A474</f>
        <v>2016Q2</v>
      </c>
      <c r="B474" t="str">
        <f>raw_data!B474</f>
        <v>New South Wales</v>
      </c>
      <c r="C474" t="str">
        <f>raw_data!C474</f>
        <v>Manufacturing</v>
      </c>
      <c r="D474">
        <f>raw_data!G474</f>
        <v>16.16</v>
      </c>
      <c r="E474">
        <f>raw_data!H474</f>
        <v>3.77</v>
      </c>
      <c r="F474">
        <f>raw_data!I474</f>
        <v>10.96</v>
      </c>
      <c r="G474">
        <f>raw_data!J474</f>
        <v>1.43</v>
      </c>
      <c r="H474" t="str">
        <f t="shared" si="7"/>
        <v>Wage Pressure</v>
      </c>
    </row>
    <row r="475" spans="1:8" x14ac:dyDescent="0.2">
      <c r="A475" t="str">
        <f>raw_data!A475</f>
        <v>2016Q2</v>
      </c>
      <c r="B475" t="str">
        <f>raw_data!B475</f>
        <v>New South Wales</v>
      </c>
      <c r="C475" t="str">
        <f>raw_data!C475</f>
        <v>Professional, Scientific and Technical Services</v>
      </c>
      <c r="D475">
        <f>raw_data!G475</f>
        <v>16.47</v>
      </c>
      <c r="E475">
        <f>raw_data!H475</f>
        <v>4.53</v>
      </c>
      <c r="F475">
        <f>raw_data!I475</f>
        <v>8.08</v>
      </c>
      <c r="G475">
        <f>raw_data!J475</f>
        <v>3.86</v>
      </c>
      <c r="H475" t="str">
        <f t="shared" si="7"/>
        <v>Wage Pressure</v>
      </c>
    </row>
    <row r="476" spans="1:8" x14ac:dyDescent="0.2">
      <c r="A476" t="str">
        <f>raw_data!A476</f>
        <v>2016Q2</v>
      </c>
      <c r="B476" t="str">
        <f>raw_data!B476</f>
        <v>Queensland</v>
      </c>
      <c r="C476" t="str">
        <f>raw_data!C476</f>
        <v>Accommodation and Food Services</v>
      </c>
      <c r="D476">
        <f>raw_data!G476</f>
        <v>22.69</v>
      </c>
      <c r="E476">
        <f>raw_data!H476</f>
        <v>9.94</v>
      </c>
      <c r="F476">
        <f>raw_data!I476</f>
        <v>11.54</v>
      </c>
      <c r="G476">
        <f>raw_data!J476</f>
        <v>1.21</v>
      </c>
      <c r="H476" t="str">
        <f t="shared" si="7"/>
        <v>Wage Pressure</v>
      </c>
    </row>
    <row r="477" spans="1:8" x14ac:dyDescent="0.2">
      <c r="A477" t="str">
        <f>raw_data!A477</f>
        <v>2016Q2</v>
      </c>
      <c r="B477" t="str">
        <f>raw_data!B477</f>
        <v>Queensland</v>
      </c>
      <c r="C477" t="str">
        <f>raw_data!C477</f>
        <v>Construction</v>
      </c>
      <c r="D477">
        <f>raw_data!G477</f>
        <v>12.9</v>
      </c>
      <c r="E477">
        <f>raw_data!H477</f>
        <v>4.26</v>
      </c>
      <c r="F477">
        <f>raw_data!I477</f>
        <v>6.92</v>
      </c>
      <c r="G477">
        <f>raw_data!J477</f>
        <v>1.72</v>
      </c>
      <c r="H477" t="str">
        <f t="shared" si="7"/>
        <v>Wage Pressure</v>
      </c>
    </row>
    <row r="478" spans="1:8" x14ac:dyDescent="0.2">
      <c r="A478" t="str">
        <f>raw_data!A478</f>
        <v>2016Q2</v>
      </c>
      <c r="B478" t="str">
        <f>raw_data!B478</f>
        <v>Queensland</v>
      </c>
      <c r="C478" t="str">
        <f>raw_data!C478</f>
        <v>Education and Training</v>
      </c>
      <c r="D478">
        <f>raw_data!G478</f>
        <v>18.13</v>
      </c>
      <c r="E478">
        <f>raw_data!H478</f>
        <v>2.93</v>
      </c>
      <c r="F478">
        <f>raw_data!I478</f>
        <v>12.69</v>
      </c>
      <c r="G478">
        <f>raw_data!J478</f>
        <v>2.5</v>
      </c>
      <c r="H478" t="str">
        <f t="shared" si="7"/>
        <v>Wage Pressure</v>
      </c>
    </row>
    <row r="479" spans="1:8" x14ac:dyDescent="0.2">
      <c r="A479" t="str">
        <f>raw_data!A479</f>
        <v>2016Q2</v>
      </c>
      <c r="B479" t="str">
        <f>raw_data!B479</f>
        <v>Queensland</v>
      </c>
      <c r="C479" t="str">
        <f>raw_data!C479</f>
        <v>Health Care and Social Assistance</v>
      </c>
      <c r="D479">
        <f>raw_data!G479</f>
        <v>21.33</v>
      </c>
      <c r="E479">
        <f>raw_data!H479</f>
        <v>5.47</v>
      </c>
      <c r="F479">
        <f>raw_data!I479</f>
        <v>11.54</v>
      </c>
      <c r="G479">
        <f>raw_data!J479</f>
        <v>4.32</v>
      </c>
      <c r="H479" t="str">
        <f t="shared" si="7"/>
        <v>Wage Pressure</v>
      </c>
    </row>
    <row r="480" spans="1:8" x14ac:dyDescent="0.2">
      <c r="A480" t="str">
        <f>raw_data!A480</f>
        <v>2016Q2</v>
      </c>
      <c r="B480" t="str">
        <f>raw_data!B480</f>
        <v>Queensland</v>
      </c>
      <c r="C480" t="str">
        <f>raw_data!C480</f>
        <v>Manufacturing</v>
      </c>
      <c r="D480">
        <f>raw_data!G480</f>
        <v>19.21</v>
      </c>
      <c r="E480">
        <f>raw_data!H480</f>
        <v>6.65</v>
      </c>
      <c r="F480">
        <f>raw_data!I480</f>
        <v>10.96</v>
      </c>
      <c r="G480">
        <f>raw_data!J480</f>
        <v>1.6</v>
      </c>
      <c r="H480" t="str">
        <f t="shared" si="7"/>
        <v>Wage Pressure</v>
      </c>
    </row>
    <row r="481" spans="1:8" x14ac:dyDescent="0.2">
      <c r="A481" t="str">
        <f>raw_data!A481</f>
        <v>2016Q2</v>
      </c>
      <c r="B481" t="str">
        <f>raw_data!B481</f>
        <v>Queensland</v>
      </c>
      <c r="C481" t="str">
        <f>raw_data!C481</f>
        <v>Professional, Scientific and Technical Services</v>
      </c>
      <c r="D481">
        <f>raw_data!G481</f>
        <v>22.99</v>
      </c>
      <c r="E481">
        <f>raw_data!H481</f>
        <v>11.17</v>
      </c>
      <c r="F481">
        <f>raw_data!I481</f>
        <v>8.08</v>
      </c>
      <c r="G481">
        <f>raw_data!J481</f>
        <v>3.74</v>
      </c>
      <c r="H481" t="str">
        <f t="shared" si="7"/>
        <v>Vacancy Intensity</v>
      </c>
    </row>
    <row r="482" spans="1:8" x14ac:dyDescent="0.2">
      <c r="A482" t="str">
        <f>raw_data!A482</f>
        <v>2016Q2</v>
      </c>
      <c r="B482" t="str">
        <f>raw_data!B482</f>
        <v>Victoria</v>
      </c>
      <c r="C482" t="str">
        <f>raw_data!C482</f>
        <v>Accommodation and Food Services</v>
      </c>
      <c r="D482">
        <f>raw_data!G482</f>
        <v>20.09</v>
      </c>
      <c r="E482">
        <f>raw_data!H482</f>
        <v>7.15</v>
      </c>
      <c r="F482">
        <f>raw_data!I482</f>
        <v>11.54</v>
      </c>
      <c r="G482">
        <f>raw_data!J482</f>
        <v>1.4</v>
      </c>
      <c r="H482" t="str">
        <f t="shared" si="7"/>
        <v>Wage Pressure</v>
      </c>
    </row>
    <row r="483" spans="1:8" x14ac:dyDescent="0.2">
      <c r="A483" t="str">
        <f>raw_data!A483</f>
        <v>2016Q2</v>
      </c>
      <c r="B483" t="str">
        <f>raw_data!B483</f>
        <v>Victoria</v>
      </c>
      <c r="C483" t="str">
        <f>raw_data!C483</f>
        <v>Construction</v>
      </c>
      <c r="D483">
        <f>raw_data!G483</f>
        <v>11.78</v>
      </c>
      <c r="E483">
        <f>raw_data!H483</f>
        <v>3.22</v>
      </c>
      <c r="F483">
        <f>raw_data!I483</f>
        <v>6.92</v>
      </c>
      <c r="G483">
        <f>raw_data!J483</f>
        <v>1.63</v>
      </c>
      <c r="H483" t="str">
        <f t="shared" si="7"/>
        <v>Wage Pressure</v>
      </c>
    </row>
    <row r="484" spans="1:8" x14ac:dyDescent="0.2">
      <c r="A484" t="str">
        <f>raw_data!A484</f>
        <v>2016Q2</v>
      </c>
      <c r="B484" t="str">
        <f>raw_data!B484</f>
        <v>Victoria</v>
      </c>
      <c r="C484" t="str">
        <f>raw_data!C484</f>
        <v>Education and Training</v>
      </c>
      <c r="D484">
        <f>raw_data!G484</f>
        <v>16.48</v>
      </c>
      <c r="E484">
        <f>raw_data!H484</f>
        <v>2.19</v>
      </c>
      <c r="F484">
        <f>raw_data!I484</f>
        <v>12.69</v>
      </c>
      <c r="G484">
        <f>raw_data!J484</f>
        <v>1.6</v>
      </c>
      <c r="H484" t="str">
        <f t="shared" si="7"/>
        <v>Wage Pressure</v>
      </c>
    </row>
    <row r="485" spans="1:8" x14ac:dyDescent="0.2">
      <c r="A485" t="str">
        <f>raw_data!A485</f>
        <v>2016Q2</v>
      </c>
      <c r="B485" t="str">
        <f>raw_data!B485</f>
        <v>Victoria</v>
      </c>
      <c r="C485" t="str">
        <f>raw_data!C485</f>
        <v>Health Care and Social Assistance</v>
      </c>
      <c r="D485">
        <f>raw_data!G485</f>
        <v>19.03</v>
      </c>
      <c r="E485">
        <f>raw_data!H485</f>
        <v>4.1100000000000003</v>
      </c>
      <c r="F485">
        <f>raw_data!I485</f>
        <v>11.54</v>
      </c>
      <c r="G485">
        <f>raw_data!J485</f>
        <v>3.37</v>
      </c>
      <c r="H485" t="str">
        <f t="shared" si="7"/>
        <v>Wage Pressure</v>
      </c>
    </row>
    <row r="486" spans="1:8" x14ac:dyDescent="0.2">
      <c r="A486" t="str">
        <f>raw_data!A486</f>
        <v>2016Q2</v>
      </c>
      <c r="B486" t="str">
        <f>raw_data!B486</f>
        <v>Victoria</v>
      </c>
      <c r="C486" t="str">
        <f>raw_data!C486</f>
        <v>Manufacturing</v>
      </c>
      <c r="D486">
        <f>raw_data!G486</f>
        <v>15.64</v>
      </c>
      <c r="E486">
        <f>raw_data!H486</f>
        <v>3.52</v>
      </c>
      <c r="F486">
        <f>raw_data!I486</f>
        <v>10.96</v>
      </c>
      <c r="G486">
        <f>raw_data!J486</f>
        <v>1.1599999999999999</v>
      </c>
      <c r="H486" t="str">
        <f t="shared" si="7"/>
        <v>Wage Pressure</v>
      </c>
    </row>
    <row r="487" spans="1:8" x14ac:dyDescent="0.2">
      <c r="A487" t="str">
        <f>raw_data!A487</f>
        <v>2016Q2</v>
      </c>
      <c r="B487" t="str">
        <f>raw_data!B487</f>
        <v>Victoria</v>
      </c>
      <c r="C487" t="str">
        <f>raw_data!C487</f>
        <v>Professional, Scientific and Technical Services</v>
      </c>
      <c r="D487">
        <f>raw_data!G487</f>
        <v>18.2</v>
      </c>
      <c r="E487">
        <f>raw_data!H487</f>
        <v>6.21</v>
      </c>
      <c r="F487">
        <f>raw_data!I487</f>
        <v>8.08</v>
      </c>
      <c r="G487">
        <f>raw_data!J487</f>
        <v>3.91</v>
      </c>
      <c r="H487" t="str">
        <f t="shared" si="7"/>
        <v>Wage Pressure</v>
      </c>
    </row>
    <row r="488" spans="1:8" x14ac:dyDescent="0.2">
      <c r="A488" t="str">
        <f>raw_data!A488</f>
        <v>2016Q3</v>
      </c>
      <c r="B488" t="str">
        <f>raw_data!B488</f>
        <v>New South Wales</v>
      </c>
      <c r="C488" t="str">
        <f>raw_data!C488</f>
        <v>Accommodation and Food Services</v>
      </c>
      <c r="D488">
        <f>raw_data!G488</f>
        <v>20.95</v>
      </c>
      <c r="E488">
        <f>raw_data!H488</f>
        <v>8.52</v>
      </c>
      <c r="F488">
        <f>raw_data!I488</f>
        <v>11.54</v>
      </c>
      <c r="G488">
        <f>raw_data!J488</f>
        <v>0.89</v>
      </c>
      <c r="H488" t="str">
        <f t="shared" si="7"/>
        <v>Wage Pressure</v>
      </c>
    </row>
    <row r="489" spans="1:8" x14ac:dyDescent="0.2">
      <c r="A489" t="str">
        <f>raw_data!A489</f>
        <v>2016Q3</v>
      </c>
      <c r="B489" t="str">
        <f>raw_data!B489</f>
        <v>New South Wales</v>
      </c>
      <c r="C489" t="str">
        <f>raw_data!C489</f>
        <v>Construction</v>
      </c>
      <c r="D489">
        <f>raw_data!G489</f>
        <v>11.87</v>
      </c>
      <c r="E489">
        <f>raw_data!H489</f>
        <v>2.71</v>
      </c>
      <c r="F489">
        <f>raw_data!I489</f>
        <v>8.08</v>
      </c>
      <c r="G489">
        <f>raw_data!J489</f>
        <v>1.0900000000000001</v>
      </c>
      <c r="H489" t="str">
        <f t="shared" si="7"/>
        <v>Wage Pressure</v>
      </c>
    </row>
    <row r="490" spans="1:8" x14ac:dyDescent="0.2">
      <c r="A490" t="str">
        <f>raw_data!A490</f>
        <v>2016Q3</v>
      </c>
      <c r="B490" t="str">
        <f>raw_data!B490</f>
        <v>New South Wales</v>
      </c>
      <c r="C490" t="str">
        <f>raw_data!C490</f>
        <v>Education and Training</v>
      </c>
      <c r="D490">
        <f>raw_data!G490</f>
        <v>15.68</v>
      </c>
      <c r="E490">
        <f>raw_data!H490</f>
        <v>1.57</v>
      </c>
      <c r="F490">
        <f>raw_data!I490</f>
        <v>11.54</v>
      </c>
      <c r="G490">
        <f>raw_data!J490</f>
        <v>2.58</v>
      </c>
      <c r="H490" t="str">
        <f t="shared" si="7"/>
        <v>Wage Pressure</v>
      </c>
    </row>
    <row r="491" spans="1:8" x14ac:dyDescent="0.2">
      <c r="A491" t="str">
        <f>raw_data!A491</f>
        <v>2016Q3</v>
      </c>
      <c r="B491" t="str">
        <f>raw_data!B491</f>
        <v>New South Wales</v>
      </c>
      <c r="C491" t="str">
        <f>raw_data!C491</f>
        <v>Health Care and Social Assistance</v>
      </c>
      <c r="D491">
        <f>raw_data!G491</f>
        <v>19.45</v>
      </c>
      <c r="E491">
        <f>raw_data!H491</f>
        <v>3.89</v>
      </c>
      <c r="F491">
        <f>raw_data!I491</f>
        <v>12.12</v>
      </c>
      <c r="G491">
        <f>raw_data!J491</f>
        <v>3.45</v>
      </c>
      <c r="H491" t="str">
        <f t="shared" si="7"/>
        <v>Wage Pressure</v>
      </c>
    </row>
    <row r="492" spans="1:8" x14ac:dyDescent="0.2">
      <c r="A492" t="str">
        <f>raw_data!A492</f>
        <v>2016Q3</v>
      </c>
      <c r="B492" t="str">
        <f>raw_data!B492</f>
        <v>New South Wales</v>
      </c>
      <c r="C492" t="str">
        <f>raw_data!C492</f>
        <v>Manufacturing</v>
      </c>
      <c r="D492">
        <f>raw_data!G492</f>
        <v>13.4</v>
      </c>
      <c r="E492">
        <f>raw_data!H492</f>
        <v>2.66</v>
      </c>
      <c r="F492">
        <f>raw_data!I492</f>
        <v>9.81</v>
      </c>
      <c r="G492">
        <f>raw_data!J492</f>
        <v>0.94</v>
      </c>
      <c r="H492" t="str">
        <f t="shared" si="7"/>
        <v>Wage Pressure</v>
      </c>
    </row>
    <row r="493" spans="1:8" x14ac:dyDescent="0.2">
      <c r="A493" t="str">
        <f>raw_data!A493</f>
        <v>2016Q3</v>
      </c>
      <c r="B493" t="str">
        <f>raw_data!B493</f>
        <v>New South Wales</v>
      </c>
      <c r="C493" t="str">
        <f>raw_data!C493</f>
        <v>Professional, Scientific and Technical Services</v>
      </c>
      <c r="D493">
        <f>raw_data!G493</f>
        <v>16.03</v>
      </c>
      <c r="E493">
        <f>raw_data!H493</f>
        <v>5.64</v>
      </c>
      <c r="F493">
        <f>raw_data!I493</f>
        <v>7.5</v>
      </c>
      <c r="G493">
        <f>raw_data!J493</f>
        <v>2.88</v>
      </c>
      <c r="H493" t="str">
        <f t="shared" si="7"/>
        <v>Wage Pressure</v>
      </c>
    </row>
    <row r="494" spans="1:8" x14ac:dyDescent="0.2">
      <c r="A494" t="str">
        <f>raw_data!A494</f>
        <v>2016Q3</v>
      </c>
      <c r="B494" t="str">
        <f>raw_data!B494</f>
        <v>Queensland</v>
      </c>
      <c r="C494" t="str">
        <f>raw_data!C494</f>
        <v>Accommodation and Food Services</v>
      </c>
      <c r="D494">
        <f>raw_data!G494</f>
        <v>25.89</v>
      </c>
      <c r="E494">
        <f>raw_data!H494</f>
        <v>12.5</v>
      </c>
      <c r="F494">
        <f>raw_data!I494</f>
        <v>11.54</v>
      </c>
      <c r="G494">
        <f>raw_data!J494</f>
        <v>1.85</v>
      </c>
      <c r="H494" t="str">
        <f t="shared" si="7"/>
        <v>Vacancy Intensity</v>
      </c>
    </row>
    <row r="495" spans="1:8" x14ac:dyDescent="0.2">
      <c r="A495" t="str">
        <f>raw_data!A495</f>
        <v>2016Q3</v>
      </c>
      <c r="B495" t="str">
        <f>raw_data!B495</f>
        <v>Queensland</v>
      </c>
      <c r="C495" t="str">
        <f>raw_data!C495</f>
        <v>Construction</v>
      </c>
      <c r="D495">
        <f>raw_data!G495</f>
        <v>13.92</v>
      </c>
      <c r="E495">
        <f>raw_data!H495</f>
        <v>4.8</v>
      </c>
      <c r="F495">
        <f>raw_data!I495</f>
        <v>8.08</v>
      </c>
      <c r="G495">
        <f>raw_data!J495</f>
        <v>1.04</v>
      </c>
      <c r="H495" t="str">
        <f t="shared" si="7"/>
        <v>Wage Pressure</v>
      </c>
    </row>
    <row r="496" spans="1:8" x14ac:dyDescent="0.2">
      <c r="A496" t="str">
        <f>raw_data!A496</f>
        <v>2016Q3</v>
      </c>
      <c r="B496" t="str">
        <f>raw_data!B496</f>
        <v>Queensland</v>
      </c>
      <c r="C496" t="str">
        <f>raw_data!C496</f>
        <v>Education and Training</v>
      </c>
      <c r="D496">
        <f>raw_data!G496</f>
        <v>18.18</v>
      </c>
      <c r="E496">
        <f>raw_data!H496</f>
        <v>2.94</v>
      </c>
      <c r="F496">
        <f>raw_data!I496</f>
        <v>11.54</v>
      </c>
      <c r="G496">
        <f>raw_data!J496</f>
        <v>3.7</v>
      </c>
      <c r="H496" t="str">
        <f t="shared" si="7"/>
        <v>Wage Pressure</v>
      </c>
    </row>
    <row r="497" spans="1:8" x14ac:dyDescent="0.2">
      <c r="A497" t="str">
        <f>raw_data!A497</f>
        <v>2016Q3</v>
      </c>
      <c r="B497" t="str">
        <f>raw_data!B497</f>
        <v>Queensland</v>
      </c>
      <c r="C497" t="str">
        <f>raw_data!C497</f>
        <v>Health Care and Social Assistance</v>
      </c>
      <c r="D497">
        <f>raw_data!G497</f>
        <v>23.36</v>
      </c>
      <c r="E497">
        <f>raw_data!H497</f>
        <v>6.76</v>
      </c>
      <c r="F497">
        <f>raw_data!I497</f>
        <v>12.12</v>
      </c>
      <c r="G497">
        <f>raw_data!J497</f>
        <v>4.4800000000000004</v>
      </c>
      <c r="H497" t="str">
        <f t="shared" si="7"/>
        <v>Wage Pressure</v>
      </c>
    </row>
    <row r="498" spans="1:8" x14ac:dyDescent="0.2">
      <c r="A498" t="str">
        <f>raw_data!A498</f>
        <v>2016Q3</v>
      </c>
      <c r="B498" t="str">
        <f>raw_data!B498</f>
        <v>Queensland</v>
      </c>
      <c r="C498" t="str">
        <f>raw_data!C498</f>
        <v>Manufacturing</v>
      </c>
      <c r="D498">
        <f>raw_data!G498</f>
        <v>15.82</v>
      </c>
      <c r="E498">
        <f>raw_data!H498</f>
        <v>4.6900000000000004</v>
      </c>
      <c r="F498">
        <f>raw_data!I498</f>
        <v>9.81</v>
      </c>
      <c r="G498">
        <f>raw_data!J498</f>
        <v>1.33</v>
      </c>
      <c r="H498" t="str">
        <f t="shared" si="7"/>
        <v>Wage Pressure</v>
      </c>
    </row>
    <row r="499" spans="1:8" x14ac:dyDescent="0.2">
      <c r="A499" t="str">
        <f>raw_data!A499</f>
        <v>2016Q3</v>
      </c>
      <c r="B499" t="str">
        <f>raw_data!B499</f>
        <v>Queensland</v>
      </c>
      <c r="C499" t="str">
        <f>raw_data!C499</f>
        <v>Professional, Scientific and Technical Services</v>
      </c>
      <c r="D499">
        <f>raw_data!G499</f>
        <v>23.88</v>
      </c>
      <c r="E499">
        <f>raw_data!H499</f>
        <v>12.48</v>
      </c>
      <c r="F499">
        <f>raw_data!I499</f>
        <v>7.5</v>
      </c>
      <c r="G499">
        <f>raw_data!J499</f>
        <v>3.9</v>
      </c>
      <c r="H499" t="str">
        <f t="shared" si="7"/>
        <v>Vacancy Intensity</v>
      </c>
    </row>
    <row r="500" spans="1:8" x14ac:dyDescent="0.2">
      <c r="A500" t="str">
        <f>raw_data!A500</f>
        <v>2016Q3</v>
      </c>
      <c r="B500" t="str">
        <f>raw_data!B500</f>
        <v>Victoria</v>
      </c>
      <c r="C500" t="str">
        <f>raw_data!C500</f>
        <v>Accommodation and Food Services</v>
      </c>
      <c r="D500">
        <f>raw_data!G500</f>
        <v>22.69</v>
      </c>
      <c r="E500">
        <f>raw_data!H500</f>
        <v>9.3800000000000008</v>
      </c>
      <c r="F500">
        <f>raw_data!I500</f>
        <v>11.54</v>
      </c>
      <c r="G500">
        <f>raw_data!J500</f>
        <v>1.77</v>
      </c>
      <c r="H500" t="str">
        <f t="shared" si="7"/>
        <v>Wage Pressure</v>
      </c>
    </row>
    <row r="501" spans="1:8" x14ac:dyDescent="0.2">
      <c r="A501" t="str">
        <f>raw_data!A501</f>
        <v>2016Q3</v>
      </c>
      <c r="B501" t="str">
        <f>raw_data!B501</f>
        <v>Victoria</v>
      </c>
      <c r="C501" t="str">
        <f>raw_data!C501</f>
        <v>Construction</v>
      </c>
      <c r="D501">
        <f>raw_data!G501</f>
        <v>13.75</v>
      </c>
      <c r="E501">
        <f>raw_data!H501</f>
        <v>3.81</v>
      </c>
      <c r="F501">
        <f>raw_data!I501</f>
        <v>8.08</v>
      </c>
      <c r="G501">
        <f>raw_data!J501</f>
        <v>1.86</v>
      </c>
      <c r="H501" t="str">
        <f t="shared" si="7"/>
        <v>Wage Pressure</v>
      </c>
    </row>
    <row r="502" spans="1:8" x14ac:dyDescent="0.2">
      <c r="A502" t="str">
        <f>raw_data!A502</f>
        <v>2016Q3</v>
      </c>
      <c r="B502" t="str">
        <f>raw_data!B502</f>
        <v>Victoria</v>
      </c>
      <c r="C502" t="str">
        <f>raw_data!C502</f>
        <v>Education and Training</v>
      </c>
      <c r="D502">
        <f>raw_data!G502</f>
        <v>15.37</v>
      </c>
      <c r="E502">
        <f>raw_data!H502</f>
        <v>1.99</v>
      </c>
      <c r="F502">
        <f>raw_data!I502</f>
        <v>11.54</v>
      </c>
      <c r="G502">
        <f>raw_data!J502</f>
        <v>1.84</v>
      </c>
      <c r="H502" t="str">
        <f t="shared" si="7"/>
        <v>Wage Pressure</v>
      </c>
    </row>
    <row r="503" spans="1:8" x14ac:dyDescent="0.2">
      <c r="A503" t="str">
        <f>raw_data!A503</f>
        <v>2016Q3</v>
      </c>
      <c r="B503" t="str">
        <f>raw_data!B503</f>
        <v>Victoria</v>
      </c>
      <c r="C503" t="str">
        <f>raw_data!C503</f>
        <v>Health Care and Social Assistance</v>
      </c>
      <c r="D503">
        <f>raw_data!G503</f>
        <v>22.47</v>
      </c>
      <c r="E503">
        <f>raw_data!H503</f>
        <v>5.05</v>
      </c>
      <c r="F503">
        <f>raw_data!I503</f>
        <v>12.12</v>
      </c>
      <c r="G503">
        <f>raw_data!J503</f>
        <v>5.3</v>
      </c>
      <c r="H503" t="str">
        <f t="shared" si="7"/>
        <v>Wage Pressure</v>
      </c>
    </row>
    <row r="504" spans="1:8" x14ac:dyDescent="0.2">
      <c r="A504" t="str">
        <f>raw_data!A504</f>
        <v>2016Q3</v>
      </c>
      <c r="B504" t="str">
        <f>raw_data!B504</f>
        <v>Victoria</v>
      </c>
      <c r="C504" t="str">
        <f>raw_data!C504</f>
        <v>Manufacturing</v>
      </c>
      <c r="D504">
        <f>raw_data!G504</f>
        <v>12.88</v>
      </c>
      <c r="E504">
        <f>raw_data!H504</f>
        <v>2.29</v>
      </c>
      <c r="F504">
        <f>raw_data!I504</f>
        <v>9.81</v>
      </c>
      <c r="G504">
        <f>raw_data!J504</f>
        <v>0.78</v>
      </c>
      <c r="H504" t="str">
        <f t="shared" si="7"/>
        <v>Wage Pressure</v>
      </c>
    </row>
    <row r="505" spans="1:8" x14ac:dyDescent="0.2">
      <c r="A505" t="str">
        <f>raw_data!A505</f>
        <v>2016Q3</v>
      </c>
      <c r="B505" t="str">
        <f>raw_data!B505</f>
        <v>Victoria</v>
      </c>
      <c r="C505" t="str">
        <f>raw_data!C505</f>
        <v>Professional, Scientific and Technical Services</v>
      </c>
      <c r="D505">
        <f>raw_data!G505</f>
        <v>20.309999999999999</v>
      </c>
      <c r="E505">
        <f>raw_data!H505</f>
        <v>7.82</v>
      </c>
      <c r="F505">
        <f>raw_data!I505</f>
        <v>7.5</v>
      </c>
      <c r="G505">
        <f>raw_data!J505</f>
        <v>4.99</v>
      </c>
      <c r="H505" t="str">
        <f t="shared" si="7"/>
        <v>Vacancy Intensity</v>
      </c>
    </row>
    <row r="506" spans="1:8" x14ac:dyDescent="0.2">
      <c r="A506" t="str">
        <f>raw_data!A506</f>
        <v>2016Q4</v>
      </c>
      <c r="B506" t="str">
        <f>raw_data!B506</f>
        <v>New South Wales</v>
      </c>
      <c r="C506" t="str">
        <f>raw_data!C506</f>
        <v>Accommodation and Food Services</v>
      </c>
      <c r="D506">
        <f>raw_data!G506</f>
        <v>20.34</v>
      </c>
      <c r="E506">
        <f>raw_data!H506</f>
        <v>7.92</v>
      </c>
      <c r="F506">
        <f>raw_data!I506</f>
        <v>10.96</v>
      </c>
      <c r="G506">
        <f>raw_data!J506</f>
        <v>1.47</v>
      </c>
      <c r="H506" t="str">
        <f t="shared" si="7"/>
        <v>Wage Pressure</v>
      </c>
    </row>
    <row r="507" spans="1:8" x14ac:dyDescent="0.2">
      <c r="A507" t="str">
        <f>raw_data!A507</f>
        <v>2016Q4</v>
      </c>
      <c r="B507" t="str">
        <f>raw_data!B507</f>
        <v>New South Wales</v>
      </c>
      <c r="C507" t="str">
        <f>raw_data!C507</f>
        <v>Construction</v>
      </c>
      <c r="D507">
        <f>raw_data!G507</f>
        <v>12.82</v>
      </c>
      <c r="E507">
        <f>raw_data!H507</f>
        <v>2.91</v>
      </c>
      <c r="F507">
        <f>raw_data!I507</f>
        <v>8.08</v>
      </c>
      <c r="G507">
        <f>raw_data!J507</f>
        <v>1.84</v>
      </c>
      <c r="H507" t="str">
        <f t="shared" si="7"/>
        <v>Wage Pressure</v>
      </c>
    </row>
    <row r="508" spans="1:8" x14ac:dyDescent="0.2">
      <c r="A508" t="str">
        <f>raw_data!A508</f>
        <v>2016Q4</v>
      </c>
      <c r="B508" t="str">
        <f>raw_data!B508</f>
        <v>New South Wales</v>
      </c>
      <c r="C508" t="str">
        <f>raw_data!C508</f>
        <v>Education and Training</v>
      </c>
      <c r="D508">
        <f>raw_data!G508</f>
        <v>14.9</v>
      </c>
      <c r="E508">
        <f>raw_data!H508</f>
        <v>1.29</v>
      </c>
      <c r="F508">
        <f>raw_data!I508</f>
        <v>12.12</v>
      </c>
      <c r="G508">
        <f>raw_data!J508</f>
        <v>1.5</v>
      </c>
      <c r="H508" t="str">
        <f t="shared" si="7"/>
        <v>Wage Pressure</v>
      </c>
    </row>
    <row r="509" spans="1:8" x14ac:dyDescent="0.2">
      <c r="A509" t="str">
        <f>raw_data!A509</f>
        <v>2016Q4</v>
      </c>
      <c r="B509" t="str">
        <f>raw_data!B509</f>
        <v>New South Wales</v>
      </c>
      <c r="C509" t="str">
        <f>raw_data!C509</f>
        <v>Health Care and Social Assistance</v>
      </c>
      <c r="D509">
        <f>raw_data!G509</f>
        <v>20.78</v>
      </c>
      <c r="E509">
        <f>raw_data!H509</f>
        <v>3.66</v>
      </c>
      <c r="F509">
        <f>raw_data!I509</f>
        <v>12.12</v>
      </c>
      <c r="G509">
        <f>raw_data!J509</f>
        <v>5</v>
      </c>
      <c r="H509" t="str">
        <f t="shared" si="7"/>
        <v>Wage Pressure</v>
      </c>
    </row>
    <row r="510" spans="1:8" x14ac:dyDescent="0.2">
      <c r="A510" t="str">
        <f>raw_data!A510</f>
        <v>2016Q4</v>
      </c>
      <c r="B510" t="str">
        <f>raw_data!B510</f>
        <v>New South Wales</v>
      </c>
      <c r="C510" t="str">
        <f>raw_data!C510</f>
        <v>Manufacturing</v>
      </c>
      <c r="D510">
        <f>raw_data!G510</f>
        <v>12.62</v>
      </c>
      <c r="E510">
        <f>raw_data!H510</f>
        <v>2.59</v>
      </c>
      <c r="F510">
        <f>raw_data!I510</f>
        <v>8.65</v>
      </c>
      <c r="G510">
        <f>raw_data!J510</f>
        <v>1.39</v>
      </c>
      <c r="H510" t="str">
        <f t="shared" si="7"/>
        <v>Wage Pressure</v>
      </c>
    </row>
    <row r="511" spans="1:8" x14ac:dyDescent="0.2">
      <c r="A511" t="str">
        <f>raw_data!A511</f>
        <v>2016Q4</v>
      </c>
      <c r="B511" t="str">
        <f>raw_data!B511</f>
        <v>New South Wales</v>
      </c>
      <c r="C511" t="str">
        <f>raw_data!C511</f>
        <v>Professional, Scientific and Technical Services</v>
      </c>
      <c r="D511">
        <f>raw_data!G511</f>
        <v>13.64</v>
      </c>
      <c r="E511">
        <f>raw_data!H511</f>
        <v>5.38</v>
      </c>
      <c r="F511">
        <f>raw_data!I511</f>
        <v>5.77</v>
      </c>
      <c r="G511">
        <f>raw_data!J511</f>
        <v>2.4900000000000002</v>
      </c>
      <c r="H511" t="str">
        <f t="shared" si="7"/>
        <v>Wage Pressure</v>
      </c>
    </row>
    <row r="512" spans="1:8" x14ac:dyDescent="0.2">
      <c r="A512" t="str">
        <f>raw_data!A512</f>
        <v>2016Q4</v>
      </c>
      <c r="B512" t="str">
        <f>raw_data!B512</f>
        <v>Queensland</v>
      </c>
      <c r="C512" t="str">
        <f>raw_data!C512</f>
        <v>Accommodation and Food Services</v>
      </c>
      <c r="D512">
        <f>raw_data!G512</f>
        <v>24.43</v>
      </c>
      <c r="E512">
        <f>raw_data!H512</f>
        <v>11.62</v>
      </c>
      <c r="F512">
        <f>raw_data!I512</f>
        <v>10.96</v>
      </c>
      <c r="G512">
        <f>raw_data!J512</f>
        <v>1.85</v>
      </c>
      <c r="H512" t="str">
        <f t="shared" si="7"/>
        <v>Vacancy Intensity</v>
      </c>
    </row>
    <row r="513" spans="1:8" x14ac:dyDescent="0.2">
      <c r="A513" t="str">
        <f>raw_data!A513</f>
        <v>2016Q4</v>
      </c>
      <c r="B513" t="str">
        <f>raw_data!B513</f>
        <v>Queensland</v>
      </c>
      <c r="C513" t="str">
        <f>raw_data!C513</f>
        <v>Construction</v>
      </c>
      <c r="D513">
        <f>raw_data!G513</f>
        <v>14.39</v>
      </c>
      <c r="E513">
        <f>raw_data!H513</f>
        <v>4.78</v>
      </c>
      <c r="F513">
        <f>raw_data!I513</f>
        <v>8.08</v>
      </c>
      <c r="G513">
        <f>raw_data!J513</f>
        <v>1.53</v>
      </c>
      <c r="H513" t="str">
        <f t="shared" si="7"/>
        <v>Wage Pressure</v>
      </c>
    </row>
    <row r="514" spans="1:8" x14ac:dyDescent="0.2">
      <c r="A514" t="str">
        <f>raw_data!A514</f>
        <v>2016Q4</v>
      </c>
      <c r="B514" t="str">
        <f>raw_data!B514</f>
        <v>Queensland</v>
      </c>
      <c r="C514" t="str">
        <f>raw_data!C514</f>
        <v>Education and Training</v>
      </c>
      <c r="D514">
        <f>raw_data!G514</f>
        <v>17.29</v>
      </c>
      <c r="E514">
        <f>raw_data!H514</f>
        <v>2.73</v>
      </c>
      <c r="F514">
        <f>raw_data!I514</f>
        <v>12.12</v>
      </c>
      <c r="G514">
        <f>raw_data!J514</f>
        <v>2.4500000000000002</v>
      </c>
      <c r="H514" t="str">
        <f t="shared" si="7"/>
        <v>Wage Pressure</v>
      </c>
    </row>
    <row r="515" spans="1:8" x14ac:dyDescent="0.2">
      <c r="A515" t="str">
        <f>raw_data!A515</f>
        <v>2016Q4</v>
      </c>
      <c r="B515" t="str">
        <f>raw_data!B515</f>
        <v>Queensland</v>
      </c>
      <c r="C515" t="str">
        <f>raw_data!C515</f>
        <v>Health Care and Social Assistance</v>
      </c>
      <c r="D515">
        <f>raw_data!G515</f>
        <v>21.59</v>
      </c>
      <c r="E515">
        <f>raw_data!H515</f>
        <v>6.24</v>
      </c>
      <c r="F515">
        <f>raw_data!I515</f>
        <v>12.12</v>
      </c>
      <c r="G515">
        <f>raw_data!J515</f>
        <v>3.24</v>
      </c>
      <c r="H515" t="str">
        <f t="shared" ref="H515:H578" si="8">IF(AND(E515&gt;=F515,E515&gt;=G515),"Vacancy Intensity",IF(F515&gt;=G515,"Wage Pressure","Labour Tightness"))</f>
        <v>Wage Pressure</v>
      </c>
    </row>
    <row r="516" spans="1:8" x14ac:dyDescent="0.2">
      <c r="A516" t="str">
        <f>raw_data!A516</f>
        <v>2016Q4</v>
      </c>
      <c r="B516" t="str">
        <f>raw_data!B516</f>
        <v>Queensland</v>
      </c>
      <c r="C516" t="str">
        <f>raw_data!C516</f>
        <v>Manufacturing</v>
      </c>
      <c r="D516">
        <f>raw_data!G516</f>
        <v>16.600000000000001</v>
      </c>
      <c r="E516">
        <f>raw_data!H516</f>
        <v>4.8499999999999996</v>
      </c>
      <c r="F516">
        <f>raw_data!I516</f>
        <v>8.65</v>
      </c>
      <c r="G516">
        <f>raw_data!J516</f>
        <v>3.1</v>
      </c>
      <c r="H516" t="str">
        <f t="shared" si="8"/>
        <v>Wage Pressure</v>
      </c>
    </row>
    <row r="517" spans="1:8" x14ac:dyDescent="0.2">
      <c r="A517" t="str">
        <f>raw_data!A517</f>
        <v>2016Q4</v>
      </c>
      <c r="B517" t="str">
        <f>raw_data!B517</f>
        <v>Queensland</v>
      </c>
      <c r="C517" t="str">
        <f>raw_data!C517</f>
        <v>Professional, Scientific and Technical Services</v>
      </c>
      <c r="D517">
        <f>raw_data!G517</f>
        <v>25.33</v>
      </c>
      <c r="E517">
        <f>raw_data!H517</f>
        <v>12.43</v>
      </c>
      <c r="F517">
        <f>raw_data!I517</f>
        <v>5.77</v>
      </c>
      <c r="G517">
        <f>raw_data!J517</f>
        <v>7.13</v>
      </c>
      <c r="H517" t="str">
        <f t="shared" si="8"/>
        <v>Vacancy Intensity</v>
      </c>
    </row>
    <row r="518" spans="1:8" x14ac:dyDescent="0.2">
      <c r="A518" t="str">
        <f>raw_data!A518</f>
        <v>2016Q4</v>
      </c>
      <c r="B518" t="str">
        <f>raw_data!B518</f>
        <v>Victoria</v>
      </c>
      <c r="C518" t="str">
        <f>raw_data!C518</f>
        <v>Accommodation and Food Services</v>
      </c>
      <c r="D518">
        <f>raw_data!G518</f>
        <v>20.69</v>
      </c>
      <c r="E518">
        <f>raw_data!H518</f>
        <v>8.48</v>
      </c>
      <c r="F518">
        <f>raw_data!I518</f>
        <v>10.96</v>
      </c>
      <c r="G518">
        <f>raw_data!J518</f>
        <v>1.25</v>
      </c>
      <c r="H518" t="str">
        <f t="shared" si="8"/>
        <v>Wage Pressure</v>
      </c>
    </row>
    <row r="519" spans="1:8" x14ac:dyDescent="0.2">
      <c r="A519" t="str">
        <f>raw_data!A519</f>
        <v>2016Q4</v>
      </c>
      <c r="B519" t="str">
        <f>raw_data!B519</f>
        <v>Victoria</v>
      </c>
      <c r="C519" t="str">
        <f>raw_data!C519</f>
        <v>Construction</v>
      </c>
      <c r="D519">
        <f>raw_data!G519</f>
        <v>13.72</v>
      </c>
      <c r="E519">
        <f>raw_data!H519</f>
        <v>4.12</v>
      </c>
      <c r="F519">
        <f>raw_data!I519</f>
        <v>8.08</v>
      </c>
      <c r="G519">
        <f>raw_data!J519</f>
        <v>1.52</v>
      </c>
      <c r="H519" t="str">
        <f t="shared" si="8"/>
        <v>Wage Pressure</v>
      </c>
    </row>
    <row r="520" spans="1:8" x14ac:dyDescent="0.2">
      <c r="A520" t="str">
        <f>raw_data!A520</f>
        <v>2016Q4</v>
      </c>
      <c r="B520" t="str">
        <f>raw_data!B520</f>
        <v>Victoria</v>
      </c>
      <c r="C520" t="str">
        <f>raw_data!C520</f>
        <v>Education and Training</v>
      </c>
      <c r="D520">
        <f>raw_data!G520</f>
        <v>14.89</v>
      </c>
      <c r="E520">
        <f>raw_data!H520</f>
        <v>1.68</v>
      </c>
      <c r="F520">
        <f>raw_data!I520</f>
        <v>12.12</v>
      </c>
      <c r="G520">
        <f>raw_data!J520</f>
        <v>1.1000000000000001</v>
      </c>
      <c r="H520" t="str">
        <f t="shared" si="8"/>
        <v>Wage Pressure</v>
      </c>
    </row>
    <row r="521" spans="1:8" x14ac:dyDescent="0.2">
      <c r="A521" t="str">
        <f>raw_data!A521</f>
        <v>2016Q4</v>
      </c>
      <c r="B521" t="str">
        <f>raw_data!B521</f>
        <v>Victoria</v>
      </c>
      <c r="C521" t="str">
        <f>raw_data!C521</f>
        <v>Health Care and Social Assistance</v>
      </c>
      <c r="D521">
        <f>raw_data!G521</f>
        <v>20.22</v>
      </c>
      <c r="E521">
        <f>raw_data!H521</f>
        <v>4.62</v>
      </c>
      <c r="F521">
        <f>raw_data!I521</f>
        <v>12.12</v>
      </c>
      <c r="G521">
        <f>raw_data!J521</f>
        <v>3.49</v>
      </c>
      <c r="H521" t="str">
        <f t="shared" si="8"/>
        <v>Wage Pressure</v>
      </c>
    </row>
    <row r="522" spans="1:8" x14ac:dyDescent="0.2">
      <c r="A522" t="str">
        <f>raw_data!A522</f>
        <v>2016Q4</v>
      </c>
      <c r="B522" t="str">
        <f>raw_data!B522</f>
        <v>Victoria</v>
      </c>
      <c r="C522" t="str">
        <f>raw_data!C522</f>
        <v>Manufacturing</v>
      </c>
      <c r="D522">
        <f>raw_data!G522</f>
        <v>11.72</v>
      </c>
      <c r="E522">
        <f>raw_data!H522</f>
        <v>2.34</v>
      </c>
      <c r="F522">
        <f>raw_data!I522</f>
        <v>8.65</v>
      </c>
      <c r="G522">
        <f>raw_data!J522</f>
        <v>0.73</v>
      </c>
      <c r="H522" t="str">
        <f t="shared" si="8"/>
        <v>Wage Pressure</v>
      </c>
    </row>
    <row r="523" spans="1:8" x14ac:dyDescent="0.2">
      <c r="A523" t="str">
        <f>raw_data!A523</f>
        <v>2016Q4</v>
      </c>
      <c r="B523" t="str">
        <f>raw_data!B523</f>
        <v>Victoria</v>
      </c>
      <c r="C523" t="str">
        <f>raw_data!C523</f>
        <v>Professional, Scientific and Technical Services</v>
      </c>
      <c r="D523">
        <f>raw_data!G523</f>
        <v>17.75</v>
      </c>
      <c r="E523">
        <f>raw_data!H523</f>
        <v>7.99</v>
      </c>
      <c r="F523">
        <f>raw_data!I523</f>
        <v>5.77</v>
      </c>
      <c r="G523">
        <f>raw_data!J523</f>
        <v>3.99</v>
      </c>
      <c r="H523" t="str">
        <f t="shared" si="8"/>
        <v>Vacancy Intensity</v>
      </c>
    </row>
    <row r="524" spans="1:8" x14ac:dyDescent="0.2">
      <c r="A524" t="str">
        <f>raw_data!A524</f>
        <v>2017Q1</v>
      </c>
      <c r="B524" t="str">
        <f>raw_data!B524</f>
        <v>New South Wales</v>
      </c>
      <c r="C524" t="str">
        <f>raw_data!C524</f>
        <v>Accommodation and Food Services</v>
      </c>
      <c r="D524">
        <f>raw_data!G524</f>
        <v>20.74</v>
      </c>
      <c r="E524">
        <f>raw_data!H524</f>
        <v>8.61</v>
      </c>
      <c r="F524">
        <f>raw_data!I524</f>
        <v>10.96</v>
      </c>
      <c r="G524">
        <f>raw_data!J524</f>
        <v>1.1599999999999999</v>
      </c>
      <c r="H524" t="str">
        <f t="shared" si="8"/>
        <v>Wage Pressure</v>
      </c>
    </row>
    <row r="525" spans="1:8" x14ac:dyDescent="0.2">
      <c r="A525" t="str">
        <f>raw_data!A525</f>
        <v>2017Q1</v>
      </c>
      <c r="B525" t="str">
        <f>raw_data!B525</f>
        <v>New South Wales</v>
      </c>
      <c r="C525" t="str">
        <f>raw_data!C525</f>
        <v>Construction</v>
      </c>
      <c r="D525">
        <f>raw_data!G525</f>
        <v>13.22</v>
      </c>
      <c r="E525">
        <f>raw_data!H525</f>
        <v>3.06</v>
      </c>
      <c r="F525">
        <f>raw_data!I525</f>
        <v>8.65</v>
      </c>
      <c r="G525">
        <f>raw_data!J525</f>
        <v>1.51</v>
      </c>
      <c r="H525" t="str">
        <f t="shared" si="8"/>
        <v>Wage Pressure</v>
      </c>
    </row>
    <row r="526" spans="1:8" x14ac:dyDescent="0.2">
      <c r="A526" t="str">
        <f>raw_data!A526</f>
        <v>2017Q1</v>
      </c>
      <c r="B526" t="str">
        <f>raw_data!B526</f>
        <v>New South Wales</v>
      </c>
      <c r="C526" t="str">
        <f>raw_data!C526</f>
        <v>Education and Training</v>
      </c>
      <c r="D526">
        <f>raw_data!G526</f>
        <v>13.58</v>
      </c>
      <c r="E526">
        <f>raw_data!H526</f>
        <v>1.44</v>
      </c>
      <c r="F526">
        <f>raw_data!I526</f>
        <v>11.54</v>
      </c>
      <c r="G526">
        <f>raw_data!J526</f>
        <v>0.61</v>
      </c>
      <c r="H526" t="str">
        <f t="shared" si="8"/>
        <v>Wage Pressure</v>
      </c>
    </row>
    <row r="527" spans="1:8" x14ac:dyDescent="0.2">
      <c r="A527" t="str">
        <f>raw_data!A527</f>
        <v>2017Q1</v>
      </c>
      <c r="B527" t="str">
        <f>raw_data!B527</f>
        <v>New South Wales</v>
      </c>
      <c r="C527" t="str">
        <f>raw_data!C527</f>
        <v>Health Care and Social Assistance</v>
      </c>
      <c r="D527">
        <f>raw_data!G527</f>
        <v>19.059999999999999</v>
      </c>
      <c r="E527">
        <f>raw_data!H527</f>
        <v>3.99</v>
      </c>
      <c r="F527">
        <f>raw_data!I527</f>
        <v>11.54</v>
      </c>
      <c r="G527">
        <f>raw_data!J527</f>
        <v>3.53</v>
      </c>
      <c r="H527" t="str">
        <f t="shared" si="8"/>
        <v>Wage Pressure</v>
      </c>
    </row>
    <row r="528" spans="1:8" x14ac:dyDescent="0.2">
      <c r="A528" t="str">
        <f>raw_data!A528</f>
        <v>2017Q1</v>
      </c>
      <c r="B528" t="str">
        <f>raw_data!B528</f>
        <v>New South Wales</v>
      </c>
      <c r="C528" t="str">
        <f>raw_data!C528</f>
        <v>Manufacturing</v>
      </c>
      <c r="D528">
        <f>raw_data!G528</f>
        <v>14.86</v>
      </c>
      <c r="E528">
        <f>raw_data!H528</f>
        <v>3.55</v>
      </c>
      <c r="F528">
        <f>raw_data!I528</f>
        <v>9.81</v>
      </c>
      <c r="G528">
        <f>raw_data!J528</f>
        <v>1.5</v>
      </c>
      <c r="H528" t="str">
        <f t="shared" si="8"/>
        <v>Wage Pressure</v>
      </c>
    </row>
    <row r="529" spans="1:8" x14ac:dyDescent="0.2">
      <c r="A529" t="str">
        <f>raw_data!A529</f>
        <v>2017Q1</v>
      </c>
      <c r="B529" t="str">
        <f>raw_data!B529</f>
        <v>New South Wales</v>
      </c>
      <c r="C529" t="str">
        <f>raw_data!C529</f>
        <v>Professional, Scientific and Technical Services</v>
      </c>
      <c r="D529">
        <f>raw_data!G529</f>
        <v>16.27</v>
      </c>
      <c r="E529">
        <f>raw_data!H529</f>
        <v>5.55</v>
      </c>
      <c r="F529">
        <f>raw_data!I529</f>
        <v>7.5</v>
      </c>
      <c r="G529">
        <f>raw_data!J529</f>
        <v>3.22</v>
      </c>
      <c r="H529" t="str">
        <f t="shared" si="8"/>
        <v>Wage Pressure</v>
      </c>
    </row>
    <row r="530" spans="1:8" x14ac:dyDescent="0.2">
      <c r="A530" t="str">
        <f>raw_data!A530</f>
        <v>2017Q1</v>
      </c>
      <c r="B530" t="str">
        <f>raw_data!B530</f>
        <v>Queensland</v>
      </c>
      <c r="C530" t="str">
        <f>raw_data!C530</f>
        <v>Accommodation and Food Services</v>
      </c>
      <c r="D530">
        <f>raw_data!G530</f>
        <v>25.73</v>
      </c>
      <c r="E530">
        <f>raw_data!H530</f>
        <v>13.46</v>
      </c>
      <c r="F530">
        <f>raw_data!I530</f>
        <v>10.96</v>
      </c>
      <c r="G530">
        <f>raw_data!J530</f>
        <v>1.31</v>
      </c>
      <c r="H530" t="str">
        <f t="shared" si="8"/>
        <v>Vacancy Intensity</v>
      </c>
    </row>
    <row r="531" spans="1:8" x14ac:dyDescent="0.2">
      <c r="A531" t="str">
        <f>raw_data!A531</f>
        <v>2017Q1</v>
      </c>
      <c r="B531" t="str">
        <f>raw_data!B531</f>
        <v>Queensland</v>
      </c>
      <c r="C531" t="str">
        <f>raw_data!C531</f>
        <v>Construction</v>
      </c>
      <c r="D531">
        <f>raw_data!G531</f>
        <v>16.02</v>
      </c>
      <c r="E531">
        <f>raw_data!H531</f>
        <v>5.37</v>
      </c>
      <c r="F531">
        <f>raw_data!I531</f>
        <v>8.65</v>
      </c>
      <c r="G531">
        <f>raw_data!J531</f>
        <v>1.99</v>
      </c>
      <c r="H531" t="str">
        <f t="shared" si="8"/>
        <v>Wage Pressure</v>
      </c>
    </row>
    <row r="532" spans="1:8" x14ac:dyDescent="0.2">
      <c r="A532" t="str">
        <f>raw_data!A532</f>
        <v>2017Q1</v>
      </c>
      <c r="B532" t="str">
        <f>raw_data!B532</f>
        <v>Queensland</v>
      </c>
      <c r="C532" t="str">
        <f>raw_data!C532</f>
        <v>Education and Training</v>
      </c>
      <c r="D532">
        <f>raw_data!G532</f>
        <v>15.28</v>
      </c>
      <c r="E532">
        <f>raw_data!H532</f>
        <v>2.99</v>
      </c>
      <c r="F532">
        <f>raw_data!I532</f>
        <v>11.54</v>
      </c>
      <c r="G532">
        <f>raw_data!J532</f>
        <v>0.75</v>
      </c>
      <c r="H532" t="str">
        <f t="shared" si="8"/>
        <v>Wage Pressure</v>
      </c>
    </row>
    <row r="533" spans="1:8" x14ac:dyDescent="0.2">
      <c r="A533" t="str">
        <f>raw_data!A533</f>
        <v>2017Q1</v>
      </c>
      <c r="B533" t="str">
        <f>raw_data!B533</f>
        <v>Queensland</v>
      </c>
      <c r="C533" t="str">
        <f>raw_data!C533</f>
        <v>Health Care and Social Assistance</v>
      </c>
      <c r="D533">
        <f>raw_data!G533</f>
        <v>22.74</v>
      </c>
      <c r="E533">
        <f>raw_data!H533</f>
        <v>7.13</v>
      </c>
      <c r="F533">
        <f>raw_data!I533</f>
        <v>11.54</v>
      </c>
      <c r="G533">
        <f>raw_data!J533</f>
        <v>4.07</v>
      </c>
      <c r="H533" t="str">
        <f t="shared" si="8"/>
        <v>Wage Pressure</v>
      </c>
    </row>
    <row r="534" spans="1:8" x14ac:dyDescent="0.2">
      <c r="A534" t="str">
        <f>raw_data!A534</f>
        <v>2017Q1</v>
      </c>
      <c r="B534" t="str">
        <f>raw_data!B534</f>
        <v>Queensland</v>
      </c>
      <c r="C534" t="str">
        <f>raw_data!C534</f>
        <v>Manufacturing</v>
      </c>
      <c r="D534">
        <f>raw_data!G534</f>
        <v>17.29</v>
      </c>
      <c r="E534">
        <f>raw_data!H534</f>
        <v>6.18</v>
      </c>
      <c r="F534">
        <f>raw_data!I534</f>
        <v>9.81</v>
      </c>
      <c r="G534">
        <f>raw_data!J534</f>
        <v>1.3</v>
      </c>
      <c r="H534" t="str">
        <f t="shared" si="8"/>
        <v>Wage Pressure</v>
      </c>
    </row>
    <row r="535" spans="1:8" x14ac:dyDescent="0.2">
      <c r="A535" t="str">
        <f>raw_data!A535</f>
        <v>2017Q1</v>
      </c>
      <c r="B535" t="str">
        <f>raw_data!B535</f>
        <v>Queensland</v>
      </c>
      <c r="C535" t="str">
        <f>raw_data!C535</f>
        <v>Professional, Scientific and Technical Services</v>
      </c>
      <c r="D535">
        <f>raw_data!G535</f>
        <v>23.38</v>
      </c>
      <c r="E535">
        <f>raw_data!H535</f>
        <v>13.19</v>
      </c>
      <c r="F535">
        <f>raw_data!I535</f>
        <v>7.5</v>
      </c>
      <c r="G535">
        <f>raw_data!J535</f>
        <v>2.68</v>
      </c>
      <c r="H535" t="str">
        <f t="shared" si="8"/>
        <v>Vacancy Intensity</v>
      </c>
    </row>
    <row r="536" spans="1:8" x14ac:dyDescent="0.2">
      <c r="A536" t="str">
        <f>raw_data!A536</f>
        <v>2017Q1</v>
      </c>
      <c r="B536" t="str">
        <f>raw_data!B536</f>
        <v>Victoria</v>
      </c>
      <c r="C536" t="str">
        <f>raw_data!C536</f>
        <v>Accommodation and Food Services</v>
      </c>
      <c r="D536">
        <f>raw_data!G536</f>
        <v>21.97</v>
      </c>
      <c r="E536">
        <f>raw_data!H536</f>
        <v>9.89</v>
      </c>
      <c r="F536">
        <f>raw_data!I536</f>
        <v>10.96</v>
      </c>
      <c r="G536">
        <f>raw_data!J536</f>
        <v>1.1200000000000001</v>
      </c>
      <c r="H536" t="str">
        <f t="shared" si="8"/>
        <v>Wage Pressure</v>
      </c>
    </row>
    <row r="537" spans="1:8" x14ac:dyDescent="0.2">
      <c r="A537" t="str">
        <f>raw_data!A537</f>
        <v>2017Q1</v>
      </c>
      <c r="B537" t="str">
        <f>raw_data!B537</f>
        <v>Victoria</v>
      </c>
      <c r="C537" t="str">
        <f>raw_data!C537</f>
        <v>Construction</v>
      </c>
      <c r="D537">
        <f>raw_data!G537</f>
        <v>14.75</v>
      </c>
      <c r="E537">
        <f>raw_data!H537</f>
        <v>4.5199999999999996</v>
      </c>
      <c r="F537">
        <f>raw_data!I537</f>
        <v>8.65</v>
      </c>
      <c r="G537">
        <f>raw_data!J537</f>
        <v>1.58</v>
      </c>
      <c r="H537" t="str">
        <f t="shared" si="8"/>
        <v>Wage Pressure</v>
      </c>
    </row>
    <row r="538" spans="1:8" x14ac:dyDescent="0.2">
      <c r="A538" t="str">
        <f>raw_data!A538</f>
        <v>2017Q1</v>
      </c>
      <c r="B538" t="str">
        <f>raw_data!B538</f>
        <v>Victoria</v>
      </c>
      <c r="C538" t="str">
        <f>raw_data!C538</f>
        <v>Education and Training</v>
      </c>
      <c r="D538">
        <f>raw_data!G538</f>
        <v>14.02</v>
      </c>
      <c r="E538">
        <f>raw_data!H538</f>
        <v>1.81</v>
      </c>
      <c r="F538">
        <f>raw_data!I538</f>
        <v>11.54</v>
      </c>
      <c r="G538">
        <f>raw_data!J538</f>
        <v>0.67</v>
      </c>
      <c r="H538" t="str">
        <f t="shared" si="8"/>
        <v>Wage Pressure</v>
      </c>
    </row>
    <row r="539" spans="1:8" x14ac:dyDescent="0.2">
      <c r="A539" t="str">
        <f>raw_data!A539</f>
        <v>2017Q1</v>
      </c>
      <c r="B539" t="str">
        <f>raw_data!B539</f>
        <v>Victoria</v>
      </c>
      <c r="C539" t="str">
        <f>raw_data!C539</f>
        <v>Health Care and Social Assistance</v>
      </c>
      <c r="D539">
        <f>raw_data!G539</f>
        <v>18.29</v>
      </c>
      <c r="E539">
        <f>raw_data!H539</f>
        <v>4.68</v>
      </c>
      <c r="F539">
        <f>raw_data!I539</f>
        <v>11.54</v>
      </c>
      <c r="G539">
        <f>raw_data!J539</f>
        <v>2.0699999999999998</v>
      </c>
      <c r="H539" t="str">
        <f t="shared" si="8"/>
        <v>Wage Pressure</v>
      </c>
    </row>
    <row r="540" spans="1:8" x14ac:dyDescent="0.2">
      <c r="A540" t="str">
        <f>raw_data!A540</f>
        <v>2017Q1</v>
      </c>
      <c r="B540" t="str">
        <f>raw_data!B540</f>
        <v>Victoria</v>
      </c>
      <c r="C540" t="str">
        <f>raw_data!C540</f>
        <v>Manufacturing</v>
      </c>
      <c r="D540">
        <f>raw_data!G540</f>
        <v>14.57</v>
      </c>
      <c r="E540">
        <f>raw_data!H540</f>
        <v>3.41</v>
      </c>
      <c r="F540">
        <f>raw_data!I540</f>
        <v>9.81</v>
      </c>
      <c r="G540">
        <f>raw_data!J540</f>
        <v>1.35</v>
      </c>
      <c r="H540" t="str">
        <f t="shared" si="8"/>
        <v>Wage Pressure</v>
      </c>
    </row>
    <row r="541" spans="1:8" x14ac:dyDescent="0.2">
      <c r="A541" t="str">
        <f>raw_data!A541</f>
        <v>2017Q1</v>
      </c>
      <c r="B541" t="str">
        <f>raw_data!B541</f>
        <v>Victoria</v>
      </c>
      <c r="C541" t="str">
        <f>raw_data!C541</f>
        <v>Professional, Scientific and Technical Services</v>
      </c>
      <c r="D541">
        <f>raw_data!G541</f>
        <v>17.52</v>
      </c>
      <c r="E541">
        <f>raw_data!H541</f>
        <v>7.71</v>
      </c>
      <c r="F541">
        <f>raw_data!I541</f>
        <v>7.5</v>
      </c>
      <c r="G541">
        <f>raw_data!J541</f>
        <v>2.31</v>
      </c>
      <c r="H541" t="str">
        <f t="shared" si="8"/>
        <v>Vacancy Intensity</v>
      </c>
    </row>
    <row r="542" spans="1:8" x14ac:dyDescent="0.2">
      <c r="A542" t="str">
        <f>raw_data!A542</f>
        <v>2017Q2</v>
      </c>
      <c r="B542" t="str">
        <f>raw_data!B542</f>
        <v>New South Wales</v>
      </c>
      <c r="C542" t="str">
        <f>raw_data!C542</f>
        <v>Accommodation and Food Services</v>
      </c>
      <c r="D542">
        <f>raw_data!G542</f>
        <v>17.600000000000001</v>
      </c>
      <c r="E542">
        <f>raw_data!H542</f>
        <v>5.8</v>
      </c>
      <c r="F542">
        <f>raw_data!I542</f>
        <v>10.38</v>
      </c>
      <c r="G542">
        <f>raw_data!J542</f>
        <v>1.41</v>
      </c>
      <c r="H542" t="str">
        <f t="shared" si="8"/>
        <v>Wage Pressure</v>
      </c>
    </row>
    <row r="543" spans="1:8" x14ac:dyDescent="0.2">
      <c r="A543" t="str">
        <f>raw_data!A543</f>
        <v>2017Q2</v>
      </c>
      <c r="B543" t="str">
        <f>raw_data!B543</f>
        <v>New South Wales</v>
      </c>
      <c r="C543" t="str">
        <f>raw_data!C543</f>
        <v>Construction</v>
      </c>
      <c r="D543">
        <f>raw_data!G543</f>
        <v>13.51</v>
      </c>
      <c r="E543">
        <f>raw_data!H543</f>
        <v>3.14</v>
      </c>
      <c r="F543">
        <f>raw_data!I543</f>
        <v>8.65</v>
      </c>
      <c r="G543">
        <f>raw_data!J543</f>
        <v>1.71</v>
      </c>
      <c r="H543" t="str">
        <f t="shared" si="8"/>
        <v>Wage Pressure</v>
      </c>
    </row>
    <row r="544" spans="1:8" x14ac:dyDescent="0.2">
      <c r="A544" t="str">
        <f>raw_data!A544</f>
        <v>2017Q2</v>
      </c>
      <c r="B544" t="str">
        <f>raw_data!B544</f>
        <v>New South Wales</v>
      </c>
      <c r="C544" t="str">
        <f>raw_data!C544</f>
        <v>Education and Training</v>
      </c>
      <c r="D544">
        <f>raw_data!G544</f>
        <v>14.71</v>
      </c>
      <c r="E544">
        <f>raw_data!H544</f>
        <v>1.39</v>
      </c>
      <c r="F544">
        <f>raw_data!I544</f>
        <v>12.12</v>
      </c>
      <c r="G544">
        <f>raw_data!J544</f>
        <v>1.2</v>
      </c>
      <c r="H544" t="str">
        <f t="shared" si="8"/>
        <v>Wage Pressure</v>
      </c>
    </row>
    <row r="545" spans="1:8" x14ac:dyDescent="0.2">
      <c r="A545" t="str">
        <f>raw_data!A545</f>
        <v>2017Q2</v>
      </c>
      <c r="B545" t="str">
        <f>raw_data!B545</f>
        <v>New South Wales</v>
      </c>
      <c r="C545" t="str">
        <f>raw_data!C545</f>
        <v>Health Care and Social Assistance</v>
      </c>
      <c r="D545">
        <f>raw_data!G545</f>
        <v>21.99</v>
      </c>
      <c r="E545">
        <f>raw_data!H545</f>
        <v>3.79</v>
      </c>
      <c r="F545">
        <f>raw_data!I545</f>
        <v>13.27</v>
      </c>
      <c r="G545">
        <f>raw_data!J545</f>
        <v>4.93</v>
      </c>
      <c r="H545" t="str">
        <f t="shared" si="8"/>
        <v>Wage Pressure</v>
      </c>
    </row>
    <row r="546" spans="1:8" x14ac:dyDescent="0.2">
      <c r="A546" t="str">
        <f>raw_data!A546</f>
        <v>2017Q2</v>
      </c>
      <c r="B546" t="str">
        <f>raw_data!B546</f>
        <v>New South Wales</v>
      </c>
      <c r="C546" t="str">
        <f>raw_data!C546</f>
        <v>Manufacturing</v>
      </c>
      <c r="D546">
        <f>raw_data!G546</f>
        <v>14.77</v>
      </c>
      <c r="E546">
        <f>raw_data!H546</f>
        <v>2.92</v>
      </c>
      <c r="F546">
        <f>raw_data!I546</f>
        <v>9.81</v>
      </c>
      <c r="G546">
        <f>raw_data!J546</f>
        <v>2.04</v>
      </c>
      <c r="H546" t="str">
        <f t="shared" si="8"/>
        <v>Wage Pressure</v>
      </c>
    </row>
    <row r="547" spans="1:8" x14ac:dyDescent="0.2">
      <c r="A547" t="str">
        <f>raw_data!A547</f>
        <v>2017Q2</v>
      </c>
      <c r="B547" t="str">
        <f>raw_data!B547</f>
        <v>New South Wales</v>
      </c>
      <c r="C547" t="str">
        <f>raw_data!C547</f>
        <v>Professional, Scientific and Technical Services</v>
      </c>
      <c r="D547">
        <f>raw_data!G547</f>
        <v>14.67</v>
      </c>
      <c r="E547">
        <f>raw_data!H547</f>
        <v>4.5199999999999996</v>
      </c>
      <c r="F547">
        <f>raw_data!I547</f>
        <v>6.92</v>
      </c>
      <c r="G547">
        <f>raw_data!J547</f>
        <v>3.23</v>
      </c>
      <c r="H547" t="str">
        <f t="shared" si="8"/>
        <v>Wage Pressure</v>
      </c>
    </row>
    <row r="548" spans="1:8" x14ac:dyDescent="0.2">
      <c r="A548" t="str">
        <f>raw_data!A548</f>
        <v>2017Q2</v>
      </c>
      <c r="B548" t="str">
        <f>raw_data!B548</f>
        <v>Queensland</v>
      </c>
      <c r="C548" t="str">
        <f>raw_data!C548</f>
        <v>Accommodation and Food Services</v>
      </c>
      <c r="D548">
        <f>raw_data!G548</f>
        <v>21.32</v>
      </c>
      <c r="E548">
        <f>raw_data!H548</f>
        <v>9.76</v>
      </c>
      <c r="F548">
        <f>raw_data!I548</f>
        <v>10.38</v>
      </c>
      <c r="G548">
        <f>raw_data!J548</f>
        <v>1.17</v>
      </c>
      <c r="H548" t="str">
        <f t="shared" si="8"/>
        <v>Wage Pressure</v>
      </c>
    </row>
    <row r="549" spans="1:8" x14ac:dyDescent="0.2">
      <c r="A549" t="str">
        <f>raw_data!A549</f>
        <v>2017Q2</v>
      </c>
      <c r="B549" t="str">
        <f>raw_data!B549</f>
        <v>Queensland</v>
      </c>
      <c r="C549" t="str">
        <f>raw_data!C549</f>
        <v>Construction</v>
      </c>
      <c r="D549">
        <f>raw_data!G549</f>
        <v>15.05</v>
      </c>
      <c r="E549">
        <f>raw_data!H549</f>
        <v>4.4800000000000004</v>
      </c>
      <c r="F549">
        <f>raw_data!I549</f>
        <v>8.65</v>
      </c>
      <c r="G549">
        <f>raw_data!J549</f>
        <v>1.92</v>
      </c>
      <c r="H549" t="str">
        <f t="shared" si="8"/>
        <v>Wage Pressure</v>
      </c>
    </row>
    <row r="550" spans="1:8" x14ac:dyDescent="0.2">
      <c r="A550" t="str">
        <f>raw_data!A550</f>
        <v>2017Q2</v>
      </c>
      <c r="B550" t="str">
        <f>raw_data!B550</f>
        <v>Queensland</v>
      </c>
      <c r="C550" t="str">
        <f>raw_data!C550</f>
        <v>Education and Training</v>
      </c>
      <c r="D550">
        <f>raw_data!G550</f>
        <v>15.8</v>
      </c>
      <c r="E550">
        <f>raw_data!H550</f>
        <v>2.63</v>
      </c>
      <c r="F550">
        <f>raw_data!I550</f>
        <v>12.12</v>
      </c>
      <c r="G550">
        <f>raw_data!J550</f>
        <v>1.06</v>
      </c>
      <c r="H550" t="str">
        <f t="shared" si="8"/>
        <v>Wage Pressure</v>
      </c>
    </row>
    <row r="551" spans="1:8" x14ac:dyDescent="0.2">
      <c r="A551" t="str">
        <f>raw_data!A551</f>
        <v>2017Q2</v>
      </c>
      <c r="B551" t="str">
        <f>raw_data!B551</f>
        <v>Queensland</v>
      </c>
      <c r="C551" t="str">
        <f>raw_data!C551</f>
        <v>Health Care and Social Assistance</v>
      </c>
      <c r="D551">
        <f>raw_data!G551</f>
        <v>24.13</v>
      </c>
      <c r="E551">
        <f>raw_data!H551</f>
        <v>5.89</v>
      </c>
      <c r="F551">
        <f>raw_data!I551</f>
        <v>13.27</v>
      </c>
      <c r="G551">
        <f>raw_data!J551</f>
        <v>4.97</v>
      </c>
      <c r="H551" t="str">
        <f t="shared" si="8"/>
        <v>Wage Pressure</v>
      </c>
    </row>
    <row r="552" spans="1:8" x14ac:dyDescent="0.2">
      <c r="A552" t="str">
        <f>raw_data!A552</f>
        <v>2017Q2</v>
      </c>
      <c r="B552" t="str">
        <f>raw_data!B552</f>
        <v>Queensland</v>
      </c>
      <c r="C552" t="str">
        <f>raw_data!C552</f>
        <v>Manufacturing</v>
      </c>
      <c r="D552">
        <f>raw_data!G552</f>
        <v>18.29</v>
      </c>
      <c r="E552">
        <f>raw_data!H552</f>
        <v>5.83</v>
      </c>
      <c r="F552">
        <f>raw_data!I552</f>
        <v>9.81</v>
      </c>
      <c r="G552">
        <f>raw_data!J552</f>
        <v>2.65</v>
      </c>
      <c r="H552" t="str">
        <f t="shared" si="8"/>
        <v>Wage Pressure</v>
      </c>
    </row>
    <row r="553" spans="1:8" x14ac:dyDescent="0.2">
      <c r="A553" t="str">
        <f>raw_data!A553</f>
        <v>2017Q2</v>
      </c>
      <c r="B553" t="str">
        <f>raw_data!B553</f>
        <v>Queensland</v>
      </c>
      <c r="C553" t="str">
        <f>raw_data!C553</f>
        <v>Professional, Scientific and Technical Services</v>
      </c>
      <c r="D553">
        <f>raw_data!G553</f>
        <v>23.27</v>
      </c>
      <c r="E553">
        <f>raw_data!H553</f>
        <v>12.61</v>
      </c>
      <c r="F553">
        <f>raw_data!I553</f>
        <v>6.92</v>
      </c>
      <c r="G553">
        <f>raw_data!J553</f>
        <v>3.74</v>
      </c>
      <c r="H553" t="str">
        <f t="shared" si="8"/>
        <v>Vacancy Intensity</v>
      </c>
    </row>
    <row r="554" spans="1:8" x14ac:dyDescent="0.2">
      <c r="A554" t="str">
        <f>raw_data!A554</f>
        <v>2017Q2</v>
      </c>
      <c r="B554" t="str">
        <f>raw_data!B554</f>
        <v>Victoria</v>
      </c>
      <c r="C554" t="str">
        <f>raw_data!C554</f>
        <v>Accommodation and Food Services</v>
      </c>
      <c r="D554">
        <f>raw_data!G554</f>
        <v>18.84</v>
      </c>
      <c r="E554">
        <f>raw_data!H554</f>
        <v>7.64</v>
      </c>
      <c r="F554">
        <f>raw_data!I554</f>
        <v>10.38</v>
      </c>
      <c r="G554">
        <f>raw_data!J554</f>
        <v>0.82</v>
      </c>
      <c r="H554" t="str">
        <f t="shared" si="8"/>
        <v>Wage Pressure</v>
      </c>
    </row>
    <row r="555" spans="1:8" x14ac:dyDescent="0.2">
      <c r="A555" t="str">
        <f>raw_data!A555</f>
        <v>2017Q2</v>
      </c>
      <c r="B555" t="str">
        <f>raw_data!B555</f>
        <v>Victoria</v>
      </c>
      <c r="C555" t="str">
        <f>raw_data!C555</f>
        <v>Construction</v>
      </c>
      <c r="D555">
        <f>raw_data!G555</f>
        <v>15.38</v>
      </c>
      <c r="E555">
        <f>raw_data!H555</f>
        <v>3.95</v>
      </c>
      <c r="F555">
        <f>raw_data!I555</f>
        <v>8.65</v>
      </c>
      <c r="G555">
        <f>raw_data!J555</f>
        <v>2.78</v>
      </c>
      <c r="H555" t="str">
        <f t="shared" si="8"/>
        <v>Wage Pressure</v>
      </c>
    </row>
    <row r="556" spans="1:8" x14ac:dyDescent="0.2">
      <c r="A556" t="str">
        <f>raw_data!A556</f>
        <v>2017Q2</v>
      </c>
      <c r="B556" t="str">
        <f>raw_data!B556</f>
        <v>Victoria</v>
      </c>
      <c r="C556" t="str">
        <f>raw_data!C556</f>
        <v>Education and Training</v>
      </c>
      <c r="D556">
        <f>raw_data!G556</f>
        <v>14.61</v>
      </c>
      <c r="E556">
        <f>raw_data!H556</f>
        <v>1.55</v>
      </c>
      <c r="F556">
        <f>raw_data!I556</f>
        <v>12.12</v>
      </c>
      <c r="G556">
        <f>raw_data!J556</f>
        <v>0.95</v>
      </c>
      <c r="H556" t="str">
        <f t="shared" si="8"/>
        <v>Wage Pressure</v>
      </c>
    </row>
    <row r="557" spans="1:8" x14ac:dyDescent="0.2">
      <c r="A557" t="str">
        <f>raw_data!A557</f>
        <v>2017Q2</v>
      </c>
      <c r="B557" t="str">
        <f>raw_data!B557</f>
        <v>Victoria</v>
      </c>
      <c r="C557" t="str">
        <f>raw_data!C557</f>
        <v>Health Care and Social Assistance</v>
      </c>
      <c r="D557">
        <f>raw_data!G557</f>
        <v>22.17</v>
      </c>
      <c r="E557">
        <f>raw_data!H557</f>
        <v>4.54</v>
      </c>
      <c r="F557">
        <f>raw_data!I557</f>
        <v>13.27</v>
      </c>
      <c r="G557">
        <f>raw_data!J557</f>
        <v>4.3600000000000003</v>
      </c>
      <c r="H557" t="str">
        <f t="shared" si="8"/>
        <v>Wage Pressure</v>
      </c>
    </row>
    <row r="558" spans="1:8" x14ac:dyDescent="0.2">
      <c r="A558" t="str">
        <f>raw_data!A558</f>
        <v>2017Q2</v>
      </c>
      <c r="B558" t="str">
        <f>raw_data!B558</f>
        <v>Victoria</v>
      </c>
      <c r="C558" t="str">
        <f>raw_data!C558</f>
        <v>Manufacturing</v>
      </c>
      <c r="D558">
        <f>raw_data!G558</f>
        <v>13.94</v>
      </c>
      <c r="E558">
        <f>raw_data!H558</f>
        <v>2.86</v>
      </c>
      <c r="F558">
        <f>raw_data!I558</f>
        <v>9.81</v>
      </c>
      <c r="G558">
        <f>raw_data!J558</f>
        <v>1.27</v>
      </c>
      <c r="H558" t="str">
        <f t="shared" si="8"/>
        <v>Wage Pressure</v>
      </c>
    </row>
    <row r="559" spans="1:8" x14ac:dyDescent="0.2">
      <c r="A559" t="str">
        <f>raw_data!A559</f>
        <v>2017Q2</v>
      </c>
      <c r="B559" t="str">
        <f>raw_data!B559</f>
        <v>Victoria</v>
      </c>
      <c r="C559" t="str">
        <f>raw_data!C559</f>
        <v>Professional, Scientific and Technical Services</v>
      </c>
      <c r="D559">
        <f>raw_data!G559</f>
        <v>17.329999999999998</v>
      </c>
      <c r="E559">
        <f>raw_data!H559</f>
        <v>7.25</v>
      </c>
      <c r="F559">
        <f>raw_data!I559</f>
        <v>6.92</v>
      </c>
      <c r="G559">
        <f>raw_data!J559</f>
        <v>3.16</v>
      </c>
      <c r="H559" t="str">
        <f t="shared" si="8"/>
        <v>Vacancy Intensity</v>
      </c>
    </row>
    <row r="560" spans="1:8" x14ac:dyDescent="0.2">
      <c r="A560" t="str">
        <f>raw_data!A560</f>
        <v>2017Q3</v>
      </c>
      <c r="B560" t="str">
        <f>raw_data!B560</f>
        <v>New South Wales</v>
      </c>
      <c r="C560" t="str">
        <f>raw_data!C560</f>
        <v>Accommodation and Food Services</v>
      </c>
      <c r="D560">
        <f>raw_data!G560</f>
        <v>20.6</v>
      </c>
      <c r="E560">
        <f>raw_data!H560</f>
        <v>8.42</v>
      </c>
      <c r="F560">
        <f>raw_data!I560</f>
        <v>10.96</v>
      </c>
      <c r="G560">
        <f>raw_data!J560</f>
        <v>1.22</v>
      </c>
      <c r="H560" t="str">
        <f t="shared" si="8"/>
        <v>Wage Pressure</v>
      </c>
    </row>
    <row r="561" spans="1:8" x14ac:dyDescent="0.2">
      <c r="A561" t="str">
        <f>raw_data!A561</f>
        <v>2017Q3</v>
      </c>
      <c r="B561" t="str">
        <f>raw_data!B561</f>
        <v>New South Wales</v>
      </c>
      <c r="C561" t="str">
        <f>raw_data!C561</f>
        <v>Construction</v>
      </c>
      <c r="D561">
        <f>raw_data!G561</f>
        <v>13.44</v>
      </c>
      <c r="E561">
        <f>raw_data!H561</f>
        <v>3.41</v>
      </c>
      <c r="F561">
        <f>raw_data!I561</f>
        <v>8.65</v>
      </c>
      <c r="G561">
        <f>raw_data!J561</f>
        <v>1.38</v>
      </c>
      <c r="H561" t="str">
        <f t="shared" si="8"/>
        <v>Wage Pressure</v>
      </c>
    </row>
    <row r="562" spans="1:8" x14ac:dyDescent="0.2">
      <c r="A562" t="str">
        <f>raw_data!A562</f>
        <v>2017Q3</v>
      </c>
      <c r="B562" t="str">
        <f>raw_data!B562</f>
        <v>New South Wales</v>
      </c>
      <c r="C562" t="str">
        <f>raw_data!C562</f>
        <v>Education and Training</v>
      </c>
      <c r="D562">
        <f>raw_data!G562</f>
        <v>15.67</v>
      </c>
      <c r="E562">
        <f>raw_data!H562</f>
        <v>1.63</v>
      </c>
      <c r="F562">
        <f>raw_data!I562</f>
        <v>12.12</v>
      </c>
      <c r="G562">
        <f>raw_data!J562</f>
        <v>1.92</v>
      </c>
      <c r="H562" t="str">
        <f t="shared" si="8"/>
        <v>Wage Pressure</v>
      </c>
    </row>
    <row r="563" spans="1:8" x14ac:dyDescent="0.2">
      <c r="A563" t="str">
        <f>raw_data!A563</f>
        <v>2017Q3</v>
      </c>
      <c r="B563" t="str">
        <f>raw_data!B563</f>
        <v>New South Wales</v>
      </c>
      <c r="C563" t="str">
        <f>raw_data!C563</f>
        <v>Health Care and Social Assistance</v>
      </c>
      <c r="D563">
        <f>raw_data!G563</f>
        <v>23.25</v>
      </c>
      <c r="E563">
        <f>raw_data!H563</f>
        <v>4.4000000000000004</v>
      </c>
      <c r="F563">
        <f>raw_data!I563</f>
        <v>13.85</v>
      </c>
      <c r="G563">
        <f>raw_data!J563</f>
        <v>5.01</v>
      </c>
      <c r="H563" t="str">
        <f t="shared" si="8"/>
        <v>Wage Pressure</v>
      </c>
    </row>
    <row r="564" spans="1:8" x14ac:dyDescent="0.2">
      <c r="A564" t="str">
        <f>raw_data!A564</f>
        <v>2017Q3</v>
      </c>
      <c r="B564" t="str">
        <f>raw_data!B564</f>
        <v>New South Wales</v>
      </c>
      <c r="C564" t="str">
        <f>raw_data!C564</f>
        <v>Manufacturing</v>
      </c>
      <c r="D564">
        <f>raw_data!G564</f>
        <v>17.37</v>
      </c>
      <c r="E564">
        <f>raw_data!H564</f>
        <v>3.96</v>
      </c>
      <c r="F564">
        <f>raw_data!I564</f>
        <v>10.96</v>
      </c>
      <c r="G564">
        <f>raw_data!J564</f>
        <v>2.4500000000000002</v>
      </c>
      <c r="H564" t="str">
        <f t="shared" si="8"/>
        <v>Wage Pressure</v>
      </c>
    </row>
    <row r="565" spans="1:8" x14ac:dyDescent="0.2">
      <c r="A565" t="str">
        <f>raw_data!A565</f>
        <v>2017Q3</v>
      </c>
      <c r="B565" t="str">
        <f>raw_data!B565</f>
        <v>New South Wales</v>
      </c>
      <c r="C565" t="str">
        <f>raw_data!C565</f>
        <v>Professional, Scientific and Technical Services</v>
      </c>
      <c r="D565">
        <f>raw_data!G565</f>
        <v>17.07</v>
      </c>
      <c r="E565">
        <f>raw_data!H565</f>
        <v>6.32</v>
      </c>
      <c r="F565">
        <f>raw_data!I565</f>
        <v>6.92</v>
      </c>
      <c r="G565">
        <f>raw_data!J565</f>
        <v>3.83</v>
      </c>
      <c r="H565" t="str">
        <f t="shared" si="8"/>
        <v>Wage Pressure</v>
      </c>
    </row>
    <row r="566" spans="1:8" x14ac:dyDescent="0.2">
      <c r="A566" t="str">
        <f>raw_data!A566</f>
        <v>2017Q3</v>
      </c>
      <c r="B566" t="str">
        <f>raw_data!B566</f>
        <v>Queensland</v>
      </c>
      <c r="C566" t="str">
        <f>raw_data!C566</f>
        <v>Accommodation and Food Services</v>
      </c>
      <c r="D566">
        <f>raw_data!G566</f>
        <v>26.13</v>
      </c>
      <c r="E566">
        <f>raw_data!H566</f>
        <v>12.16</v>
      </c>
      <c r="F566">
        <f>raw_data!I566</f>
        <v>10.96</v>
      </c>
      <c r="G566">
        <f>raw_data!J566</f>
        <v>3.01</v>
      </c>
      <c r="H566" t="str">
        <f t="shared" si="8"/>
        <v>Vacancy Intensity</v>
      </c>
    </row>
    <row r="567" spans="1:8" x14ac:dyDescent="0.2">
      <c r="A567" t="str">
        <f>raw_data!A567</f>
        <v>2017Q3</v>
      </c>
      <c r="B567" t="str">
        <f>raw_data!B567</f>
        <v>Queensland</v>
      </c>
      <c r="C567" t="str">
        <f>raw_data!C567</f>
        <v>Construction</v>
      </c>
      <c r="D567">
        <f>raw_data!G567</f>
        <v>16.420000000000002</v>
      </c>
      <c r="E567">
        <f>raw_data!H567</f>
        <v>5.41</v>
      </c>
      <c r="F567">
        <f>raw_data!I567</f>
        <v>8.65</v>
      </c>
      <c r="G567">
        <f>raw_data!J567</f>
        <v>2.35</v>
      </c>
      <c r="H567" t="str">
        <f t="shared" si="8"/>
        <v>Wage Pressure</v>
      </c>
    </row>
    <row r="568" spans="1:8" x14ac:dyDescent="0.2">
      <c r="A568" t="str">
        <f>raw_data!A568</f>
        <v>2017Q3</v>
      </c>
      <c r="B568" t="str">
        <f>raw_data!B568</f>
        <v>Queensland</v>
      </c>
      <c r="C568" t="str">
        <f>raw_data!C568</f>
        <v>Education and Training</v>
      </c>
      <c r="D568">
        <f>raw_data!G568</f>
        <v>16.84</v>
      </c>
      <c r="E568">
        <f>raw_data!H568</f>
        <v>2.96</v>
      </c>
      <c r="F568">
        <f>raw_data!I568</f>
        <v>12.12</v>
      </c>
      <c r="G568">
        <f>raw_data!J568</f>
        <v>1.76</v>
      </c>
      <c r="H568" t="str">
        <f t="shared" si="8"/>
        <v>Wage Pressure</v>
      </c>
    </row>
    <row r="569" spans="1:8" x14ac:dyDescent="0.2">
      <c r="A569" t="str">
        <f>raw_data!A569</f>
        <v>2017Q3</v>
      </c>
      <c r="B569" t="str">
        <f>raw_data!B569</f>
        <v>Queensland</v>
      </c>
      <c r="C569" t="str">
        <f>raw_data!C569</f>
        <v>Health Care and Social Assistance</v>
      </c>
      <c r="D569">
        <f>raw_data!G569</f>
        <v>24.47</v>
      </c>
      <c r="E569">
        <f>raw_data!H569</f>
        <v>6.99</v>
      </c>
      <c r="F569">
        <f>raw_data!I569</f>
        <v>13.85</v>
      </c>
      <c r="G569">
        <f>raw_data!J569</f>
        <v>3.64</v>
      </c>
      <c r="H569" t="str">
        <f t="shared" si="8"/>
        <v>Wage Pressure</v>
      </c>
    </row>
    <row r="570" spans="1:8" x14ac:dyDescent="0.2">
      <c r="A570" t="str">
        <f>raw_data!A570</f>
        <v>2017Q3</v>
      </c>
      <c r="B570" t="str">
        <f>raw_data!B570</f>
        <v>Queensland</v>
      </c>
      <c r="C570" t="str">
        <f>raw_data!C570</f>
        <v>Manufacturing</v>
      </c>
      <c r="D570">
        <f>raw_data!G570</f>
        <v>22.85</v>
      </c>
      <c r="E570">
        <f>raw_data!H570</f>
        <v>7.1</v>
      </c>
      <c r="F570">
        <f>raw_data!I570</f>
        <v>10.96</v>
      </c>
      <c r="G570">
        <f>raw_data!J570</f>
        <v>4.78</v>
      </c>
      <c r="H570" t="str">
        <f t="shared" si="8"/>
        <v>Wage Pressure</v>
      </c>
    </row>
    <row r="571" spans="1:8" x14ac:dyDescent="0.2">
      <c r="A571" t="str">
        <f>raw_data!A571</f>
        <v>2017Q3</v>
      </c>
      <c r="B571" t="str">
        <f>raw_data!B571</f>
        <v>Queensland</v>
      </c>
      <c r="C571" t="str">
        <f>raw_data!C571</f>
        <v>Professional, Scientific and Technical Services</v>
      </c>
      <c r="D571">
        <f>raw_data!G571</f>
        <v>29.66</v>
      </c>
      <c r="E571">
        <f>raw_data!H571</f>
        <v>15.16</v>
      </c>
      <c r="F571">
        <f>raw_data!I571</f>
        <v>6.92</v>
      </c>
      <c r="G571">
        <f>raw_data!J571</f>
        <v>7.58</v>
      </c>
      <c r="H571" t="str">
        <f t="shared" si="8"/>
        <v>Vacancy Intensity</v>
      </c>
    </row>
    <row r="572" spans="1:8" x14ac:dyDescent="0.2">
      <c r="A572" t="str">
        <f>raw_data!A572</f>
        <v>2017Q3</v>
      </c>
      <c r="B572" t="str">
        <f>raw_data!B572</f>
        <v>Victoria</v>
      </c>
      <c r="C572" t="str">
        <f>raw_data!C572</f>
        <v>Accommodation and Food Services</v>
      </c>
      <c r="D572">
        <f>raw_data!G572</f>
        <v>22.41</v>
      </c>
      <c r="E572">
        <f>raw_data!H572</f>
        <v>9.93</v>
      </c>
      <c r="F572">
        <f>raw_data!I572</f>
        <v>10.96</v>
      </c>
      <c r="G572">
        <f>raw_data!J572</f>
        <v>1.52</v>
      </c>
      <c r="H572" t="str">
        <f t="shared" si="8"/>
        <v>Wage Pressure</v>
      </c>
    </row>
    <row r="573" spans="1:8" x14ac:dyDescent="0.2">
      <c r="A573" t="str">
        <f>raw_data!A573</f>
        <v>2017Q3</v>
      </c>
      <c r="B573" t="str">
        <f>raw_data!B573</f>
        <v>Victoria</v>
      </c>
      <c r="C573" t="str">
        <f>raw_data!C573</f>
        <v>Construction</v>
      </c>
      <c r="D573">
        <f>raw_data!G573</f>
        <v>15.33</v>
      </c>
      <c r="E573">
        <f>raw_data!H573</f>
        <v>4.5</v>
      </c>
      <c r="F573">
        <f>raw_data!I573</f>
        <v>8.65</v>
      </c>
      <c r="G573">
        <f>raw_data!J573</f>
        <v>2.1800000000000002</v>
      </c>
      <c r="H573" t="str">
        <f t="shared" si="8"/>
        <v>Wage Pressure</v>
      </c>
    </row>
    <row r="574" spans="1:8" x14ac:dyDescent="0.2">
      <c r="A574" t="str">
        <f>raw_data!A574</f>
        <v>2017Q3</v>
      </c>
      <c r="B574" t="str">
        <f>raw_data!B574</f>
        <v>Victoria</v>
      </c>
      <c r="C574" t="str">
        <f>raw_data!C574</f>
        <v>Education and Training</v>
      </c>
      <c r="D574">
        <f>raw_data!G574</f>
        <v>15.89</v>
      </c>
      <c r="E574">
        <f>raw_data!H574</f>
        <v>2.2599999999999998</v>
      </c>
      <c r="F574">
        <f>raw_data!I574</f>
        <v>12.12</v>
      </c>
      <c r="G574">
        <f>raw_data!J574</f>
        <v>1.51</v>
      </c>
      <c r="H574" t="str">
        <f t="shared" si="8"/>
        <v>Wage Pressure</v>
      </c>
    </row>
    <row r="575" spans="1:8" x14ac:dyDescent="0.2">
      <c r="A575" t="str">
        <f>raw_data!A575</f>
        <v>2017Q3</v>
      </c>
      <c r="B575" t="str">
        <f>raw_data!B575</f>
        <v>Victoria</v>
      </c>
      <c r="C575" t="str">
        <f>raw_data!C575</f>
        <v>Health Care and Social Assistance</v>
      </c>
      <c r="D575">
        <f>raw_data!G575</f>
        <v>25.01</v>
      </c>
      <c r="E575">
        <f>raw_data!H575</f>
        <v>5.5</v>
      </c>
      <c r="F575">
        <f>raw_data!I575</f>
        <v>13.85</v>
      </c>
      <c r="G575">
        <f>raw_data!J575</f>
        <v>5.67</v>
      </c>
      <c r="H575" t="str">
        <f t="shared" si="8"/>
        <v>Wage Pressure</v>
      </c>
    </row>
    <row r="576" spans="1:8" x14ac:dyDescent="0.2">
      <c r="A576" t="str">
        <f>raw_data!A576</f>
        <v>2017Q3</v>
      </c>
      <c r="B576" t="str">
        <f>raw_data!B576</f>
        <v>Victoria</v>
      </c>
      <c r="C576" t="str">
        <f>raw_data!C576</f>
        <v>Manufacturing</v>
      </c>
      <c r="D576">
        <f>raw_data!G576</f>
        <v>15.71</v>
      </c>
      <c r="E576">
        <f>raw_data!H576</f>
        <v>3.58</v>
      </c>
      <c r="F576">
        <f>raw_data!I576</f>
        <v>10.96</v>
      </c>
      <c r="G576">
        <f>raw_data!J576</f>
        <v>1.17</v>
      </c>
      <c r="H576" t="str">
        <f t="shared" si="8"/>
        <v>Wage Pressure</v>
      </c>
    </row>
    <row r="577" spans="1:8" x14ac:dyDescent="0.2">
      <c r="A577" t="str">
        <f>raw_data!A577</f>
        <v>2017Q3</v>
      </c>
      <c r="B577" t="str">
        <f>raw_data!B577</f>
        <v>Victoria</v>
      </c>
      <c r="C577" t="str">
        <f>raw_data!C577</f>
        <v>Professional, Scientific and Technical Services</v>
      </c>
      <c r="D577">
        <f>raw_data!G577</f>
        <v>19.2</v>
      </c>
      <c r="E577">
        <f>raw_data!H577</f>
        <v>8.8000000000000007</v>
      </c>
      <c r="F577">
        <f>raw_data!I577</f>
        <v>6.92</v>
      </c>
      <c r="G577">
        <f>raw_data!J577</f>
        <v>3.48</v>
      </c>
      <c r="H577" t="str">
        <f t="shared" si="8"/>
        <v>Vacancy Intensity</v>
      </c>
    </row>
    <row r="578" spans="1:8" x14ac:dyDescent="0.2">
      <c r="A578" t="str">
        <f>raw_data!A578</f>
        <v>2017Q4</v>
      </c>
      <c r="B578" t="str">
        <f>raw_data!B578</f>
        <v>New South Wales</v>
      </c>
      <c r="C578" t="str">
        <f>raw_data!C578</f>
        <v>Accommodation and Food Services</v>
      </c>
      <c r="D578">
        <f>raw_data!G578</f>
        <v>20.56</v>
      </c>
      <c r="E578">
        <f>raw_data!H578</f>
        <v>9.1</v>
      </c>
      <c r="F578">
        <f>raw_data!I578</f>
        <v>9.81</v>
      </c>
      <c r="G578">
        <f>raw_data!J578</f>
        <v>1.65</v>
      </c>
      <c r="H578" t="str">
        <f t="shared" si="8"/>
        <v>Wage Pressure</v>
      </c>
    </row>
    <row r="579" spans="1:8" x14ac:dyDescent="0.2">
      <c r="A579" t="str">
        <f>raw_data!A579</f>
        <v>2017Q4</v>
      </c>
      <c r="B579" t="str">
        <f>raw_data!B579</f>
        <v>New South Wales</v>
      </c>
      <c r="C579" t="str">
        <f>raw_data!C579</f>
        <v>Construction</v>
      </c>
      <c r="D579">
        <f>raw_data!G579</f>
        <v>13.99</v>
      </c>
      <c r="E579">
        <f>raw_data!H579</f>
        <v>3.27</v>
      </c>
      <c r="F579">
        <f>raw_data!I579</f>
        <v>9.23</v>
      </c>
      <c r="G579">
        <f>raw_data!J579</f>
        <v>1.48</v>
      </c>
      <c r="H579" t="str">
        <f t="shared" ref="H579:H642" si="9">IF(AND(E579&gt;=F579,E579&gt;=G579),"Vacancy Intensity",IF(F579&gt;=G579,"Wage Pressure","Labour Tightness"))</f>
        <v>Wage Pressure</v>
      </c>
    </row>
    <row r="580" spans="1:8" x14ac:dyDescent="0.2">
      <c r="A580" t="str">
        <f>raw_data!A580</f>
        <v>2017Q4</v>
      </c>
      <c r="B580" t="str">
        <f>raw_data!B580</f>
        <v>New South Wales</v>
      </c>
      <c r="C580" t="str">
        <f>raw_data!C580</f>
        <v>Education and Training</v>
      </c>
      <c r="D580">
        <f>raw_data!G580</f>
        <v>14.65</v>
      </c>
      <c r="E580">
        <f>raw_data!H580</f>
        <v>1.0900000000000001</v>
      </c>
      <c r="F580">
        <f>raw_data!I580</f>
        <v>12.12</v>
      </c>
      <c r="G580">
        <f>raw_data!J580</f>
        <v>1.45</v>
      </c>
      <c r="H580" t="str">
        <f t="shared" si="9"/>
        <v>Wage Pressure</v>
      </c>
    </row>
    <row r="581" spans="1:8" x14ac:dyDescent="0.2">
      <c r="A581" t="str">
        <f>raw_data!A581</f>
        <v>2017Q4</v>
      </c>
      <c r="B581" t="str">
        <f>raw_data!B581</f>
        <v>New South Wales</v>
      </c>
      <c r="C581" t="str">
        <f>raw_data!C581</f>
        <v>Health Care and Social Assistance</v>
      </c>
      <c r="D581">
        <f>raw_data!G581</f>
        <v>23.77</v>
      </c>
      <c r="E581">
        <f>raw_data!H581</f>
        <v>4.04</v>
      </c>
      <c r="F581">
        <f>raw_data!I581</f>
        <v>14.42</v>
      </c>
      <c r="G581">
        <f>raw_data!J581</f>
        <v>5.31</v>
      </c>
      <c r="H581" t="str">
        <f t="shared" si="9"/>
        <v>Wage Pressure</v>
      </c>
    </row>
    <row r="582" spans="1:8" x14ac:dyDescent="0.2">
      <c r="A582" t="str">
        <f>raw_data!A582</f>
        <v>2017Q4</v>
      </c>
      <c r="B582" t="str">
        <f>raw_data!B582</f>
        <v>New South Wales</v>
      </c>
      <c r="C582" t="str">
        <f>raw_data!C582</f>
        <v>Manufacturing</v>
      </c>
      <c r="D582">
        <f>raw_data!G582</f>
        <v>18.48</v>
      </c>
      <c r="E582">
        <f>raw_data!H582</f>
        <v>4.58</v>
      </c>
      <c r="F582">
        <f>raw_data!I582</f>
        <v>11.54</v>
      </c>
      <c r="G582">
        <f>raw_data!J582</f>
        <v>2.36</v>
      </c>
      <c r="H582" t="str">
        <f t="shared" si="9"/>
        <v>Wage Pressure</v>
      </c>
    </row>
    <row r="583" spans="1:8" x14ac:dyDescent="0.2">
      <c r="A583" t="str">
        <f>raw_data!A583</f>
        <v>2017Q4</v>
      </c>
      <c r="B583" t="str">
        <f>raw_data!B583</f>
        <v>New South Wales</v>
      </c>
      <c r="C583" t="str">
        <f>raw_data!C583</f>
        <v>Professional, Scientific and Technical Services</v>
      </c>
      <c r="D583">
        <f>raw_data!G583</f>
        <v>19.62</v>
      </c>
      <c r="E583">
        <f>raw_data!H583</f>
        <v>6.01</v>
      </c>
      <c r="F583">
        <f>raw_data!I583</f>
        <v>9.23</v>
      </c>
      <c r="G583">
        <f>raw_data!J583</f>
        <v>4.38</v>
      </c>
      <c r="H583" t="str">
        <f t="shared" si="9"/>
        <v>Wage Pressure</v>
      </c>
    </row>
    <row r="584" spans="1:8" x14ac:dyDescent="0.2">
      <c r="A584" t="str">
        <f>raw_data!A584</f>
        <v>2017Q4</v>
      </c>
      <c r="B584" t="str">
        <f>raw_data!B584</f>
        <v>Queensland</v>
      </c>
      <c r="C584" t="str">
        <f>raw_data!C584</f>
        <v>Accommodation and Food Services</v>
      </c>
      <c r="D584">
        <f>raw_data!G584</f>
        <v>24.89</v>
      </c>
      <c r="E584">
        <f>raw_data!H584</f>
        <v>12.94</v>
      </c>
      <c r="F584">
        <f>raw_data!I584</f>
        <v>9.81</v>
      </c>
      <c r="G584">
        <f>raw_data!J584</f>
        <v>2.15</v>
      </c>
      <c r="H584" t="str">
        <f t="shared" si="9"/>
        <v>Vacancy Intensity</v>
      </c>
    </row>
    <row r="585" spans="1:8" x14ac:dyDescent="0.2">
      <c r="A585" t="str">
        <f>raw_data!A585</f>
        <v>2017Q4</v>
      </c>
      <c r="B585" t="str">
        <f>raw_data!B585</f>
        <v>Queensland</v>
      </c>
      <c r="C585" t="str">
        <f>raw_data!C585</f>
        <v>Construction</v>
      </c>
      <c r="D585">
        <f>raw_data!G585</f>
        <v>17.11</v>
      </c>
      <c r="E585">
        <f>raw_data!H585</f>
        <v>5.76</v>
      </c>
      <c r="F585">
        <f>raw_data!I585</f>
        <v>9.23</v>
      </c>
      <c r="G585">
        <f>raw_data!J585</f>
        <v>2.12</v>
      </c>
      <c r="H585" t="str">
        <f t="shared" si="9"/>
        <v>Wage Pressure</v>
      </c>
    </row>
    <row r="586" spans="1:8" x14ac:dyDescent="0.2">
      <c r="A586" t="str">
        <f>raw_data!A586</f>
        <v>2017Q4</v>
      </c>
      <c r="B586" t="str">
        <f>raw_data!B586</f>
        <v>Queensland</v>
      </c>
      <c r="C586" t="str">
        <f>raw_data!C586</f>
        <v>Education and Training</v>
      </c>
      <c r="D586">
        <f>raw_data!G586</f>
        <v>16.2</v>
      </c>
      <c r="E586">
        <f>raw_data!H586</f>
        <v>2.41</v>
      </c>
      <c r="F586">
        <f>raw_data!I586</f>
        <v>12.12</v>
      </c>
      <c r="G586">
        <f>raw_data!J586</f>
        <v>1.67</v>
      </c>
      <c r="H586" t="str">
        <f t="shared" si="9"/>
        <v>Wage Pressure</v>
      </c>
    </row>
    <row r="587" spans="1:8" x14ac:dyDescent="0.2">
      <c r="A587" t="str">
        <f>raw_data!A587</f>
        <v>2017Q4</v>
      </c>
      <c r="B587" t="str">
        <f>raw_data!B587</f>
        <v>Queensland</v>
      </c>
      <c r="C587" t="str">
        <f>raw_data!C587</f>
        <v>Health Care and Social Assistance</v>
      </c>
      <c r="D587">
        <f>raw_data!G587</f>
        <v>25.87</v>
      </c>
      <c r="E587">
        <f>raw_data!H587</f>
        <v>6.72</v>
      </c>
      <c r="F587">
        <f>raw_data!I587</f>
        <v>14.42</v>
      </c>
      <c r="G587">
        <f>raw_data!J587</f>
        <v>4.72</v>
      </c>
      <c r="H587" t="str">
        <f t="shared" si="9"/>
        <v>Wage Pressure</v>
      </c>
    </row>
    <row r="588" spans="1:8" x14ac:dyDescent="0.2">
      <c r="A588" t="str">
        <f>raw_data!A588</f>
        <v>2017Q4</v>
      </c>
      <c r="B588" t="str">
        <f>raw_data!B588</f>
        <v>Queensland</v>
      </c>
      <c r="C588" t="str">
        <f>raw_data!C588</f>
        <v>Manufacturing</v>
      </c>
      <c r="D588">
        <f>raw_data!G588</f>
        <v>23.42</v>
      </c>
      <c r="E588">
        <f>raw_data!H588</f>
        <v>8.08</v>
      </c>
      <c r="F588">
        <f>raw_data!I588</f>
        <v>11.54</v>
      </c>
      <c r="G588">
        <f>raw_data!J588</f>
        <v>3.8</v>
      </c>
      <c r="H588" t="str">
        <f t="shared" si="9"/>
        <v>Wage Pressure</v>
      </c>
    </row>
    <row r="589" spans="1:8" x14ac:dyDescent="0.2">
      <c r="A589" t="str">
        <f>raw_data!A589</f>
        <v>2017Q4</v>
      </c>
      <c r="B589" t="str">
        <f>raw_data!B589</f>
        <v>Queensland</v>
      </c>
      <c r="C589" t="str">
        <f>raw_data!C589</f>
        <v>Professional, Scientific and Technical Services</v>
      </c>
      <c r="D589">
        <f>raw_data!G589</f>
        <v>38.090000000000003</v>
      </c>
      <c r="E589">
        <f>raw_data!H589</f>
        <v>14.06</v>
      </c>
      <c r="F589">
        <f>raw_data!I589</f>
        <v>9.23</v>
      </c>
      <c r="G589">
        <f>raw_data!J589</f>
        <v>14.8</v>
      </c>
      <c r="H589" t="str">
        <f t="shared" si="9"/>
        <v>Labour Tightness</v>
      </c>
    </row>
    <row r="590" spans="1:8" x14ac:dyDescent="0.2">
      <c r="A590" t="str">
        <f>raw_data!A590</f>
        <v>2017Q4</v>
      </c>
      <c r="B590" t="str">
        <f>raw_data!B590</f>
        <v>Victoria</v>
      </c>
      <c r="C590" t="str">
        <f>raw_data!C590</f>
        <v>Accommodation and Food Services</v>
      </c>
      <c r="D590">
        <f>raw_data!G590</f>
        <v>21.34</v>
      </c>
      <c r="E590">
        <f>raw_data!H590</f>
        <v>9.75</v>
      </c>
      <c r="F590">
        <f>raw_data!I590</f>
        <v>9.81</v>
      </c>
      <c r="G590">
        <f>raw_data!J590</f>
        <v>1.78</v>
      </c>
      <c r="H590" t="str">
        <f t="shared" si="9"/>
        <v>Wage Pressure</v>
      </c>
    </row>
    <row r="591" spans="1:8" x14ac:dyDescent="0.2">
      <c r="A591" t="str">
        <f>raw_data!A591</f>
        <v>2017Q4</v>
      </c>
      <c r="B591" t="str">
        <f>raw_data!B591</f>
        <v>Victoria</v>
      </c>
      <c r="C591" t="str">
        <f>raw_data!C591</f>
        <v>Construction</v>
      </c>
      <c r="D591">
        <f>raw_data!G591</f>
        <v>17.28</v>
      </c>
      <c r="E591">
        <f>raw_data!H591</f>
        <v>4.5599999999999996</v>
      </c>
      <c r="F591">
        <f>raw_data!I591</f>
        <v>9.23</v>
      </c>
      <c r="G591">
        <f>raw_data!J591</f>
        <v>3.49</v>
      </c>
      <c r="H591" t="str">
        <f t="shared" si="9"/>
        <v>Wage Pressure</v>
      </c>
    </row>
    <row r="592" spans="1:8" x14ac:dyDescent="0.2">
      <c r="A592" t="str">
        <f>raw_data!A592</f>
        <v>2017Q4</v>
      </c>
      <c r="B592" t="str">
        <f>raw_data!B592</f>
        <v>Victoria</v>
      </c>
      <c r="C592" t="str">
        <f>raw_data!C592</f>
        <v>Education and Training</v>
      </c>
      <c r="D592">
        <f>raw_data!G592</f>
        <v>17.079999999999998</v>
      </c>
      <c r="E592">
        <f>raw_data!H592</f>
        <v>1.53</v>
      </c>
      <c r="F592">
        <f>raw_data!I592</f>
        <v>12.12</v>
      </c>
      <c r="G592">
        <f>raw_data!J592</f>
        <v>3.44</v>
      </c>
      <c r="H592" t="str">
        <f t="shared" si="9"/>
        <v>Wage Pressure</v>
      </c>
    </row>
    <row r="593" spans="1:8" x14ac:dyDescent="0.2">
      <c r="A593" t="str">
        <f>raw_data!A593</f>
        <v>2017Q4</v>
      </c>
      <c r="B593" t="str">
        <f>raw_data!B593</f>
        <v>Victoria</v>
      </c>
      <c r="C593" t="str">
        <f>raw_data!C593</f>
        <v>Health Care and Social Assistance</v>
      </c>
      <c r="D593">
        <f>raw_data!G593</f>
        <v>24.39</v>
      </c>
      <c r="E593">
        <f>raw_data!H593</f>
        <v>5.65</v>
      </c>
      <c r="F593">
        <f>raw_data!I593</f>
        <v>14.42</v>
      </c>
      <c r="G593">
        <f>raw_data!J593</f>
        <v>4.32</v>
      </c>
      <c r="H593" t="str">
        <f t="shared" si="9"/>
        <v>Wage Pressure</v>
      </c>
    </row>
    <row r="594" spans="1:8" x14ac:dyDescent="0.2">
      <c r="A594" t="str">
        <f>raw_data!A594</f>
        <v>2017Q4</v>
      </c>
      <c r="B594" t="str">
        <f>raw_data!B594</f>
        <v>Victoria</v>
      </c>
      <c r="C594" t="str">
        <f>raw_data!C594</f>
        <v>Manufacturing</v>
      </c>
      <c r="D594">
        <f>raw_data!G594</f>
        <v>17.28</v>
      </c>
      <c r="E594">
        <f>raw_data!H594</f>
        <v>4.24</v>
      </c>
      <c r="F594">
        <f>raw_data!I594</f>
        <v>11.54</v>
      </c>
      <c r="G594">
        <f>raw_data!J594</f>
        <v>1.5</v>
      </c>
      <c r="H594" t="str">
        <f t="shared" si="9"/>
        <v>Wage Pressure</v>
      </c>
    </row>
    <row r="595" spans="1:8" x14ac:dyDescent="0.2">
      <c r="A595" t="str">
        <f>raw_data!A595</f>
        <v>2017Q4</v>
      </c>
      <c r="B595" t="str">
        <f>raw_data!B595</f>
        <v>Victoria</v>
      </c>
      <c r="C595" t="str">
        <f>raw_data!C595</f>
        <v>Professional, Scientific and Technical Services</v>
      </c>
      <c r="D595">
        <f>raw_data!G595</f>
        <v>19.510000000000002</v>
      </c>
      <c r="E595">
        <f>raw_data!H595</f>
        <v>7.11</v>
      </c>
      <c r="F595">
        <f>raw_data!I595</f>
        <v>9.23</v>
      </c>
      <c r="G595">
        <f>raw_data!J595</f>
        <v>3.17</v>
      </c>
      <c r="H595" t="str">
        <f t="shared" si="9"/>
        <v>Wage Pressure</v>
      </c>
    </row>
    <row r="596" spans="1:8" x14ac:dyDescent="0.2">
      <c r="A596" t="str">
        <f>raw_data!A596</f>
        <v>2018Q1</v>
      </c>
      <c r="B596" t="str">
        <f>raw_data!B596</f>
        <v>New South Wales</v>
      </c>
      <c r="C596" t="str">
        <f>raw_data!C596</f>
        <v>Accommodation and Food Services</v>
      </c>
      <c r="D596">
        <f>raw_data!G596</f>
        <v>19.649999999999999</v>
      </c>
      <c r="E596">
        <f>raw_data!H596</f>
        <v>8.1</v>
      </c>
      <c r="F596">
        <f>raw_data!I596</f>
        <v>10.38</v>
      </c>
      <c r="G596">
        <f>raw_data!J596</f>
        <v>1.17</v>
      </c>
      <c r="H596" t="str">
        <f t="shared" si="9"/>
        <v>Wage Pressure</v>
      </c>
    </row>
    <row r="597" spans="1:8" x14ac:dyDescent="0.2">
      <c r="A597" t="str">
        <f>raw_data!A597</f>
        <v>2018Q1</v>
      </c>
      <c r="B597" t="str">
        <f>raw_data!B597</f>
        <v>New South Wales</v>
      </c>
      <c r="C597" t="str">
        <f>raw_data!C597</f>
        <v>Construction</v>
      </c>
      <c r="D597">
        <f>raw_data!G597</f>
        <v>13.42</v>
      </c>
      <c r="E597">
        <f>raw_data!H597</f>
        <v>3.4</v>
      </c>
      <c r="F597">
        <f>raw_data!I597</f>
        <v>8.65</v>
      </c>
      <c r="G597">
        <f>raw_data!J597</f>
        <v>1.37</v>
      </c>
      <c r="H597" t="str">
        <f t="shared" si="9"/>
        <v>Wage Pressure</v>
      </c>
    </row>
    <row r="598" spans="1:8" x14ac:dyDescent="0.2">
      <c r="A598" t="str">
        <f>raw_data!A598</f>
        <v>2018Q1</v>
      </c>
      <c r="B598" t="str">
        <f>raw_data!B598</f>
        <v>New South Wales</v>
      </c>
      <c r="C598" t="str">
        <f>raw_data!C598</f>
        <v>Education and Training</v>
      </c>
      <c r="D598">
        <f>raw_data!G598</f>
        <v>14.41</v>
      </c>
      <c r="E598">
        <f>raw_data!H598</f>
        <v>1.52</v>
      </c>
      <c r="F598">
        <f>raw_data!I598</f>
        <v>12.12</v>
      </c>
      <c r="G598">
        <f>raw_data!J598</f>
        <v>0.78</v>
      </c>
      <c r="H598" t="str">
        <f t="shared" si="9"/>
        <v>Wage Pressure</v>
      </c>
    </row>
    <row r="599" spans="1:8" x14ac:dyDescent="0.2">
      <c r="A599" t="str">
        <f>raw_data!A599</f>
        <v>2018Q1</v>
      </c>
      <c r="B599" t="str">
        <f>raw_data!B599</f>
        <v>New South Wales</v>
      </c>
      <c r="C599" t="str">
        <f>raw_data!C599</f>
        <v>Health Care and Social Assistance</v>
      </c>
      <c r="D599">
        <f>raw_data!G599</f>
        <v>22.11</v>
      </c>
      <c r="E599">
        <f>raw_data!H599</f>
        <v>4.22</v>
      </c>
      <c r="F599">
        <f>raw_data!I599</f>
        <v>13.85</v>
      </c>
      <c r="G599">
        <f>raw_data!J599</f>
        <v>4.04</v>
      </c>
      <c r="H599" t="str">
        <f t="shared" si="9"/>
        <v>Wage Pressure</v>
      </c>
    </row>
    <row r="600" spans="1:8" x14ac:dyDescent="0.2">
      <c r="A600" t="str">
        <f>raw_data!A600</f>
        <v>2018Q1</v>
      </c>
      <c r="B600" t="str">
        <f>raw_data!B600</f>
        <v>New South Wales</v>
      </c>
      <c r="C600" t="str">
        <f>raw_data!C600</f>
        <v>Manufacturing</v>
      </c>
      <c r="D600">
        <f>raw_data!G600</f>
        <v>19.690000000000001</v>
      </c>
      <c r="E600">
        <f>raw_data!H600</f>
        <v>4.3899999999999997</v>
      </c>
      <c r="F600">
        <f>raw_data!I600</f>
        <v>10.96</v>
      </c>
      <c r="G600">
        <f>raw_data!J600</f>
        <v>4.34</v>
      </c>
      <c r="H600" t="str">
        <f t="shared" si="9"/>
        <v>Wage Pressure</v>
      </c>
    </row>
    <row r="601" spans="1:8" x14ac:dyDescent="0.2">
      <c r="A601" t="str">
        <f>raw_data!A601</f>
        <v>2018Q1</v>
      </c>
      <c r="B601" t="str">
        <f>raw_data!B601</f>
        <v>New South Wales</v>
      </c>
      <c r="C601" t="str">
        <f>raw_data!C601</f>
        <v>Professional, Scientific and Technical Services</v>
      </c>
      <c r="D601">
        <f>raw_data!G601</f>
        <v>18.64</v>
      </c>
      <c r="E601">
        <f>raw_data!H601</f>
        <v>6.89</v>
      </c>
      <c r="F601">
        <f>raw_data!I601</f>
        <v>8.08</v>
      </c>
      <c r="G601">
        <f>raw_data!J601</f>
        <v>3.67</v>
      </c>
      <c r="H601" t="str">
        <f t="shared" si="9"/>
        <v>Wage Pressure</v>
      </c>
    </row>
    <row r="602" spans="1:8" x14ac:dyDescent="0.2">
      <c r="A602" t="str">
        <f>raw_data!A602</f>
        <v>2018Q1</v>
      </c>
      <c r="B602" t="str">
        <f>raw_data!B602</f>
        <v>Queensland</v>
      </c>
      <c r="C602" t="str">
        <f>raw_data!C602</f>
        <v>Accommodation and Food Services</v>
      </c>
      <c r="D602">
        <f>raw_data!G602</f>
        <v>24.09</v>
      </c>
      <c r="E602">
        <f>raw_data!H602</f>
        <v>12.46</v>
      </c>
      <c r="F602">
        <f>raw_data!I602</f>
        <v>10.38</v>
      </c>
      <c r="G602">
        <f>raw_data!J602</f>
        <v>1.24</v>
      </c>
      <c r="H602" t="str">
        <f t="shared" si="9"/>
        <v>Vacancy Intensity</v>
      </c>
    </row>
    <row r="603" spans="1:8" x14ac:dyDescent="0.2">
      <c r="A603" t="str">
        <f>raw_data!A603</f>
        <v>2018Q1</v>
      </c>
      <c r="B603" t="str">
        <f>raw_data!B603</f>
        <v>Queensland</v>
      </c>
      <c r="C603" t="str">
        <f>raw_data!C603</f>
        <v>Construction</v>
      </c>
      <c r="D603">
        <f>raw_data!G603</f>
        <v>16.45</v>
      </c>
      <c r="E603">
        <f>raw_data!H603</f>
        <v>6.05</v>
      </c>
      <c r="F603">
        <f>raw_data!I603</f>
        <v>8.65</v>
      </c>
      <c r="G603">
        <f>raw_data!J603</f>
        <v>1.74</v>
      </c>
      <c r="H603" t="str">
        <f t="shared" si="9"/>
        <v>Wage Pressure</v>
      </c>
    </row>
    <row r="604" spans="1:8" x14ac:dyDescent="0.2">
      <c r="A604" t="str">
        <f>raw_data!A604</f>
        <v>2018Q1</v>
      </c>
      <c r="B604" t="str">
        <f>raw_data!B604</f>
        <v>Queensland</v>
      </c>
      <c r="C604" t="str">
        <f>raw_data!C604</f>
        <v>Education and Training</v>
      </c>
      <c r="D604">
        <f>raw_data!G604</f>
        <v>16.010000000000002</v>
      </c>
      <c r="E604">
        <f>raw_data!H604</f>
        <v>3.06</v>
      </c>
      <c r="F604">
        <f>raw_data!I604</f>
        <v>12.12</v>
      </c>
      <c r="G604">
        <f>raw_data!J604</f>
        <v>0.84</v>
      </c>
      <c r="H604" t="str">
        <f t="shared" si="9"/>
        <v>Wage Pressure</v>
      </c>
    </row>
    <row r="605" spans="1:8" x14ac:dyDescent="0.2">
      <c r="A605" t="str">
        <f>raw_data!A605</f>
        <v>2018Q1</v>
      </c>
      <c r="B605" t="str">
        <f>raw_data!B605</f>
        <v>Queensland</v>
      </c>
      <c r="C605" t="str">
        <f>raw_data!C605</f>
        <v>Health Care and Social Assistance</v>
      </c>
      <c r="D605">
        <f>raw_data!G605</f>
        <v>24.18</v>
      </c>
      <c r="E605">
        <f>raw_data!H605</f>
        <v>6.5</v>
      </c>
      <c r="F605">
        <f>raw_data!I605</f>
        <v>13.85</v>
      </c>
      <c r="G605">
        <f>raw_data!J605</f>
        <v>3.83</v>
      </c>
      <c r="H605" t="str">
        <f t="shared" si="9"/>
        <v>Wage Pressure</v>
      </c>
    </row>
    <row r="606" spans="1:8" x14ac:dyDescent="0.2">
      <c r="A606" t="str">
        <f>raw_data!A606</f>
        <v>2018Q1</v>
      </c>
      <c r="B606" t="str">
        <f>raw_data!B606</f>
        <v>Queensland</v>
      </c>
      <c r="C606" t="str">
        <f>raw_data!C606</f>
        <v>Manufacturing</v>
      </c>
      <c r="D606">
        <f>raw_data!G606</f>
        <v>21.21</v>
      </c>
      <c r="E606">
        <f>raw_data!H606</f>
        <v>6.85</v>
      </c>
      <c r="F606">
        <f>raw_data!I606</f>
        <v>10.96</v>
      </c>
      <c r="G606">
        <f>raw_data!J606</f>
        <v>3.39</v>
      </c>
      <c r="H606" t="str">
        <f t="shared" si="9"/>
        <v>Wage Pressure</v>
      </c>
    </row>
    <row r="607" spans="1:8" x14ac:dyDescent="0.2">
      <c r="A607" t="str">
        <f>raw_data!A607</f>
        <v>2018Q1</v>
      </c>
      <c r="B607" t="str">
        <f>raw_data!B607</f>
        <v>Queensland</v>
      </c>
      <c r="C607" t="str">
        <f>raw_data!C607</f>
        <v>Professional, Scientific and Technical Services</v>
      </c>
      <c r="D607">
        <f>raw_data!G607</f>
        <v>33.01</v>
      </c>
      <c r="E607">
        <f>raw_data!H607</f>
        <v>15.81</v>
      </c>
      <c r="F607">
        <f>raw_data!I607</f>
        <v>8.08</v>
      </c>
      <c r="G607">
        <f>raw_data!J607</f>
        <v>9.1199999999999992</v>
      </c>
      <c r="H607" t="str">
        <f t="shared" si="9"/>
        <v>Vacancy Intensity</v>
      </c>
    </row>
    <row r="608" spans="1:8" x14ac:dyDescent="0.2">
      <c r="A608" t="str">
        <f>raw_data!A608</f>
        <v>2018Q1</v>
      </c>
      <c r="B608" t="str">
        <f>raw_data!B608</f>
        <v>Victoria</v>
      </c>
      <c r="C608" t="str">
        <f>raw_data!C608</f>
        <v>Accommodation and Food Services</v>
      </c>
      <c r="D608">
        <f>raw_data!G608</f>
        <v>20.52</v>
      </c>
      <c r="E608">
        <f>raw_data!H608</f>
        <v>8.92</v>
      </c>
      <c r="F608">
        <f>raw_data!I608</f>
        <v>10.38</v>
      </c>
      <c r="G608">
        <f>raw_data!J608</f>
        <v>1.22</v>
      </c>
      <c r="H608" t="str">
        <f t="shared" si="9"/>
        <v>Wage Pressure</v>
      </c>
    </row>
    <row r="609" spans="1:8" x14ac:dyDescent="0.2">
      <c r="A609" t="str">
        <f>raw_data!A609</f>
        <v>2018Q1</v>
      </c>
      <c r="B609" t="str">
        <f>raw_data!B609</f>
        <v>Victoria</v>
      </c>
      <c r="C609" t="str">
        <f>raw_data!C609</f>
        <v>Construction</v>
      </c>
      <c r="D609">
        <f>raw_data!G609</f>
        <v>15.46</v>
      </c>
      <c r="E609">
        <f>raw_data!H609</f>
        <v>4.55</v>
      </c>
      <c r="F609">
        <f>raw_data!I609</f>
        <v>8.65</v>
      </c>
      <c r="G609">
        <f>raw_data!J609</f>
        <v>2.25</v>
      </c>
      <c r="H609" t="str">
        <f t="shared" si="9"/>
        <v>Wage Pressure</v>
      </c>
    </row>
    <row r="610" spans="1:8" x14ac:dyDescent="0.2">
      <c r="A610" t="str">
        <f>raw_data!A610</f>
        <v>2018Q1</v>
      </c>
      <c r="B610" t="str">
        <f>raw_data!B610</f>
        <v>Victoria</v>
      </c>
      <c r="C610" t="str">
        <f>raw_data!C610</f>
        <v>Education and Training</v>
      </c>
      <c r="D610">
        <f>raw_data!G610</f>
        <v>15.2</v>
      </c>
      <c r="E610">
        <f>raw_data!H610</f>
        <v>2.12</v>
      </c>
      <c r="F610">
        <f>raw_data!I610</f>
        <v>12.12</v>
      </c>
      <c r="G610">
        <f>raw_data!J610</f>
        <v>0.96</v>
      </c>
      <c r="H610" t="str">
        <f t="shared" si="9"/>
        <v>Wage Pressure</v>
      </c>
    </row>
    <row r="611" spans="1:8" x14ac:dyDescent="0.2">
      <c r="A611" t="str">
        <f>raw_data!A611</f>
        <v>2018Q1</v>
      </c>
      <c r="B611" t="str">
        <f>raw_data!B611</f>
        <v>Victoria</v>
      </c>
      <c r="C611" t="str">
        <f>raw_data!C611</f>
        <v>Health Care and Social Assistance</v>
      </c>
      <c r="D611">
        <f>raw_data!G611</f>
        <v>22.92</v>
      </c>
      <c r="E611">
        <f>raw_data!H611</f>
        <v>5.85</v>
      </c>
      <c r="F611">
        <f>raw_data!I611</f>
        <v>13.85</v>
      </c>
      <c r="G611">
        <f>raw_data!J611</f>
        <v>3.23</v>
      </c>
      <c r="H611" t="str">
        <f t="shared" si="9"/>
        <v>Wage Pressure</v>
      </c>
    </row>
    <row r="612" spans="1:8" x14ac:dyDescent="0.2">
      <c r="A612" t="str">
        <f>raw_data!A612</f>
        <v>2018Q1</v>
      </c>
      <c r="B612" t="str">
        <f>raw_data!B612</f>
        <v>Victoria</v>
      </c>
      <c r="C612" t="str">
        <f>raw_data!C612</f>
        <v>Manufacturing</v>
      </c>
      <c r="D612">
        <f>raw_data!G612</f>
        <v>16.190000000000001</v>
      </c>
      <c r="E612">
        <f>raw_data!H612</f>
        <v>4.09</v>
      </c>
      <c r="F612">
        <f>raw_data!I612</f>
        <v>10.96</v>
      </c>
      <c r="G612">
        <f>raw_data!J612</f>
        <v>1.1299999999999999</v>
      </c>
      <c r="H612" t="str">
        <f t="shared" si="9"/>
        <v>Wage Pressure</v>
      </c>
    </row>
    <row r="613" spans="1:8" x14ac:dyDescent="0.2">
      <c r="A613" t="str">
        <f>raw_data!A613</f>
        <v>2018Q1</v>
      </c>
      <c r="B613" t="str">
        <f>raw_data!B613</f>
        <v>Victoria</v>
      </c>
      <c r="C613" t="str">
        <f>raw_data!C613</f>
        <v>Professional, Scientific and Technical Services</v>
      </c>
      <c r="D613">
        <f>raw_data!G613</f>
        <v>20.37</v>
      </c>
      <c r="E613">
        <f>raw_data!H613</f>
        <v>8.5500000000000007</v>
      </c>
      <c r="F613">
        <f>raw_data!I613</f>
        <v>8.08</v>
      </c>
      <c r="G613">
        <f>raw_data!J613</f>
        <v>3.74</v>
      </c>
      <c r="H613" t="str">
        <f t="shared" si="9"/>
        <v>Vacancy Intensity</v>
      </c>
    </row>
    <row r="614" spans="1:8" x14ac:dyDescent="0.2">
      <c r="A614" t="str">
        <f>raw_data!A614</f>
        <v>2018Q2</v>
      </c>
      <c r="B614" t="str">
        <f>raw_data!B614</f>
        <v>New South Wales</v>
      </c>
      <c r="C614" t="str">
        <f>raw_data!C614</f>
        <v>Accommodation and Food Services</v>
      </c>
      <c r="D614">
        <f>raw_data!G614</f>
        <v>18.57</v>
      </c>
      <c r="E614">
        <f>raw_data!H614</f>
        <v>6.14</v>
      </c>
      <c r="F614">
        <f>raw_data!I614</f>
        <v>11.54</v>
      </c>
      <c r="G614">
        <f>raw_data!J614</f>
        <v>0.89</v>
      </c>
      <c r="H614" t="str">
        <f t="shared" si="9"/>
        <v>Wage Pressure</v>
      </c>
    </row>
    <row r="615" spans="1:8" x14ac:dyDescent="0.2">
      <c r="A615" t="str">
        <f>raw_data!A615</f>
        <v>2018Q2</v>
      </c>
      <c r="B615" t="str">
        <f>raw_data!B615</f>
        <v>New South Wales</v>
      </c>
      <c r="C615" t="str">
        <f>raw_data!C615</f>
        <v>Construction</v>
      </c>
      <c r="D615">
        <f>raw_data!G615</f>
        <v>15.39</v>
      </c>
      <c r="E615">
        <f>raw_data!H615</f>
        <v>3.83</v>
      </c>
      <c r="F615">
        <f>raw_data!I615</f>
        <v>9.81</v>
      </c>
      <c r="G615">
        <f>raw_data!J615</f>
        <v>1.75</v>
      </c>
      <c r="H615" t="str">
        <f t="shared" si="9"/>
        <v>Wage Pressure</v>
      </c>
    </row>
    <row r="616" spans="1:8" x14ac:dyDescent="0.2">
      <c r="A616" t="str">
        <f>raw_data!A616</f>
        <v>2018Q2</v>
      </c>
      <c r="B616" t="str">
        <f>raw_data!B616</f>
        <v>New South Wales</v>
      </c>
      <c r="C616" t="str">
        <f>raw_data!C616</f>
        <v>Education and Training</v>
      </c>
      <c r="D616">
        <f>raw_data!G616</f>
        <v>15.3</v>
      </c>
      <c r="E616">
        <f>raw_data!H616</f>
        <v>1.52</v>
      </c>
      <c r="F616">
        <f>raw_data!I616</f>
        <v>12.69</v>
      </c>
      <c r="G616">
        <f>raw_data!J616</f>
        <v>1.0900000000000001</v>
      </c>
      <c r="H616" t="str">
        <f t="shared" si="9"/>
        <v>Wage Pressure</v>
      </c>
    </row>
    <row r="617" spans="1:8" x14ac:dyDescent="0.2">
      <c r="A617" t="str">
        <f>raw_data!A617</f>
        <v>2018Q2</v>
      </c>
      <c r="B617" t="str">
        <f>raw_data!B617</f>
        <v>New South Wales</v>
      </c>
      <c r="C617" t="str">
        <f>raw_data!C617</f>
        <v>Health Care and Social Assistance</v>
      </c>
      <c r="D617">
        <f>raw_data!G617</f>
        <v>21.26</v>
      </c>
      <c r="E617">
        <f>raw_data!H617</f>
        <v>4.4000000000000004</v>
      </c>
      <c r="F617">
        <f>raw_data!I617</f>
        <v>13.85</v>
      </c>
      <c r="G617">
        <f>raw_data!J617</f>
        <v>3.01</v>
      </c>
      <c r="H617" t="str">
        <f t="shared" si="9"/>
        <v>Wage Pressure</v>
      </c>
    </row>
    <row r="618" spans="1:8" x14ac:dyDescent="0.2">
      <c r="A618" t="str">
        <f>raw_data!A618</f>
        <v>2018Q2</v>
      </c>
      <c r="B618" t="str">
        <f>raw_data!B618</f>
        <v>New South Wales</v>
      </c>
      <c r="C618" t="str">
        <f>raw_data!C618</f>
        <v>Manufacturing</v>
      </c>
      <c r="D618">
        <f>raw_data!G618</f>
        <v>15.52</v>
      </c>
      <c r="E618">
        <f>raw_data!H618</f>
        <v>3.19</v>
      </c>
      <c r="F618">
        <f>raw_data!I618</f>
        <v>10.96</v>
      </c>
      <c r="G618">
        <f>raw_data!J618</f>
        <v>1.37</v>
      </c>
      <c r="H618" t="str">
        <f t="shared" si="9"/>
        <v>Wage Pressure</v>
      </c>
    </row>
    <row r="619" spans="1:8" x14ac:dyDescent="0.2">
      <c r="A619" t="str">
        <f>raw_data!A619</f>
        <v>2018Q2</v>
      </c>
      <c r="B619" t="str">
        <f>raw_data!B619</f>
        <v>New South Wales</v>
      </c>
      <c r="C619" t="str">
        <f>raw_data!C619</f>
        <v>Professional, Scientific and Technical Services</v>
      </c>
      <c r="D619">
        <f>raw_data!G619</f>
        <v>19.45</v>
      </c>
      <c r="E619">
        <f>raw_data!H619</f>
        <v>7.09</v>
      </c>
      <c r="F619">
        <f>raw_data!I619</f>
        <v>8.65</v>
      </c>
      <c r="G619">
        <f>raw_data!J619</f>
        <v>3.71</v>
      </c>
      <c r="H619" t="str">
        <f t="shared" si="9"/>
        <v>Wage Pressure</v>
      </c>
    </row>
    <row r="620" spans="1:8" x14ac:dyDescent="0.2">
      <c r="A620" t="str">
        <f>raw_data!A620</f>
        <v>2018Q2</v>
      </c>
      <c r="B620" t="str">
        <f>raw_data!B620</f>
        <v>Queensland</v>
      </c>
      <c r="C620" t="str">
        <f>raw_data!C620</f>
        <v>Accommodation and Food Services</v>
      </c>
      <c r="D620">
        <f>raw_data!G620</f>
        <v>22.95</v>
      </c>
      <c r="E620">
        <f>raw_data!H620</f>
        <v>9.98</v>
      </c>
      <c r="F620">
        <f>raw_data!I620</f>
        <v>11.54</v>
      </c>
      <c r="G620">
        <f>raw_data!J620</f>
        <v>1.43</v>
      </c>
      <c r="H620" t="str">
        <f t="shared" si="9"/>
        <v>Wage Pressure</v>
      </c>
    </row>
    <row r="621" spans="1:8" x14ac:dyDescent="0.2">
      <c r="A621" t="str">
        <f>raw_data!A621</f>
        <v>2018Q2</v>
      </c>
      <c r="B621" t="str">
        <f>raw_data!B621</f>
        <v>Queensland</v>
      </c>
      <c r="C621" t="str">
        <f>raw_data!C621</f>
        <v>Construction</v>
      </c>
      <c r="D621">
        <f>raw_data!G621</f>
        <v>17.88</v>
      </c>
      <c r="E621">
        <f>raw_data!H621</f>
        <v>6.38</v>
      </c>
      <c r="F621">
        <f>raw_data!I621</f>
        <v>9.81</v>
      </c>
      <c r="G621">
        <f>raw_data!J621</f>
        <v>1.69</v>
      </c>
      <c r="H621" t="str">
        <f t="shared" si="9"/>
        <v>Wage Pressure</v>
      </c>
    </row>
    <row r="622" spans="1:8" x14ac:dyDescent="0.2">
      <c r="A622" t="str">
        <f>raw_data!A622</f>
        <v>2018Q2</v>
      </c>
      <c r="B622" t="str">
        <f>raw_data!B622</f>
        <v>Queensland</v>
      </c>
      <c r="C622" t="str">
        <f>raw_data!C622</f>
        <v>Education and Training</v>
      </c>
      <c r="D622">
        <f>raw_data!G622</f>
        <v>16.920000000000002</v>
      </c>
      <c r="E622">
        <f>raw_data!H622</f>
        <v>2.74</v>
      </c>
      <c r="F622">
        <f>raw_data!I622</f>
        <v>12.69</v>
      </c>
      <c r="G622">
        <f>raw_data!J622</f>
        <v>1.49</v>
      </c>
      <c r="H622" t="str">
        <f t="shared" si="9"/>
        <v>Wage Pressure</v>
      </c>
    </row>
    <row r="623" spans="1:8" x14ac:dyDescent="0.2">
      <c r="A623" t="str">
        <f>raw_data!A623</f>
        <v>2018Q2</v>
      </c>
      <c r="B623" t="str">
        <f>raw_data!B623</f>
        <v>Queensland</v>
      </c>
      <c r="C623" t="str">
        <f>raw_data!C623</f>
        <v>Health Care and Social Assistance</v>
      </c>
      <c r="D623">
        <f>raw_data!G623</f>
        <v>25.2</v>
      </c>
      <c r="E623">
        <f>raw_data!H623</f>
        <v>6.84</v>
      </c>
      <c r="F623">
        <f>raw_data!I623</f>
        <v>13.85</v>
      </c>
      <c r="G623">
        <f>raw_data!J623</f>
        <v>4.5199999999999996</v>
      </c>
      <c r="H623" t="str">
        <f t="shared" si="9"/>
        <v>Wage Pressure</v>
      </c>
    </row>
    <row r="624" spans="1:8" x14ac:dyDescent="0.2">
      <c r="A624" t="str">
        <f>raw_data!A624</f>
        <v>2018Q2</v>
      </c>
      <c r="B624" t="str">
        <f>raw_data!B624</f>
        <v>Queensland</v>
      </c>
      <c r="C624" t="str">
        <f>raw_data!C624</f>
        <v>Manufacturing</v>
      </c>
      <c r="D624">
        <f>raw_data!G624</f>
        <v>19.010000000000002</v>
      </c>
      <c r="E624">
        <f>raw_data!H624</f>
        <v>6.46</v>
      </c>
      <c r="F624">
        <f>raw_data!I624</f>
        <v>10.96</v>
      </c>
      <c r="G624">
        <f>raw_data!J624</f>
        <v>1.59</v>
      </c>
      <c r="H624" t="str">
        <f t="shared" si="9"/>
        <v>Wage Pressure</v>
      </c>
    </row>
    <row r="625" spans="1:8" x14ac:dyDescent="0.2">
      <c r="A625" t="str">
        <f>raw_data!A625</f>
        <v>2018Q2</v>
      </c>
      <c r="B625" t="str">
        <f>raw_data!B625</f>
        <v>Queensland</v>
      </c>
      <c r="C625" t="str">
        <f>raw_data!C625</f>
        <v>Professional, Scientific and Technical Services</v>
      </c>
      <c r="D625">
        <f>raw_data!G625</f>
        <v>38.57</v>
      </c>
      <c r="E625">
        <f>raw_data!H625</f>
        <v>16.149999999999999</v>
      </c>
      <c r="F625">
        <f>raw_data!I625</f>
        <v>8.65</v>
      </c>
      <c r="G625">
        <f>raw_data!J625</f>
        <v>13.76</v>
      </c>
      <c r="H625" t="str">
        <f t="shared" si="9"/>
        <v>Vacancy Intensity</v>
      </c>
    </row>
    <row r="626" spans="1:8" x14ac:dyDescent="0.2">
      <c r="A626" t="str">
        <f>raw_data!A626</f>
        <v>2018Q2</v>
      </c>
      <c r="B626" t="str">
        <f>raw_data!B626</f>
        <v>Victoria</v>
      </c>
      <c r="C626" t="str">
        <f>raw_data!C626</f>
        <v>Accommodation and Food Services</v>
      </c>
      <c r="D626">
        <f>raw_data!G626</f>
        <v>20.18</v>
      </c>
      <c r="E626">
        <f>raw_data!H626</f>
        <v>6.89</v>
      </c>
      <c r="F626">
        <f>raw_data!I626</f>
        <v>11.54</v>
      </c>
      <c r="G626">
        <f>raw_data!J626</f>
        <v>1.76</v>
      </c>
      <c r="H626" t="str">
        <f t="shared" si="9"/>
        <v>Wage Pressure</v>
      </c>
    </row>
    <row r="627" spans="1:8" x14ac:dyDescent="0.2">
      <c r="A627" t="str">
        <f>raw_data!A627</f>
        <v>2018Q2</v>
      </c>
      <c r="B627" t="str">
        <f>raw_data!B627</f>
        <v>Victoria</v>
      </c>
      <c r="C627" t="str">
        <f>raw_data!C627</f>
        <v>Construction</v>
      </c>
      <c r="D627">
        <f>raw_data!G627</f>
        <v>17.29</v>
      </c>
      <c r="E627">
        <f>raw_data!H627</f>
        <v>4.2699999999999996</v>
      </c>
      <c r="F627">
        <f>raw_data!I627</f>
        <v>9.81</v>
      </c>
      <c r="G627">
        <f>raw_data!J627</f>
        <v>3.21</v>
      </c>
      <c r="H627" t="str">
        <f t="shared" si="9"/>
        <v>Wage Pressure</v>
      </c>
    </row>
    <row r="628" spans="1:8" x14ac:dyDescent="0.2">
      <c r="A628" t="str">
        <f>raw_data!A628</f>
        <v>2018Q2</v>
      </c>
      <c r="B628" t="str">
        <f>raw_data!B628</f>
        <v>Victoria</v>
      </c>
      <c r="C628" t="str">
        <f>raw_data!C628</f>
        <v>Education and Training</v>
      </c>
      <c r="D628">
        <f>raw_data!G628</f>
        <v>15.97</v>
      </c>
      <c r="E628">
        <f>raw_data!H628</f>
        <v>1.89</v>
      </c>
      <c r="F628">
        <f>raw_data!I628</f>
        <v>12.69</v>
      </c>
      <c r="G628">
        <f>raw_data!J628</f>
        <v>1.39</v>
      </c>
      <c r="H628" t="str">
        <f t="shared" si="9"/>
        <v>Wage Pressure</v>
      </c>
    </row>
    <row r="629" spans="1:8" x14ac:dyDescent="0.2">
      <c r="A629" t="str">
        <f>raw_data!A629</f>
        <v>2018Q2</v>
      </c>
      <c r="B629" t="str">
        <f>raw_data!B629</f>
        <v>Victoria</v>
      </c>
      <c r="C629" t="str">
        <f>raw_data!C629</f>
        <v>Health Care and Social Assistance</v>
      </c>
      <c r="D629">
        <f>raw_data!G629</f>
        <v>24</v>
      </c>
      <c r="E629">
        <f>raw_data!H629</f>
        <v>5.74</v>
      </c>
      <c r="F629">
        <f>raw_data!I629</f>
        <v>13.85</v>
      </c>
      <c r="G629">
        <f>raw_data!J629</f>
        <v>4.42</v>
      </c>
      <c r="H629" t="str">
        <f t="shared" si="9"/>
        <v>Wage Pressure</v>
      </c>
    </row>
    <row r="630" spans="1:8" x14ac:dyDescent="0.2">
      <c r="A630" t="str">
        <f>raw_data!A630</f>
        <v>2018Q2</v>
      </c>
      <c r="B630" t="str">
        <f>raw_data!B630</f>
        <v>Victoria</v>
      </c>
      <c r="C630" t="str">
        <f>raw_data!C630</f>
        <v>Manufacturing</v>
      </c>
      <c r="D630">
        <f>raw_data!G630</f>
        <v>16.48</v>
      </c>
      <c r="E630">
        <f>raw_data!H630</f>
        <v>3.65</v>
      </c>
      <c r="F630">
        <f>raw_data!I630</f>
        <v>10.96</v>
      </c>
      <c r="G630">
        <f>raw_data!J630</f>
        <v>1.87</v>
      </c>
      <c r="H630" t="str">
        <f t="shared" si="9"/>
        <v>Wage Pressure</v>
      </c>
    </row>
    <row r="631" spans="1:8" x14ac:dyDescent="0.2">
      <c r="A631" t="str">
        <f>raw_data!A631</f>
        <v>2018Q2</v>
      </c>
      <c r="B631" t="str">
        <f>raw_data!B631</f>
        <v>Victoria</v>
      </c>
      <c r="C631" t="str">
        <f>raw_data!C631</f>
        <v>Professional, Scientific and Technical Services</v>
      </c>
      <c r="D631">
        <f>raw_data!G631</f>
        <v>25.38</v>
      </c>
      <c r="E631">
        <f>raw_data!H631</f>
        <v>9.7100000000000009</v>
      </c>
      <c r="F631">
        <f>raw_data!I631</f>
        <v>8.65</v>
      </c>
      <c r="G631">
        <f>raw_data!J631</f>
        <v>7.02</v>
      </c>
      <c r="H631" t="str">
        <f t="shared" si="9"/>
        <v>Vacancy Intensity</v>
      </c>
    </row>
    <row r="632" spans="1:8" x14ac:dyDescent="0.2">
      <c r="A632" t="str">
        <f>raw_data!A632</f>
        <v>2018Q3</v>
      </c>
      <c r="B632" t="str">
        <f>raw_data!B632</f>
        <v>New South Wales</v>
      </c>
      <c r="C632" t="str">
        <f>raw_data!C632</f>
        <v>Accommodation and Food Services</v>
      </c>
      <c r="D632">
        <f>raw_data!G632</f>
        <v>21.7</v>
      </c>
      <c r="E632">
        <f>raw_data!H632</f>
        <v>8.42</v>
      </c>
      <c r="F632">
        <f>raw_data!I632</f>
        <v>12.12</v>
      </c>
      <c r="G632">
        <f>raw_data!J632</f>
        <v>1.17</v>
      </c>
      <c r="H632" t="str">
        <f t="shared" si="9"/>
        <v>Wage Pressure</v>
      </c>
    </row>
    <row r="633" spans="1:8" x14ac:dyDescent="0.2">
      <c r="A633" t="str">
        <f>raw_data!A633</f>
        <v>2018Q3</v>
      </c>
      <c r="B633" t="str">
        <f>raw_data!B633</f>
        <v>New South Wales</v>
      </c>
      <c r="C633" t="str">
        <f>raw_data!C633</f>
        <v>Construction</v>
      </c>
      <c r="D633">
        <f>raw_data!G633</f>
        <v>15.54</v>
      </c>
      <c r="E633">
        <f>raw_data!H633</f>
        <v>3.94</v>
      </c>
      <c r="F633">
        <f>raw_data!I633</f>
        <v>9.23</v>
      </c>
      <c r="G633">
        <f>raw_data!J633</f>
        <v>2.37</v>
      </c>
      <c r="H633" t="str">
        <f t="shared" si="9"/>
        <v>Wage Pressure</v>
      </c>
    </row>
    <row r="634" spans="1:8" x14ac:dyDescent="0.2">
      <c r="A634" t="str">
        <f>raw_data!A634</f>
        <v>2018Q3</v>
      </c>
      <c r="B634" t="str">
        <f>raw_data!B634</f>
        <v>New South Wales</v>
      </c>
      <c r="C634" t="str">
        <f>raw_data!C634</f>
        <v>Education and Training</v>
      </c>
      <c r="D634">
        <f>raw_data!G634</f>
        <v>16.96</v>
      </c>
      <c r="E634">
        <f>raw_data!H634</f>
        <v>1.74</v>
      </c>
      <c r="F634">
        <f>raw_data!I634</f>
        <v>13.85</v>
      </c>
      <c r="G634">
        <f>raw_data!J634</f>
        <v>1.38</v>
      </c>
      <c r="H634" t="str">
        <f t="shared" si="9"/>
        <v>Wage Pressure</v>
      </c>
    </row>
    <row r="635" spans="1:8" x14ac:dyDescent="0.2">
      <c r="A635" t="str">
        <f>raw_data!A635</f>
        <v>2018Q3</v>
      </c>
      <c r="B635" t="str">
        <f>raw_data!B635</f>
        <v>New South Wales</v>
      </c>
      <c r="C635" t="str">
        <f>raw_data!C635</f>
        <v>Health Care and Social Assistance</v>
      </c>
      <c r="D635">
        <f>raw_data!G635</f>
        <v>22.61</v>
      </c>
      <c r="E635">
        <f>raw_data!H635</f>
        <v>5.07</v>
      </c>
      <c r="F635">
        <f>raw_data!I635</f>
        <v>14.42</v>
      </c>
      <c r="G635">
        <f>raw_data!J635</f>
        <v>3.12</v>
      </c>
      <c r="H635" t="str">
        <f t="shared" si="9"/>
        <v>Wage Pressure</v>
      </c>
    </row>
    <row r="636" spans="1:8" x14ac:dyDescent="0.2">
      <c r="A636" t="str">
        <f>raw_data!A636</f>
        <v>2018Q3</v>
      </c>
      <c r="B636" t="str">
        <f>raw_data!B636</f>
        <v>New South Wales</v>
      </c>
      <c r="C636" t="str">
        <f>raw_data!C636</f>
        <v>Manufacturing</v>
      </c>
      <c r="D636">
        <f>raw_data!G636</f>
        <v>17.21</v>
      </c>
      <c r="E636">
        <f>raw_data!H636</f>
        <v>3.11</v>
      </c>
      <c r="F636">
        <f>raw_data!I636</f>
        <v>11.54</v>
      </c>
      <c r="G636">
        <f>raw_data!J636</f>
        <v>2.56</v>
      </c>
      <c r="H636" t="str">
        <f t="shared" si="9"/>
        <v>Wage Pressure</v>
      </c>
    </row>
    <row r="637" spans="1:8" x14ac:dyDescent="0.2">
      <c r="A637" t="str">
        <f>raw_data!A637</f>
        <v>2018Q3</v>
      </c>
      <c r="B637" t="str">
        <f>raw_data!B637</f>
        <v>New South Wales</v>
      </c>
      <c r="C637" t="str">
        <f>raw_data!C637</f>
        <v>Professional, Scientific and Technical Services</v>
      </c>
      <c r="D637">
        <f>raw_data!G637</f>
        <v>20.7</v>
      </c>
      <c r="E637">
        <f>raw_data!H637</f>
        <v>6.96</v>
      </c>
      <c r="F637">
        <f>raw_data!I637</f>
        <v>9.81</v>
      </c>
      <c r="G637">
        <f>raw_data!J637</f>
        <v>3.93</v>
      </c>
      <c r="H637" t="str">
        <f t="shared" si="9"/>
        <v>Wage Pressure</v>
      </c>
    </row>
    <row r="638" spans="1:8" x14ac:dyDescent="0.2">
      <c r="A638" t="str">
        <f>raw_data!A638</f>
        <v>2018Q3</v>
      </c>
      <c r="B638" t="str">
        <f>raw_data!B638</f>
        <v>Queensland</v>
      </c>
      <c r="C638" t="str">
        <f>raw_data!C638</f>
        <v>Accommodation and Food Services</v>
      </c>
      <c r="D638">
        <f>raw_data!G638</f>
        <v>25.61</v>
      </c>
      <c r="E638">
        <f>raw_data!H638</f>
        <v>11.86</v>
      </c>
      <c r="F638">
        <f>raw_data!I638</f>
        <v>12.12</v>
      </c>
      <c r="G638">
        <f>raw_data!J638</f>
        <v>1.63</v>
      </c>
      <c r="H638" t="str">
        <f t="shared" si="9"/>
        <v>Wage Pressure</v>
      </c>
    </row>
    <row r="639" spans="1:8" x14ac:dyDescent="0.2">
      <c r="A639" t="str">
        <f>raw_data!A639</f>
        <v>2018Q3</v>
      </c>
      <c r="B639" t="str">
        <f>raw_data!B639</f>
        <v>Queensland</v>
      </c>
      <c r="C639" t="str">
        <f>raw_data!C639</f>
        <v>Construction</v>
      </c>
      <c r="D639">
        <f>raw_data!G639</f>
        <v>17.809999999999999</v>
      </c>
      <c r="E639">
        <f>raw_data!H639</f>
        <v>6.93</v>
      </c>
      <c r="F639">
        <f>raw_data!I639</f>
        <v>9.23</v>
      </c>
      <c r="G639">
        <f>raw_data!J639</f>
        <v>1.65</v>
      </c>
      <c r="H639" t="str">
        <f t="shared" si="9"/>
        <v>Wage Pressure</v>
      </c>
    </row>
    <row r="640" spans="1:8" x14ac:dyDescent="0.2">
      <c r="A640" t="str">
        <f>raw_data!A640</f>
        <v>2018Q3</v>
      </c>
      <c r="B640" t="str">
        <f>raw_data!B640</f>
        <v>Queensland</v>
      </c>
      <c r="C640" t="str">
        <f>raw_data!C640</f>
        <v>Education and Training</v>
      </c>
      <c r="D640">
        <f>raw_data!G640</f>
        <v>20.65</v>
      </c>
      <c r="E640">
        <f>raw_data!H640</f>
        <v>2.82</v>
      </c>
      <c r="F640">
        <f>raw_data!I640</f>
        <v>13.85</v>
      </c>
      <c r="G640">
        <f>raw_data!J640</f>
        <v>3.99</v>
      </c>
      <c r="H640" t="str">
        <f t="shared" si="9"/>
        <v>Wage Pressure</v>
      </c>
    </row>
    <row r="641" spans="1:8" x14ac:dyDescent="0.2">
      <c r="A641" t="str">
        <f>raw_data!A641</f>
        <v>2018Q3</v>
      </c>
      <c r="B641" t="str">
        <f>raw_data!B641</f>
        <v>Queensland</v>
      </c>
      <c r="C641" t="str">
        <f>raw_data!C641</f>
        <v>Health Care and Social Assistance</v>
      </c>
      <c r="D641">
        <f>raw_data!G641</f>
        <v>29.87</v>
      </c>
      <c r="E641">
        <f>raw_data!H641</f>
        <v>8.25</v>
      </c>
      <c r="F641">
        <f>raw_data!I641</f>
        <v>14.42</v>
      </c>
      <c r="G641">
        <f>raw_data!J641</f>
        <v>7.2</v>
      </c>
      <c r="H641" t="str">
        <f t="shared" si="9"/>
        <v>Wage Pressure</v>
      </c>
    </row>
    <row r="642" spans="1:8" x14ac:dyDescent="0.2">
      <c r="A642" t="str">
        <f>raw_data!A642</f>
        <v>2018Q3</v>
      </c>
      <c r="B642" t="str">
        <f>raw_data!B642</f>
        <v>Queensland</v>
      </c>
      <c r="C642" t="str">
        <f>raw_data!C642</f>
        <v>Manufacturing</v>
      </c>
      <c r="D642">
        <f>raw_data!G642</f>
        <v>19.21</v>
      </c>
      <c r="E642">
        <f>raw_data!H642</f>
        <v>5.39</v>
      </c>
      <c r="F642">
        <f>raw_data!I642</f>
        <v>11.54</v>
      </c>
      <c r="G642">
        <f>raw_data!J642</f>
        <v>2.2799999999999998</v>
      </c>
      <c r="H642" t="str">
        <f t="shared" si="9"/>
        <v>Wage Pressure</v>
      </c>
    </row>
    <row r="643" spans="1:8" x14ac:dyDescent="0.2">
      <c r="A643" t="str">
        <f>raw_data!A643</f>
        <v>2018Q3</v>
      </c>
      <c r="B643" t="str">
        <f>raw_data!B643</f>
        <v>Queensland</v>
      </c>
      <c r="C643" t="str">
        <f>raw_data!C643</f>
        <v>Professional, Scientific and Technical Services</v>
      </c>
      <c r="D643">
        <f>raw_data!G643</f>
        <v>38.74</v>
      </c>
      <c r="E643">
        <f>raw_data!H643</f>
        <v>18.05</v>
      </c>
      <c r="F643">
        <f>raw_data!I643</f>
        <v>9.81</v>
      </c>
      <c r="G643">
        <f>raw_data!J643</f>
        <v>10.88</v>
      </c>
      <c r="H643" t="str">
        <f t="shared" ref="H643:H706" si="10">IF(AND(E643&gt;=F643,E643&gt;=G643),"Vacancy Intensity",IF(F643&gt;=G643,"Wage Pressure","Labour Tightness"))</f>
        <v>Vacancy Intensity</v>
      </c>
    </row>
    <row r="644" spans="1:8" x14ac:dyDescent="0.2">
      <c r="A644" t="str">
        <f>raw_data!A644</f>
        <v>2018Q3</v>
      </c>
      <c r="B644" t="str">
        <f>raw_data!B644</f>
        <v>Victoria</v>
      </c>
      <c r="C644" t="str">
        <f>raw_data!C644</f>
        <v>Accommodation and Food Services</v>
      </c>
      <c r="D644">
        <f>raw_data!G644</f>
        <v>23.72</v>
      </c>
      <c r="E644">
        <f>raw_data!H644</f>
        <v>10.02</v>
      </c>
      <c r="F644">
        <f>raw_data!I644</f>
        <v>12.12</v>
      </c>
      <c r="G644">
        <f>raw_data!J644</f>
        <v>1.59</v>
      </c>
      <c r="H644" t="str">
        <f t="shared" si="10"/>
        <v>Wage Pressure</v>
      </c>
    </row>
    <row r="645" spans="1:8" x14ac:dyDescent="0.2">
      <c r="A645" t="str">
        <f>raw_data!A645</f>
        <v>2018Q3</v>
      </c>
      <c r="B645" t="str">
        <f>raw_data!B645</f>
        <v>Victoria</v>
      </c>
      <c r="C645" t="str">
        <f>raw_data!C645</f>
        <v>Construction</v>
      </c>
      <c r="D645">
        <f>raw_data!G645</f>
        <v>18.88</v>
      </c>
      <c r="E645">
        <f>raw_data!H645</f>
        <v>4.95</v>
      </c>
      <c r="F645">
        <f>raw_data!I645</f>
        <v>9.23</v>
      </c>
      <c r="G645">
        <f>raw_data!J645</f>
        <v>4.7</v>
      </c>
      <c r="H645" t="str">
        <f t="shared" si="10"/>
        <v>Wage Pressure</v>
      </c>
    </row>
    <row r="646" spans="1:8" x14ac:dyDescent="0.2">
      <c r="A646" t="str">
        <f>raw_data!A646</f>
        <v>2018Q3</v>
      </c>
      <c r="B646" t="str">
        <f>raw_data!B646</f>
        <v>Victoria</v>
      </c>
      <c r="C646" t="str">
        <f>raw_data!C646</f>
        <v>Education and Training</v>
      </c>
      <c r="D646">
        <f>raw_data!G646</f>
        <v>18.2</v>
      </c>
      <c r="E646">
        <f>raw_data!H646</f>
        <v>2.2799999999999998</v>
      </c>
      <c r="F646">
        <f>raw_data!I646</f>
        <v>13.85</v>
      </c>
      <c r="G646">
        <f>raw_data!J646</f>
        <v>2.08</v>
      </c>
      <c r="H646" t="str">
        <f t="shared" si="10"/>
        <v>Wage Pressure</v>
      </c>
    </row>
    <row r="647" spans="1:8" x14ac:dyDescent="0.2">
      <c r="A647" t="str">
        <f>raw_data!A647</f>
        <v>2018Q3</v>
      </c>
      <c r="B647" t="str">
        <f>raw_data!B647</f>
        <v>Victoria</v>
      </c>
      <c r="C647" t="str">
        <f>raw_data!C647</f>
        <v>Health Care and Social Assistance</v>
      </c>
      <c r="D647">
        <f>raw_data!G647</f>
        <v>25.03</v>
      </c>
      <c r="E647">
        <f>raw_data!H647</f>
        <v>6.04</v>
      </c>
      <c r="F647">
        <f>raw_data!I647</f>
        <v>14.42</v>
      </c>
      <c r="G647">
        <f>raw_data!J647</f>
        <v>4.5599999999999996</v>
      </c>
      <c r="H647" t="str">
        <f t="shared" si="10"/>
        <v>Wage Pressure</v>
      </c>
    </row>
    <row r="648" spans="1:8" x14ac:dyDescent="0.2">
      <c r="A648" t="str">
        <f>raw_data!A648</f>
        <v>2018Q3</v>
      </c>
      <c r="B648" t="str">
        <f>raw_data!B648</f>
        <v>Victoria</v>
      </c>
      <c r="C648" t="str">
        <f>raw_data!C648</f>
        <v>Manufacturing</v>
      </c>
      <c r="D648">
        <f>raw_data!G648</f>
        <v>15.81</v>
      </c>
      <c r="E648">
        <f>raw_data!H648</f>
        <v>3.24</v>
      </c>
      <c r="F648">
        <f>raw_data!I648</f>
        <v>11.54</v>
      </c>
      <c r="G648">
        <f>raw_data!J648</f>
        <v>1.03</v>
      </c>
      <c r="H648" t="str">
        <f t="shared" si="10"/>
        <v>Wage Pressure</v>
      </c>
    </row>
    <row r="649" spans="1:8" x14ac:dyDescent="0.2">
      <c r="A649" t="str">
        <f>raw_data!A649</f>
        <v>2018Q3</v>
      </c>
      <c r="B649" t="str">
        <f>raw_data!B649</f>
        <v>Victoria</v>
      </c>
      <c r="C649" t="str">
        <f>raw_data!C649</f>
        <v>Professional, Scientific and Technical Services</v>
      </c>
      <c r="D649">
        <f>raw_data!G649</f>
        <v>25.87</v>
      </c>
      <c r="E649">
        <f>raw_data!H649</f>
        <v>10.96</v>
      </c>
      <c r="F649">
        <f>raw_data!I649</f>
        <v>9.81</v>
      </c>
      <c r="G649">
        <f>raw_data!J649</f>
        <v>5.0999999999999996</v>
      </c>
      <c r="H649" t="str">
        <f t="shared" si="10"/>
        <v>Vacancy Intensity</v>
      </c>
    </row>
    <row r="650" spans="1:8" x14ac:dyDescent="0.2">
      <c r="A650" t="str">
        <f>raw_data!A650</f>
        <v>2018Q4</v>
      </c>
      <c r="B650" t="str">
        <f>raw_data!B650</f>
        <v>New South Wales</v>
      </c>
      <c r="C650" t="str">
        <f>raw_data!C650</f>
        <v>Accommodation and Food Services</v>
      </c>
      <c r="D650">
        <f>raw_data!G650</f>
        <v>20.59</v>
      </c>
      <c r="E650">
        <f>raw_data!H650</f>
        <v>6.89</v>
      </c>
      <c r="F650">
        <f>raw_data!I650</f>
        <v>12.12</v>
      </c>
      <c r="G650">
        <f>raw_data!J650</f>
        <v>1.59</v>
      </c>
      <c r="H650" t="str">
        <f t="shared" si="10"/>
        <v>Wage Pressure</v>
      </c>
    </row>
    <row r="651" spans="1:8" x14ac:dyDescent="0.2">
      <c r="A651" t="str">
        <f>raw_data!A651</f>
        <v>2018Q4</v>
      </c>
      <c r="B651" t="str">
        <f>raw_data!B651</f>
        <v>New South Wales</v>
      </c>
      <c r="C651" t="str">
        <f>raw_data!C651</f>
        <v>Construction</v>
      </c>
      <c r="D651">
        <f>raw_data!G651</f>
        <v>14.88</v>
      </c>
      <c r="E651">
        <f>raw_data!H651</f>
        <v>4.18</v>
      </c>
      <c r="F651">
        <f>raw_data!I651</f>
        <v>9.23</v>
      </c>
      <c r="G651">
        <f>raw_data!J651</f>
        <v>1.47</v>
      </c>
      <c r="H651" t="str">
        <f t="shared" si="10"/>
        <v>Wage Pressure</v>
      </c>
    </row>
    <row r="652" spans="1:8" x14ac:dyDescent="0.2">
      <c r="A652" t="str">
        <f>raw_data!A652</f>
        <v>2018Q4</v>
      </c>
      <c r="B652" t="str">
        <f>raw_data!B652</f>
        <v>New South Wales</v>
      </c>
      <c r="C652" t="str">
        <f>raw_data!C652</f>
        <v>Education and Training</v>
      </c>
      <c r="D652">
        <f>raw_data!G652</f>
        <v>16.78</v>
      </c>
      <c r="E652">
        <f>raw_data!H652</f>
        <v>1.38</v>
      </c>
      <c r="F652">
        <f>raw_data!I652</f>
        <v>13.27</v>
      </c>
      <c r="G652">
        <f>raw_data!J652</f>
        <v>2.13</v>
      </c>
      <c r="H652" t="str">
        <f t="shared" si="10"/>
        <v>Wage Pressure</v>
      </c>
    </row>
    <row r="653" spans="1:8" x14ac:dyDescent="0.2">
      <c r="A653" t="str">
        <f>raw_data!A653</f>
        <v>2018Q4</v>
      </c>
      <c r="B653" t="str">
        <f>raw_data!B653</f>
        <v>New South Wales</v>
      </c>
      <c r="C653" t="str">
        <f>raw_data!C653</f>
        <v>Health Care and Social Assistance</v>
      </c>
      <c r="D653">
        <f>raw_data!G653</f>
        <v>23.67</v>
      </c>
      <c r="E653">
        <f>raw_data!H653</f>
        <v>5.32</v>
      </c>
      <c r="F653">
        <f>raw_data!I653</f>
        <v>14.42</v>
      </c>
      <c r="G653">
        <f>raw_data!J653</f>
        <v>3.93</v>
      </c>
      <c r="H653" t="str">
        <f t="shared" si="10"/>
        <v>Wage Pressure</v>
      </c>
    </row>
    <row r="654" spans="1:8" x14ac:dyDescent="0.2">
      <c r="A654" t="str">
        <f>raw_data!A654</f>
        <v>2018Q4</v>
      </c>
      <c r="B654" t="str">
        <f>raw_data!B654</f>
        <v>New South Wales</v>
      </c>
      <c r="C654" t="str">
        <f>raw_data!C654</f>
        <v>Manufacturing</v>
      </c>
      <c r="D654">
        <f>raw_data!G654</f>
        <v>17.04</v>
      </c>
      <c r="E654">
        <f>raw_data!H654</f>
        <v>4.3600000000000003</v>
      </c>
      <c r="F654">
        <f>raw_data!I654</f>
        <v>10.96</v>
      </c>
      <c r="G654">
        <f>raw_data!J654</f>
        <v>1.71</v>
      </c>
      <c r="H654" t="str">
        <f t="shared" si="10"/>
        <v>Wage Pressure</v>
      </c>
    </row>
    <row r="655" spans="1:8" x14ac:dyDescent="0.2">
      <c r="A655" t="str">
        <f>raw_data!A655</f>
        <v>2018Q4</v>
      </c>
      <c r="B655" t="str">
        <f>raw_data!B655</f>
        <v>New South Wales</v>
      </c>
      <c r="C655" t="str">
        <f>raw_data!C655</f>
        <v>Professional, Scientific and Technical Services</v>
      </c>
      <c r="D655">
        <f>raw_data!G655</f>
        <v>26.72</v>
      </c>
      <c r="E655">
        <f>raw_data!H655</f>
        <v>6.1</v>
      </c>
      <c r="F655">
        <f>raw_data!I655</f>
        <v>10.38</v>
      </c>
      <c r="G655">
        <f>raw_data!J655</f>
        <v>10.24</v>
      </c>
      <c r="H655" t="str">
        <f t="shared" si="10"/>
        <v>Wage Pressure</v>
      </c>
    </row>
    <row r="656" spans="1:8" x14ac:dyDescent="0.2">
      <c r="A656" t="str">
        <f>raw_data!A656</f>
        <v>2018Q4</v>
      </c>
      <c r="B656" t="str">
        <f>raw_data!B656</f>
        <v>Queensland</v>
      </c>
      <c r="C656" t="str">
        <f>raw_data!C656</f>
        <v>Accommodation and Food Services</v>
      </c>
      <c r="D656">
        <f>raw_data!G656</f>
        <v>25.88</v>
      </c>
      <c r="E656">
        <f>raw_data!H656</f>
        <v>9.9499999999999993</v>
      </c>
      <c r="F656">
        <f>raw_data!I656</f>
        <v>12.12</v>
      </c>
      <c r="G656">
        <f>raw_data!J656</f>
        <v>3.82</v>
      </c>
      <c r="H656" t="str">
        <f t="shared" si="10"/>
        <v>Wage Pressure</v>
      </c>
    </row>
    <row r="657" spans="1:8" x14ac:dyDescent="0.2">
      <c r="A657" t="str">
        <f>raw_data!A657</f>
        <v>2018Q4</v>
      </c>
      <c r="B657" t="str">
        <f>raw_data!B657</f>
        <v>Queensland</v>
      </c>
      <c r="C657" t="str">
        <f>raw_data!C657</f>
        <v>Construction</v>
      </c>
      <c r="D657">
        <f>raw_data!G657</f>
        <v>19.89</v>
      </c>
      <c r="E657">
        <f>raw_data!H657</f>
        <v>7.91</v>
      </c>
      <c r="F657">
        <f>raw_data!I657</f>
        <v>9.23</v>
      </c>
      <c r="G657">
        <f>raw_data!J657</f>
        <v>2.75</v>
      </c>
      <c r="H657" t="str">
        <f t="shared" si="10"/>
        <v>Wage Pressure</v>
      </c>
    </row>
    <row r="658" spans="1:8" x14ac:dyDescent="0.2">
      <c r="A658" t="str">
        <f>raw_data!A658</f>
        <v>2018Q4</v>
      </c>
      <c r="B658" t="str">
        <f>raw_data!B658</f>
        <v>Queensland</v>
      </c>
      <c r="C658" t="str">
        <f>raw_data!C658</f>
        <v>Education and Training</v>
      </c>
      <c r="D658">
        <f>raw_data!G658</f>
        <v>23.69</v>
      </c>
      <c r="E658">
        <f>raw_data!H658</f>
        <v>2.5499999999999998</v>
      </c>
      <c r="F658">
        <f>raw_data!I658</f>
        <v>13.27</v>
      </c>
      <c r="G658">
        <f>raw_data!J658</f>
        <v>7.87</v>
      </c>
      <c r="H658" t="str">
        <f t="shared" si="10"/>
        <v>Wage Pressure</v>
      </c>
    </row>
    <row r="659" spans="1:8" x14ac:dyDescent="0.2">
      <c r="A659" t="str">
        <f>raw_data!A659</f>
        <v>2018Q4</v>
      </c>
      <c r="B659" t="str">
        <f>raw_data!B659</f>
        <v>Queensland</v>
      </c>
      <c r="C659" t="str">
        <f>raw_data!C659</f>
        <v>Health Care and Social Assistance</v>
      </c>
      <c r="D659">
        <f>raw_data!G659</f>
        <v>33.93</v>
      </c>
      <c r="E659">
        <f>raw_data!H659</f>
        <v>8.77</v>
      </c>
      <c r="F659">
        <f>raw_data!I659</f>
        <v>14.42</v>
      </c>
      <c r="G659">
        <f>raw_data!J659</f>
        <v>10.74</v>
      </c>
      <c r="H659" t="str">
        <f t="shared" si="10"/>
        <v>Wage Pressure</v>
      </c>
    </row>
    <row r="660" spans="1:8" x14ac:dyDescent="0.2">
      <c r="A660" t="str">
        <f>raw_data!A660</f>
        <v>2018Q4</v>
      </c>
      <c r="B660" t="str">
        <f>raw_data!B660</f>
        <v>Queensland</v>
      </c>
      <c r="C660" t="str">
        <f>raw_data!C660</f>
        <v>Manufacturing</v>
      </c>
      <c r="D660">
        <f>raw_data!G660</f>
        <v>18.850000000000001</v>
      </c>
      <c r="E660">
        <f>raw_data!H660</f>
        <v>6.65</v>
      </c>
      <c r="F660">
        <f>raw_data!I660</f>
        <v>10.96</v>
      </c>
      <c r="G660">
        <f>raw_data!J660</f>
        <v>1.23</v>
      </c>
      <c r="H660" t="str">
        <f t="shared" si="10"/>
        <v>Wage Pressure</v>
      </c>
    </row>
    <row r="661" spans="1:8" x14ac:dyDescent="0.2">
      <c r="A661" t="str">
        <f>raw_data!A661</f>
        <v>2018Q4</v>
      </c>
      <c r="B661" t="str">
        <f>raw_data!B661</f>
        <v>Queensland</v>
      </c>
      <c r="C661" t="str">
        <f>raw_data!C661</f>
        <v>Professional, Scientific and Technical Services</v>
      </c>
      <c r="D661">
        <f>raw_data!G661</f>
        <v>39.64</v>
      </c>
      <c r="E661">
        <f>raw_data!H661</f>
        <v>16.440000000000001</v>
      </c>
      <c r="F661">
        <f>raw_data!I661</f>
        <v>10.38</v>
      </c>
      <c r="G661">
        <f>raw_data!J661</f>
        <v>12.81</v>
      </c>
      <c r="H661" t="str">
        <f t="shared" si="10"/>
        <v>Vacancy Intensity</v>
      </c>
    </row>
    <row r="662" spans="1:8" x14ac:dyDescent="0.2">
      <c r="A662" t="str">
        <f>raw_data!A662</f>
        <v>2018Q4</v>
      </c>
      <c r="B662" t="str">
        <f>raw_data!B662</f>
        <v>Victoria</v>
      </c>
      <c r="C662" t="str">
        <f>raw_data!C662</f>
        <v>Accommodation and Food Services</v>
      </c>
      <c r="D662">
        <f>raw_data!G662</f>
        <v>22.49</v>
      </c>
      <c r="E662">
        <f>raw_data!H662</f>
        <v>8.5299999999999994</v>
      </c>
      <c r="F662">
        <f>raw_data!I662</f>
        <v>12.12</v>
      </c>
      <c r="G662">
        <f>raw_data!J662</f>
        <v>1.85</v>
      </c>
      <c r="H662" t="str">
        <f t="shared" si="10"/>
        <v>Wage Pressure</v>
      </c>
    </row>
    <row r="663" spans="1:8" x14ac:dyDescent="0.2">
      <c r="A663" t="str">
        <f>raw_data!A663</f>
        <v>2018Q4</v>
      </c>
      <c r="B663" t="str">
        <f>raw_data!B663</f>
        <v>Victoria</v>
      </c>
      <c r="C663" t="str">
        <f>raw_data!C663</f>
        <v>Construction</v>
      </c>
      <c r="D663">
        <f>raw_data!G663</f>
        <v>19.07</v>
      </c>
      <c r="E663">
        <f>raw_data!H663</f>
        <v>5.88</v>
      </c>
      <c r="F663">
        <f>raw_data!I663</f>
        <v>9.23</v>
      </c>
      <c r="G663">
        <f>raw_data!J663</f>
        <v>3.97</v>
      </c>
      <c r="H663" t="str">
        <f t="shared" si="10"/>
        <v>Wage Pressure</v>
      </c>
    </row>
    <row r="664" spans="1:8" x14ac:dyDescent="0.2">
      <c r="A664" t="str">
        <f>raw_data!A664</f>
        <v>2018Q4</v>
      </c>
      <c r="B664" t="str">
        <f>raw_data!B664</f>
        <v>Victoria</v>
      </c>
      <c r="C664" t="str">
        <f>raw_data!C664</f>
        <v>Education and Training</v>
      </c>
      <c r="D664">
        <f>raw_data!G664</f>
        <v>16.82</v>
      </c>
      <c r="E664">
        <f>raw_data!H664</f>
        <v>1.82</v>
      </c>
      <c r="F664">
        <f>raw_data!I664</f>
        <v>13.27</v>
      </c>
      <c r="G664">
        <f>raw_data!J664</f>
        <v>1.73</v>
      </c>
      <c r="H664" t="str">
        <f t="shared" si="10"/>
        <v>Wage Pressure</v>
      </c>
    </row>
    <row r="665" spans="1:8" x14ac:dyDescent="0.2">
      <c r="A665" t="str">
        <f>raw_data!A665</f>
        <v>2018Q4</v>
      </c>
      <c r="B665" t="str">
        <f>raw_data!B665</f>
        <v>Victoria</v>
      </c>
      <c r="C665" t="str">
        <f>raw_data!C665</f>
        <v>Health Care and Social Assistance</v>
      </c>
      <c r="D665">
        <f>raw_data!G665</f>
        <v>26.54</v>
      </c>
      <c r="E665">
        <f>raw_data!H665</f>
        <v>6.52</v>
      </c>
      <c r="F665">
        <f>raw_data!I665</f>
        <v>14.42</v>
      </c>
      <c r="G665">
        <f>raw_data!J665</f>
        <v>5.6</v>
      </c>
      <c r="H665" t="str">
        <f t="shared" si="10"/>
        <v>Wage Pressure</v>
      </c>
    </row>
    <row r="666" spans="1:8" x14ac:dyDescent="0.2">
      <c r="A666" t="str">
        <f>raw_data!A666</f>
        <v>2018Q4</v>
      </c>
      <c r="B666" t="str">
        <f>raw_data!B666</f>
        <v>Victoria</v>
      </c>
      <c r="C666" t="str">
        <f>raw_data!C666</f>
        <v>Manufacturing</v>
      </c>
      <c r="D666">
        <f>raw_data!G666</f>
        <v>16.100000000000001</v>
      </c>
      <c r="E666">
        <f>raw_data!H666</f>
        <v>3.82</v>
      </c>
      <c r="F666">
        <f>raw_data!I666</f>
        <v>10.96</v>
      </c>
      <c r="G666">
        <f>raw_data!J666</f>
        <v>1.32</v>
      </c>
      <c r="H666" t="str">
        <f t="shared" si="10"/>
        <v>Wage Pressure</v>
      </c>
    </row>
    <row r="667" spans="1:8" x14ac:dyDescent="0.2">
      <c r="A667" t="str">
        <f>raw_data!A667</f>
        <v>2018Q4</v>
      </c>
      <c r="B667" t="str">
        <f>raw_data!B667</f>
        <v>Victoria</v>
      </c>
      <c r="C667" t="str">
        <f>raw_data!C667</f>
        <v>Professional, Scientific and Technical Services</v>
      </c>
      <c r="D667">
        <f>raw_data!G667</f>
        <v>24.03</v>
      </c>
      <c r="E667">
        <f>raw_data!H667</f>
        <v>8.5500000000000007</v>
      </c>
      <c r="F667">
        <f>raw_data!I667</f>
        <v>10.38</v>
      </c>
      <c r="G667">
        <f>raw_data!J667</f>
        <v>5.09</v>
      </c>
      <c r="H667" t="str">
        <f t="shared" si="10"/>
        <v>Wage Pressure</v>
      </c>
    </row>
    <row r="668" spans="1:8" x14ac:dyDescent="0.2">
      <c r="A668" t="str">
        <f>raw_data!A668</f>
        <v>2019Q1</v>
      </c>
      <c r="B668" t="str">
        <f>raw_data!B668</f>
        <v>New South Wales</v>
      </c>
      <c r="C668" t="str">
        <f>raw_data!C668</f>
        <v>Accommodation and Food Services</v>
      </c>
      <c r="D668">
        <f>raw_data!G668</f>
        <v>19.690000000000001</v>
      </c>
      <c r="E668">
        <f>raw_data!H668</f>
        <v>7.2</v>
      </c>
      <c r="F668">
        <f>raw_data!I668</f>
        <v>11.54</v>
      </c>
      <c r="G668">
        <f>raw_data!J668</f>
        <v>0.95</v>
      </c>
      <c r="H668" t="str">
        <f t="shared" si="10"/>
        <v>Wage Pressure</v>
      </c>
    </row>
    <row r="669" spans="1:8" x14ac:dyDescent="0.2">
      <c r="A669" t="str">
        <f>raw_data!A669</f>
        <v>2019Q1</v>
      </c>
      <c r="B669" t="str">
        <f>raw_data!B669</f>
        <v>New South Wales</v>
      </c>
      <c r="C669" t="str">
        <f>raw_data!C669</f>
        <v>Construction</v>
      </c>
      <c r="D669">
        <f>raw_data!G669</f>
        <v>15.87</v>
      </c>
      <c r="E669">
        <f>raw_data!H669</f>
        <v>5.39</v>
      </c>
      <c r="F669">
        <f>raw_data!I669</f>
        <v>8.65</v>
      </c>
      <c r="G669">
        <f>raw_data!J669</f>
        <v>1.82</v>
      </c>
      <c r="H669" t="str">
        <f t="shared" si="10"/>
        <v>Wage Pressure</v>
      </c>
    </row>
    <row r="670" spans="1:8" x14ac:dyDescent="0.2">
      <c r="A670" t="str">
        <f>raw_data!A670</f>
        <v>2019Q1</v>
      </c>
      <c r="B670" t="str">
        <f>raw_data!B670</f>
        <v>New South Wales</v>
      </c>
      <c r="C670" t="str">
        <f>raw_data!C670</f>
        <v>Education and Training</v>
      </c>
      <c r="D670">
        <f>raw_data!G670</f>
        <v>15.38</v>
      </c>
      <c r="E670">
        <f>raw_data!H670</f>
        <v>2.0099999999999998</v>
      </c>
      <c r="F670">
        <f>raw_data!I670</f>
        <v>12.12</v>
      </c>
      <c r="G670">
        <f>raw_data!J670</f>
        <v>1.26</v>
      </c>
      <c r="H670" t="str">
        <f t="shared" si="10"/>
        <v>Wage Pressure</v>
      </c>
    </row>
    <row r="671" spans="1:8" x14ac:dyDescent="0.2">
      <c r="A671" t="str">
        <f>raw_data!A671</f>
        <v>2019Q1</v>
      </c>
      <c r="B671" t="str">
        <f>raw_data!B671</f>
        <v>New South Wales</v>
      </c>
      <c r="C671" t="str">
        <f>raw_data!C671</f>
        <v>Health Care and Social Assistance</v>
      </c>
      <c r="D671">
        <f>raw_data!G671</f>
        <v>25.8</v>
      </c>
      <c r="E671">
        <f>raw_data!H671</f>
        <v>5.56</v>
      </c>
      <c r="F671">
        <f>raw_data!I671</f>
        <v>15.58</v>
      </c>
      <c r="G671">
        <f>raw_data!J671</f>
        <v>4.67</v>
      </c>
      <c r="H671" t="str">
        <f t="shared" si="10"/>
        <v>Wage Pressure</v>
      </c>
    </row>
    <row r="672" spans="1:8" x14ac:dyDescent="0.2">
      <c r="A672" t="str">
        <f>raw_data!A672</f>
        <v>2019Q1</v>
      </c>
      <c r="B672" t="str">
        <f>raw_data!B672</f>
        <v>New South Wales</v>
      </c>
      <c r="C672" t="str">
        <f>raw_data!C672</f>
        <v>Manufacturing</v>
      </c>
      <c r="D672">
        <f>raw_data!G672</f>
        <v>17.43</v>
      </c>
      <c r="E672">
        <f>raw_data!H672</f>
        <v>4.7300000000000004</v>
      </c>
      <c r="F672">
        <f>raw_data!I672</f>
        <v>9.81</v>
      </c>
      <c r="G672">
        <f>raw_data!J672</f>
        <v>2.89</v>
      </c>
      <c r="H672" t="str">
        <f t="shared" si="10"/>
        <v>Wage Pressure</v>
      </c>
    </row>
    <row r="673" spans="1:8" x14ac:dyDescent="0.2">
      <c r="A673" t="str">
        <f>raw_data!A673</f>
        <v>2019Q1</v>
      </c>
      <c r="B673" t="str">
        <f>raw_data!B673</f>
        <v>New South Wales</v>
      </c>
      <c r="C673" t="str">
        <f>raw_data!C673</f>
        <v>Professional, Scientific and Technical Services</v>
      </c>
      <c r="D673">
        <f>raw_data!G673</f>
        <v>23.94</v>
      </c>
      <c r="E673">
        <f>raw_data!H673</f>
        <v>6.89</v>
      </c>
      <c r="F673">
        <f>raw_data!I673</f>
        <v>12.69</v>
      </c>
      <c r="G673">
        <f>raw_data!J673</f>
        <v>4.3600000000000003</v>
      </c>
      <c r="H673" t="str">
        <f t="shared" si="10"/>
        <v>Wage Pressure</v>
      </c>
    </row>
    <row r="674" spans="1:8" x14ac:dyDescent="0.2">
      <c r="A674" t="str">
        <f>raw_data!A674</f>
        <v>2019Q1</v>
      </c>
      <c r="B674" t="str">
        <f>raw_data!B674</f>
        <v>Queensland</v>
      </c>
      <c r="C674" t="str">
        <f>raw_data!C674</f>
        <v>Accommodation and Food Services</v>
      </c>
      <c r="D674">
        <f>raw_data!G674</f>
        <v>24.37</v>
      </c>
      <c r="E674">
        <f>raw_data!H674</f>
        <v>11.28</v>
      </c>
      <c r="F674">
        <f>raw_data!I674</f>
        <v>11.54</v>
      </c>
      <c r="G674">
        <f>raw_data!J674</f>
        <v>1.55</v>
      </c>
      <c r="H674" t="str">
        <f t="shared" si="10"/>
        <v>Wage Pressure</v>
      </c>
    </row>
    <row r="675" spans="1:8" x14ac:dyDescent="0.2">
      <c r="A675" t="str">
        <f>raw_data!A675</f>
        <v>2019Q1</v>
      </c>
      <c r="B675" t="str">
        <f>raw_data!B675</f>
        <v>Queensland</v>
      </c>
      <c r="C675" t="str">
        <f>raw_data!C675</f>
        <v>Construction</v>
      </c>
      <c r="D675">
        <f>raw_data!G675</f>
        <v>19.5</v>
      </c>
      <c r="E675">
        <f>raw_data!H675</f>
        <v>8</v>
      </c>
      <c r="F675">
        <f>raw_data!I675</f>
        <v>8.65</v>
      </c>
      <c r="G675">
        <f>raw_data!J675</f>
        <v>2.85</v>
      </c>
      <c r="H675" t="str">
        <f t="shared" si="10"/>
        <v>Wage Pressure</v>
      </c>
    </row>
    <row r="676" spans="1:8" x14ac:dyDescent="0.2">
      <c r="A676" t="str">
        <f>raw_data!A676</f>
        <v>2019Q1</v>
      </c>
      <c r="B676" t="str">
        <f>raw_data!B676</f>
        <v>Queensland</v>
      </c>
      <c r="C676" t="str">
        <f>raw_data!C676</f>
        <v>Education and Training</v>
      </c>
      <c r="D676">
        <f>raw_data!G676</f>
        <v>17.07</v>
      </c>
      <c r="E676">
        <f>raw_data!H676</f>
        <v>3.01</v>
      </c>
      <c r="F676">
        <f>raw_data!I676</f>
        <v>12.12</v>
      </c>
      <c r="G676">
        <f>raw_data!J676</f>
        <v>1.95</v>
      </c>
      <c r="H676" t="str">
        <f t="shared" si="10"/>
        <v>Wage Pressure</v>
      </c>
    </row>
    <row r="677" spans="1:8" x14ac:dyDescent="0.2">
      <c r="A677" t="str">
        <f>raw_data!A677</f>
        <v>2019Q1</v>
      </c>
      <c r="B677" t="str">
        <f>raw_data!B677</f>
        <v>Queensland</v>
      </c>
      <c r="C677" t="str">
        <f>raw_data!C677</f>
        <v>Health Care and Social Assistance</v>
      </c>
      <c r="D677">
        <f>raw_data!G677</f>
        <v>28.17</v>
      </c>
      <c r="E677">
        <f>raw_data!H677</f>
        <v>7.84</v>
      </c>
      <c r="F677">
        <f>raw_data!I677</f>
        <v>15.58</v>
      </c>
      <c r="G677">
        <f>raw_data!J677</f>
        <v>4.75</v>
      </c>
      <c r="H677" t="str">
        <f t="shared" si="10"/>
        <v>Wage Pressure</v>
      </c>
    </row>
    <row r="678" spans="1:8" x14ac:dyDescent="0.2">
      <c r="A678" t="str">
        <f>raw_data!A678</f>
        <v>2019Q1</v>
      </c>
      <c r="B678" t="str">
        <f>raw_data!B678</f>
        <v>Queensland</v>
      </c>
      <c r="C678" t="str">
        <f>raw_data!C678</f>
        <v>Manufacturing</v>
      </c>
      <c r="D678">
        <f>raw_data!G678</f>
        <v>20.69</v>
      </c>
      <c r="E678">
        <f>raw_data!H678</f>
        <v>8.48</v>
      </c>
      <c r="F678">
        <f>raw_data!I678</f>
        <v>9.81</v>
      </c>
      <c r="G678">
        <f>raw_data!J678</f>
        <v>2.4</v>
      </c>
      <c r="H678" t="str">
        <f t="shared" si="10"/>
        <v>Wage Pressure</v>
      </c>
    </row>
    <row r="679" spans="1:8" x14ac:dyDescent="0.2">
      <c r="A679" t="str">
        <f>raw_data!A679</f>
        <v>2019Q1</v>
      </c>
      <c r="B679" t="str">
        <f>raw_data!B679</f>
        <v>Queensland</v>
      </c>
      <c r="C679" t="str">
        <f>raw_data!C679</f>
        <v>Professional, Scientific and Technical Services</v>
      </c>
      <c r="D679">
        <f>raw_data!G679</f>
        <v>39.090000000000003</v>
      </c>
      <c r="E679">
        <f>raw_data!H679</f>
        <v>18.3</v>
      </c>
      <c r="F679">
        <f>raw_data!I679</f>
        <v>12.69</v>
      </c>
      <c r="G679">
        <f>raw_data!J679</f>
        <v>8.1</v>
      </c>
      <c r="H679" t="str">
        <f t="shared" si="10"/>
        <v>Vacancy Intensity</v>
      </c>
    </row>
    <row r="680" spans="1:8" x14ac:dyDescent="0.2">
      <c r="A680" t="str">
        <f>raw_data!A680</f>
        <v>2019Q1</v>
      </c>
      <c r="B680" t="str">
        <f>raw_data!B680</f>
        <v>Victoria</v>
      </c>
      <c r="C680" t="str">
        <f>raw_data!C680</f>
        <v>Accommodation and Food Services</v>
      </c>
      <c r="D680">
        <f>raw_data!G680</f>
        <v>23.33</v>
      </c>
      <c r="E680">
        <f>raw_data!H680</f>
        <v>10.29</v>
      </c>
      <c r="F680">
        <f>raw_data!I680</f>
        <v>11.54</v>
      </c>
      <c r="G680">
        <f>raw_data!J680</f>
        <v>1.5</v>
      </c>
      <c r="H680" t="str">
        <f t="shared" si="10"/>
        <v>Wage Pressure</v>
      </c>
    </row>
    <row r="681" spans="1:8" x14ac:dyDescent="0.2">
      <c r="A681" t="str">
        <f>raw_data!A681</f>
        <v>2019Q1</v>
      </c>
      <c r="B681" t="str">
        <f>raw_data!B681</f>
        <v>Victoria</v>
      </c>
      <c r="C681" t="str">
        <f>raw_data!C681</f>
        <v>Construction</v>
      </c>
      <c r="D681">
        <f>raw_data!G681</f>
        <v>17.5</v>
      </c>
      <c r="E681">
        <f>raw_data!H681</f>
        <v>6.57</v>
      </c>
      <c r="F681">
        <f>raw_data!I681</f>
        <v>8.65</v>
      </c>
      <c r="G681">
        <f>raw_data!J681</f>
        <v>2.2799999999999998</v>
      </c>
      <c r="H681" t="str">
        <f t="shared" si="10"/>
        <v>Wage Pressure</v>
      </c>
    </row>
    <row r="682" spans="1:8" x14ac:dyDescent="0.2">
      <c r="A682" t="str">
        <f>raw_data!A682</f>
        <v>2019Q1</v>
      </c>
      <c r="B682" t="str">
        <f>raw_data!B682</f>
        <v>Victoria</v>
      </c>
      <c r="C682" t="str">
        <f>raw_data!C682</f>
        <v>Education and Training</v>
      </c>
      <c r="D682">
        <f>raw_data!G682</f>
        <v>15.69</v>
      </c>
      <c r="E682">
        <f>raw_data!H682</f>
        <v>2.2799999999999998</v>
      </c>
      <c r="F682">
        <f>raw_data!I682</f>
        <v>12.12</v>
      </c>
      <c r="G682">
        <f>raw_data!J682</f>
        <v>1.29</v>
      </c>
      <c r="H682" t="str">
        <f t="shared" si="10"/>
        <v>Wage Pressure</v>
      </c>
    </row>
    <row r="683" spans="1:8" x14ac:dyDescent="0.2">
      <c r="A683" t="str">
        <f>raw_data!A683</f>
        <v>2019Q1</v>
      </c>
      <c r="B683" t="str">
        <f>raw_data!B683</f>
        <v>Victoria</v>
      </c>
      <c r="C683" t="str">
        <f>raw_data!C683</f>
        <v>Health Care and Social Assistance</v>
      </c>
      <c r="D683">
        <f>raw_data!G683</f>
        <v>26.31</v>
      </c>
      <c r="E683">
        <f>raw_data!H683</f>
        <v>6.74</v>
      </c>
      <c r="F683">
        <f>raw_data!I683</f>
        <v>15.58</v>
      </c>
      <c r="G683">
        <f>raw_data!J683</f>
        <v>3.99</v>
      </c>
      <c r="H683" t="str">
        <f t="shared" si="10"/>
        <v>Wage Pressure</v>
      </c>
    </row>
    <row r="684" spans="1:8" x14ac:dyDescent="0.2">
      <c r="A684" t="str">
        <f>raw_data!A684</f>
        <v>2019Q1</v>
      </c>
      <c r="B684" t="str">
        <f>raw_data!B684</f>
        <v>Victoria</v>
      </c>
      <c r="C684" t="str">
        <f>raw_data!C684</f>
        <v>Manufacturing</v>
      </c>
      <c r="D684">
        <f>raw_data!G684</f>
        <v>15.49</v>
      </c>
      <c r="E684">
        <f>raw_data!H684</f>
        <v>4.3</v>
      </c>
      <c r="F684">
        <f>raw_data!I684</f>
        <v>9.81</v>
      </c>
      <c r="G684">
        <f>raw_data!J684</f>
        <v>1.38</v>
      </c>
      <c r="H684" t="str">
        <f t="shared" si="10"/>
        <v>Wage Pressure</v>
      </c>
    </row>
    <row r="685" spans="1:8" x14ac:dyDescent="0.2">
      <c r="A685" t="str">
        <f>raw_data!A685</f>
        <v>2019Q1</v>
      </c>
      <c r="B685" t="str">
        <f>raw_data!B685</f>
        <v>Victoria</v>
      </c>
      <c r="C685" t="str">
        <f>raw_data!C685</f>
        <v>Professional, Scientific and Technical Services</v>
      </c>
      <c r="D685">
        <f>raw_data!G685</f>
        <v>26.83</v>
      </c>
      <c r="E685">
        <f>raw_data!H685</f>
        <v>9.27</v>
      </c>
      <c r="F685">
        <f>raw_data!I685</f>
        <v>12.69</v>
      </c>
      <c r="G685">
        <f>raw_data!J685</f>
        <v>4.87</v>
      </c>
      <c r="H685" t="str">
        <f t="shared" si="10"/>
        <v>Wage Pressure</v>
      </c>
    </row>
    <row r="686" spans="1:8" x14ac:dyDescent="0.2">
      <c r="A686" t="str">
        <f>raw_data!A686</f>
        <v>2019Q2</v>
      </c>
      <c r="B686" t="str">
        <f>raw_data!B686</f>
        <v>New South Wales</v>
      </c>
      <c r="C686" t="str">
        <f>raw_data!C686</f>
        <v>Accommodation and Food Services</v>
      </c>
      <c r="D686">
        <f>raw_data!G686</f>
        <v>18.68</v>
      </c>
      <c r="E686">
        <f>raw_data!H686</f>
        <v>5.88</v>
      </c>
      <c r="F686">
        <f>raw_data!I686</f>
        <v>11.54</v>
      </c>
      <c r="G686">
        <f>raw_data!J686</f>
        <v>1.27</v>
      </c>
      <c r="H686" t="str">
        <f t="shared" si="10"/>
        <v>Wage Pressure</v>
      </c>
    </row>
    <row r="687" spans="1:8" x14ac:dyDescent="0.2">
      <c r="A687" t="str">
        <f>raw_data!A687</f>
        <v>2019Q2</v>
      </c>
      <c r="B687" t="str">
        <f>raw_data!B687</f>
        <v>New South Wales</v>
      </c>
      <c r="C687" t="str">
        <f>raw_data!C687</f>
        <v>Construction</v>
      </c>
      <c r="D687">
        <f>raw_data!G687</f>
        <v>14.66</v>
      </c>
      <c r="E687">
        <f>raw_data!H687</f>
        <v>4.05</v>
      </c>
      <c r="F687">
        <f>raw_data!I687</f>
        <v>9.23</v>
      </c>
      <c r="G687">
        <f>raw_data!J687</f>
        <v>1.38</v>
      </c>
      <c r="H687" t="str">
        <f t="shared" si="10"/>
        <v>Wage Pressure</v>
      </c>
    </row>
    <row r="688" spans="1:8" x14ac:dyDescent="0.2">
      <c r="A688" t="str">
        <f>raw_data!A688</f>
        <v>2019Q2</v>
      </c>
      <c r="B688" t="str">
        <f>raw_data!B688</f>
        <v>New South Wales</v>
      </c>
      <c r="C688" t="str">
        <f>raw_data!C688</f>
        <v>Education and Training</v>
      </c>
      <c r="D688">
        <f>raw_data!G688</f>
        <v>16.21</v>
      </c>
      <c r="E688">
        <f>raw_data!H688</f>
        <v>1.69</v>
      </c>
      <c r="F688">
        <f>raw_data!I688</f>
        <v>12.12</v>
      </c>
      <c r="G688">
        <f>raw_data!J688</f>
        <v>2.4</v>
      </c>
      <c r="H688" t="str">
        <f t="shared" si="10"/>
        <v>Wage Pressure</v>
      </c>
    </row>
    <row r="689" spans="1:8" x14ac:dyDescent="0.2">
      <c r="A689" t="str">
        <f>raw_data!A689</f>
        <v>2019Q2</v>
      </c>
      <c r="B689" t="str">
        <f>raw_data!B689</f>
        <v>New South Wales</v>
      </c>
      <c r="C689" t="str">
        <f>raw_data!C689</f>
        <v>Health Care and Social Assistance</v>
      </c>
      <c r="D689">
        <f>raw_data!G689</f>
        <v>31.95</v>
      </c>
      <c r="E689">
        <f>raw_data!H689</f>
        <v>5.43</v>
      </c>
      <c r="F689">
        <f>raw_data!I689</f>
        <v>17.309999999999999</v>
      </c>
      <c r="G689">
        <f>raw_data!J689</f>
        <v>9.2100000000000009</v>
      </c>
      <c r="H689" t="str">
        <f t="shared" si="10"/>
        <v>Wage Pressure</v>
      </c>
    </row>
    <row r="690" spans="1:8" x14ac:dyDescent="0.2">
      <c r="A690" t="str">
        <f>raw_data!A690</f>
        <v>2019Q2</v>
      </c>
      <c r="B690" t="str">
        <f>raw_data!B690</f>
        <v>New South Wales</v>
      </c>
      <c r="C690" t="str">
        <f>raw_data!C690</f>
        <v>Manufacturing</v>
      </c>
      <c r="D690">
        <f>raw_data!G690</f>
        <v>15.53</v>
      </c>
      <c r="E690">
        <f>raw_data!H690</f>
        <v>3.92</v>
      </c>
      <c r="F690">
        <f>raw_data!I690</f>
        <v>9.81</v>
      </c>
      <c r="G690">
        <f>raw_data!J690</f>
        <v>1.81</v>
      </c>
      <c r="H690" t="str">
        <f t="shared" si="10"/>
        <v>Wage Pressure</v>
      </c>
    </row>
    <row r="691" spans="1:8" x14ac:dyDescent="0.2">
      <c r="A691" t="str">
        <f>raw_data!A691</f>
        <v>2019Q2</v>
      </c>
      <c r="B691" t="str">
        <f>raw_data!B691</f>
        <v>New South Wales</v>
      </c>
      <c r="C691" t="str">
        <f>raw_data!C691</f>
        <v>Professional, Scientific and Technical Services</v>
      </c>
      <c r="D691">
        <f>raw_data!G691</f>
        <v>24.45</v>
      </c>
      <c r="E691">
        <f>raw_data!H691</f>
        <v>7.3</v>
      </c>
      <c r="F691">
        <f>raw_data!I691</f>
        <v>12.12</v>
      </c>
      <c r="G691">
        <f>raw_data!J691</f>
        <v>5.04</v>
      </c>
      <c r="H691" t="str">
        <f t="shared" si="10"/>
        <v>Wage Pressure</v>
      </c>
    </row>
    <row r="692" spans="1:8" x14ac:dyDescent="0.2">
      <c r="A692" t="str">
        <f>raw_data!A692</f>
        <v>2019Q2</v>
      </c>
      <c r="B692" t="str">
        <f>raw_data!B692</f>
        <v>Queensland</v>
      </c>
      <c r="C692" t="str">
        <f>raw_data!C692</f>
        <v>Accommodation and Food Services</v>
      </c>
      <c r="D692">
        <f>raw_data!G692</f>
        <v>21.63</v>
      </c>
      <c r="E692">
        <f>raw_data!H692</f>
        <v>9.01</v>
      </c>
      <c r="F692">
        <f>raw_data!I692</f>
        <v>11.54</v>
      </c>
      <c r="G692">
        <f>raw_data!J692</f>
        <v>1.08</v>
      </c>
      <c r="H692" t="str">
        <f t="shared" si="10"/>
        <v>Wage Pressure</v>
      </c>
    </row>
    <row r="693" spans="1:8" x14ac:dyDescent="0.2">
      <c r="A693" t="str">
        <f>raw_data!A693</f>
        <v>2019Q2</v>
      </c>
      <c r="B693" t="str">
        <f>raw_data!B693</f>
        <v>Queensland</v>
      </c>
      <c r="C693" t="str">
        <f>raw_data!C693</f>
        <v>Construction</v>
      </c>
      <c r="D693">
        <f>raw_data!G693</f>
        <v>18.02</v>
      </c>
      <c r="E693">
        <f>raw_data!H693</f>
        <v>6.67</v>
      </c>
      <c r="F693">
        <f>raw_data!I693</f>
        <v>9.23</v>
      </c>
      <c r="G693">
        <f>raw_data!J693</f>
        <v>2.12</v>
      </c>
      <c r="H693" t="str">
        <f t="shared" si="10"/>
        <v>Wage Pressure</v>
      </c>
    </row>
    <row r="694" spans="1:8" x14ac:dyDescent="0.2">
      <c r="A694" t="str">
        <f>raw_data!A694</f>
        <v>2019Q2</v>
      </c>
      <c r="B694" t="str">
        <f>raw_data!B694</f>
        <v>Queensland</v>
      </c>
      <c r="C694" t="str">
        <f>raw_data!C694</f>
        <v>Education and Training</v>
      </c>
      <c r="D694">
        <f>raw_data!G694</f>
        <v>17.899999999999999</v>
      </c>
      <c r="E694">
        <f>raw_data!H694</f>
        <v>2.89</v>
      </c>
      <c r="F694">
        <f>raw_data!I694</f>
        <v>12.12</v>
      </c>
      <c r="G694">
        <f>raw_data!J694</f>
        <v>2.89</v>
      </c>
      <c r="H694" t="str">
        <f t="shared" si="10"/>
        <v>Wage Pressure</v>
      </c>
    </row>
    <row r="695" spans="1:8" x14ac:dyDescent="0.2">
      <c r="A695" t="str">
        <f>raw_data!A695</f>
        <v>2019Q2</v>
      </c>
      <c r="B695" t="str">
        <f>raw_data!B695</f>
        <v>Queensland</v>
      </c>
      <c r="C695" t="str">
        <f>raw_data!C695</f>
        <v>Health Care and Social Assistance</v>
      </c>
      <c r="D695">
        <f>raw_data!G695</f>
        <v>31.08</v>
      </c>
      <c r="E695">
        <f>raw_data!H695</f>
        <v>8.52</v>
      </c>
      <c r="F695">
        <f>raw_data!I695</f>
        <v>17.309999999999999</v>
      </c>
      <c r="G695">
        <f>raw_data!J695</f>
        <v>5.25</v>
      </c>
      <c r="H695" t="str">
        <f t="shared" si="10"/>
        <v>Wage Pressure</v>
      </c>
    </row>
    <row r="696" spans="1:8" x14ac:dyDescent="0.2">
      <c r="A696" t="str">
        <f>raw_data!A696</f>
        <v>2019Q2</v>
      </c>
      <c r="B696" t="str">
        <f>raw_data!B696</f>
        <v>Queensland</v>
      </c>
      <c r="C696" t="str">
        <f>raw_data!C696</f>
        <v>Manufacturing</v>
      </c>
      <c r="D696">
        <f>raw_data!G696</f>
        <v>18.5</v>
      </c>
      <c r="E696">
        <f>raw_data!H696</f>
        <v>6.93</v>
      </c>
      <c r="F696">
        <f>raw_data!I696</f>
        <v>9.81</v>
      </c>
      <c r="G696">
        <f>raw_data!J696</f>
        <v>1.77</v>
      </c>
      <c r="H696" t="str">
        <f t="shared" si="10"/>
        <v>Wage Pressure</v>
      </c>
    </row>
    <row r="697" spans="1:8" x14ac:dyDescent="0.2">
      <c r="A697" t="str">
        <f>raw_data!A697</f>
        <v>2019Q2</v>
      </c>
      <c r="B697" t="str">
        <f>raw_data!B697</f>
        <v>Queensland</v>
      </c>
      <c r="C697" t="str">
        <f>raw_data!C697</f>
        <v>Professional, Scientific and Technical Services</v>
      </c>
      <c r="D697">
        <f>raw_data!G697</f>
        <v>41.65</v>
      </c>
      <c r="E697">
        <f>raw_data!H697</f>
        <v>18.149999999999999</v>
      </c>
      <c r="F697">
        <f>raw_data!I697</f>
        <v>12.12</v>
      </c>
      <c r="G697">
        <f>raw_data!J697</f>
        <v>11.38</v>
      </c>
      <c r="H697" t="str">
        <f t="shared" si="10"/>
        <v>Vacancy Intensity</v>
      </c>
    </row>
    <row r="698" spans="1:8" x14ac:dyDescent="0.2">
      <c r="A698" t="str">
        <f>raw_data!A698</f>
        <v>2019Q2</v>
      </c>
      <c r="B698" t="str">
        <f>raw_data!B698</f>
        <v>Victoria</v>
      </c>
      <c r="C698" t="str">
        <f>raw_data!C698</f>
        <v>Accommodation and Food Services</v>
      </c>
      <c r="D698">
        <f>raw_data!G698</f>
        <v>21.71</v>
      </c>
      <c r="E698">
        <f>raw_data!H698</f>
        <v>8.91</v>
      </c>
      <c r="F698">
        <f>raw_data!I698</f>
        <v>11.54</v>
      </c>
      <c r="G698">
        <f>raw_data!J698</f>
        <v>1.26</v>
      </c>
      <c r="H698" t="str">
        <f t="shared" si="10"/>
        <v>Wage Pressure</v>
      </c>
    </row>
    <row r="699" spans="1:8" x14ac:dyDescent="0.2">
      <c r="A699" t="str">
        <f>raw_data!A699</f>
        <v>2019Q2</v>
      </c>
      <c r="B699" t="str">
        <f>raw_data!B699</f>
        <v>Victoria</v>
      </c>
      <c r="C699" t="str">
        <f>raw_data!C699</f>
        <v>Construction</v>
      </c>
      <c r="D699">
        <f>raw_data!G699</f>
        <v>16.739999999999998</v>
      </c>
      <c r="E699">
        <f>raw_data!H699</f>
        <v>4.88</v>
      </c>
      <c r="F699">
        <f>raw_data!I699</f>
        <v>9.23</v>
      </c>
      <c r="G699">
        <f>raw_data!J699</f>
        <v>2.63</v>
      </c>
      <c r="H699" t="str">
        <f t="shared" si="10"/>
        <v>Wage Pressure</v>
      </c>
    </row>
    <row r="700" spans="1:8" x14ac:dyDescent="0.2">
      <c r="A700" t="str">
        <f>raw_data!A700</f>
        <v>2019Q2</v>
      </c>
      <c r="B700" t="str">
        <f>raw_data!B700</f>
        <v>Victoria</v>
      </c>
      <c r="C700" t="str">
        <f>raw_data!C700</f>
        <v>Education and Training</v>
      </c>
      <c r="D700">
        <f>raw_data!G700</f>
        <v>16.2</v>
      </c>
      <c r="E700">
        <f>raw_data!H700</f>
        <v>1.87</v>
      </c>
      <c r="F700">
        <f>raw_data!I700</f>
        <v>12.12</v>
      </c>
      <c r="G700">
        <f>raw_data!J700</f>
        <v>2.21</v>
      </c>
      <c r="H700" t="str">
        <f t="shared" si="10"/>
        <v>Wage Pressure</v>
      </c>
    </row>
    <row r="701" spans="1:8" x14ac:dyDescent="0.2">
      <c r="A701" t="str">
        <f>raw_data!A701</f>
        <v>2019Q2</v>
      </c>
      <c r="B701" t="str">
        <f>raw_data!B701</f>
        <v>Victoria</v>
      </c>
      <c r="C701" t="str">
        <f>raw_data!C701</f>
        <v>Health Care and Social Assistance</v>
      </c>
      <c r="D701">
        <f>raw_data!G701</f>
        <v>31.22</v>
      </c>
      <c r="E701">
        <f>raw_data!H701</f>
        <v>7.2</v>
      </c>
      <c r="F701">
        <f>raw_data!I701</f>
        <v>17.309999999999999</v>
      </c>
      <c r="G701">
        <f>raw_data!J701</f>
        <v>6.71</v>
      </c>
      <c r="H701" t="str">
        <f t="shared" si="10"/>
        <v>Wage Pressure</v>
      </c>
    </row>
    <row r="702" spans="1:8" x14ac:dyDescent="0.2">
      <c r="A702" t="str">
        <f>raw_data!A702</f>
        <v>2019Q2</v>
      </c>
      <c r="B702" t="str">
        <f>raw_data!B702</f>
        <v>Victoria</v>
      </c>
      <c r="C702" t="str">
        <f>raw_data!C702</f>
        <v>Manufacturing</v>
      </c>
      <c r="D702">
        <f>raw_data!G702</f>
        <v>15.21</v>
      </c>
      <c r="E702">
        <f>raw_data!H702</f>
        <v>3.99</v>
      </c>
      <c r="F702">
        <f>raw_data!I702</f>
        <v>9.81</v>
      </c>
      <c r="G702">
        <f>raw_data!J702</f>
        <v>1.41</v>
      </c>
      <c r="H702" t="str">
        <f t="shared" si="10"/>
        <v>Wage Pressure</v>
      </c>
    </row>
    <row r="703" spans="1:8" x14ac:dyDescent="0.2">
      <c r="A703" t="str">
        <f>raw_data!A703</f>
        <v>2019Q2</v>
      </c>
      <c r="B703" t="str">
        <f>raw_data!B703</f>
        <v>Victoria</v>
      </c>
      <c r="C703" t="str">
        <f>raw_data!C703</f>
        <v>Professional, Scientific and Technical Services</v>
      </c>
      <c r="D703">
        <f>raw_data!G703</f>
        <v>26.71</v>
      </c>
      <c r="E703">
        <f>raw_data!H703</f>
        <v>9</v>
      </c>
      <c r="F703">
        <f>raw_data!I703</f>
        <v>12.12</v>
      </c>
      <c r="G703">
        <f>raw_data!J703</f>
        <v>5.59</v>
      </c>
      <c r="H703" t="str">
        <f t="shared" si="10"/>
        <v>Wage Pressure</v>
      </c>
    </row>
    <row r="704" spans="1:8" x14ac:dyDescent="0.2">
      <c r="A704" t="str">
        <f>raw_data!A704</f>
        <v>2019Q3</v>
      </c>
      <c r="B704" t="str">
        <f>raw_data!B704</f>
        <v>New South Wales</v>
      </c>
      <c r="C704" t="str">
        <f>raw_data!C704</f>
        <v>Accommodation and Food Services</v>
      </c>
      <c r="D704">
        <f>raw_data!G704</f>
        <v>17.420000000000002</v>
      </c>
      <c r="E704">
        <f>raw_data!H704</f>
        <v>6.29</v>
      </c>
      <c r="F704">
        <f>raw_data!I704</f>
        <v>9.81</v>
      </c>
      <c r="G704">
        <f>raw_data!J704</f>
        <v>1.32</v>
      </c>
      <c r="H704" t="str">
        <f t="shared" si="10"/>
        <v>Wage Pressure</v>
      </c>
    </row>
    <row r="705" spans="1:8" x14ac:dyDescent="0.2">
      <c r="A705" t="str">
        <f>raw_data!A705</f>
        <v>2019Q3</v>
      </c>
      <c r="B705" t="str">
        <f>raw_data!B705</f>
        <v>New South Wales</v>
      </c>
      <c r="C705" t="str">
        <f>raw_data!C705</f>
        <v>Construction</v>
      </c>
      <c r="D705">
        <f>raw_data!G705</f>
        <v>14.78</v>
      </c>
      <c r="E705">
        <f>raw_data!H705</f>
        <v>3.85</v>
      </c>
      <c r="F705">
        <f>raw_data!I705</f>
        <v>9.23</v>
      </c>
      <c r="G705">
        <f>raw_data!J705</f>
        <v>1.7</v>
      </c>
      <c r="H705" t="str">
        <f t="shared" si="10"/>
        <v>Wage Pressure</v>
      </c>
    </row>
    <row r="706" spans="1:8" x14ac:dyDescent="0.2">
      <c r="A706" t="str">
        <f>raw_data!A706</f>
        <v>2019Q3</v>
      </c>
      <c r="B706" t="str">
        <f>raw_data!B706</f>
        <v>New South Wales</v>
      </c>
      <c r="C706" t="str">
        <f>raw_data!C706</f>
        <v>Education and Training</v>
      </c>
      <c r="D706">
        <f>raw_data!G706</f>
        <v>16.690000000000001</v>
      </c>
      <c r="E706">
        <f>raw_data!H706</f>
        <v>1.41</v>
      </c>
      <c r="F706">
        <f>raw_data!I706</f>
        <v>10.38</v>
      </c>
      <c r="G706">
        <f>raw_data!J706</f>
        <v>4.9000000000000004</v>
      </c>
      <c r="H706" t="str">
        <f t="shared" si="10"/>
        <v>Wage Pressure</v>
      </c>
    </row>
    <row r="707" spans="1:8" x14ac:dyDescent="0.2">
      <c r="A707" t="str">
        <f>raw_data!A707</f>
        <v>2019Q3</v>
      </c>
      <c r="B707" t="str">
        <f>raw_data!B707</f>
        <v>New South Wales</v>
      </c>
      <c r="C707" t="str">
        <f>raw_data!C707</f>
        <v>Health Care and Social Assistance</v>
      </c>
      <c r="D707">
        <f>raw_data!G707</f>
        <v>25.47</v>
      </c>
      <c r="E707">
        <f>raw_data!H707</f>
        <v>4.57</v>
      </c>
      <c r="F707">
        <f>raw_data!I707</f>
        <v>16.73</v>
      </c>
      <c r="G707">
        <f>raw_data!J707</f>
        <v>4.17</v>
      </c>
      <c r="H707" t="str">
        <f t="shared" ref="H707:H770" si="11">IF(AND(E707&gt;=F707,E707&gt;=G707),"Vacancy Intensity",IF(F707&gt;=G707,"Wage Pressure","Labour Tightness"))</f>
        <v>Wage Pressure</v>
      </c>
    </row>
    <row r="708" spans="1:8" x14ac:dyDescent="0.2">
      <c r="A708" t="str">
        <f>raw_data!A708</f>
        <v>2019Q3</v>
      </c>
      <c r="B708" t="str">
        <f>raw_data!B708</f>
        <v>New South Wales</v>
      </c>
      <c r="C708" t="str">
        <f>raw_data!C708</f>
        <v>Manufacturing</v>
      </c>
      <c r="D708">
        <f>raw_data!G708</f>
        <v>15.62</v>
      </c>
      <c r="E708">
        <f>raw_data!H708</f>
        <v>4.5199999999999996</v>
      </c>
      <c r="F708">
        <f>raw_data!I708</f>
        <v>8.65</v>
      </c>
      <c r="G708">
        <f>raw_data!J708</f>
        <v>2.4500000000000002</v>
      </c>
      <c r="H708" t="str">
        <f t="shared" si="11"/>
        <v>Wage Pressure</v>
      </c>
    </row>
    <row r="709" spans="1:8" x14ac:dyDescent="0.2">
      <c r="A709" t="str">
        <f>raw_data!A709</f>
        <v>2019Q3</v>
      </c>
      <c r="B709" t="str">
        <f>raw_data!B709</f>
        <v>New South Wales</v>
      </c>
      <c r="C709" t="str">
        <f>raw_data!C709</f>
        <v>Professional, Scientific and Technical Services</v>
      </c>
      <c r="D709">
        <f>raw_data!G709</f>
        <v>23.34</v>
      </c>
      <c r="E709">
        <f>raw_data!H709</f>
        <v>6.23</v>
      </c>
      <c r="F709">
        <f>raw_data!I709</f>
        <v>12.69</v>
      </c>
      <c r="G709">
        <f>raw_data!J709</f>
        <v>4.42</v>
      </c>
      <c r="H709" t="str">
        <f t="shared" si="11"/>
        <v>Wage Pressure</v>
      </c>
    </row>
    <row r="710" spans="1:8" x14ac:dyDescent="0.2">
      <c r="A710" t="str">
        <f>raw_data!A710</f>
        <v>2019Q3</v>
      </c>
      <c r="B710" t="str">
        <f>raw_data!B710</f>
        <v>Queensland</v>
      </c>
      <c r="C710" t="str">
        <f>raw_data!C710</f>
        <v>Accommodation and Food Services</v>
      </c>
      <c r="D710">
        <f>raw_data!G710</f>
        <v>20.94</v>
      </c>
      <c r="E710">
        <f>raw_data!H710</f>
        <v>9.4700000000000006</v>
      </c>
      <c r="F710">
        <f>raw_data!I710</f>
        <v>9.81</v>
      </c>
      <c r="G710">
        <f>raw_data!J710</f>
        <v>1.67</v>
      </c>
      <c r="H710" t="str">
        <f t="shared" si="11"/>
        <v>Wage Pressure</v>
      </c>
    </row>
    <row r="711" spans="1:8" x14ac:dyDescent="0.2">
      <c r="A711" t="str">
        <f>raw_data!A711</f>
        <v>2019Q3</v>
      </c>
      <c r="B711" t="str">
        <f>raw_data!B711</f>
        <v>Queensland</v>
      </c>
      <c r="C711" t="str">
        <f>raw_data!C711</f>
        <v>Construction</v>
      </c>
      <c r="D711">
        <f>raw_data!G711</f>
        <v>17.39</v>
      </c>
      <c r="E711">
        <f>raw_data!H711</f>
        <v>5.98</v>
      </c>
      <c r="F711">
        <f>raw_data!I711</f>
        <v>9.23</v>
      </c>
      <c r="G711">
        <f>raw_data!J711</f>
        <v>2.17</v>
      </c>
      <c r="H711" t="str">
        <f t="shared" si="11"/>
        <v>Wage Pressure</v>
      </c>
    </row>
    <row r="712" spans="1:8" x14ac:dyDescent="0.2">
      <c r="A712" t="str">
        <f>raw_data!A712</f>
        <v>2019Q3</v>
      </c>
      <c r="B712" t="str">
        <f>raw_data!B712</f>
        <v>Queensland</v>
      </c>
      <c r="C712" t="str">
        <f>raw_data!C712</f>
        <v>Education and Training</v>
      </c>
      <c r="D712">
        <f>raw_data!G712</f>
        <v>16.32</v>
      </c>
      <c r="E712">
        <f>raw_data!H712</f>
        <v>2.64</v>
      </c>
      <c r="F712">
        <f>raw_data!I712</f>
        <v>10.38</v>
      </c>
      <c r="G712">
        <f>raw_data!J712</f>
        <v>3.3</v>
      </c>
      <c r="H712" t="str">
        <f t="shared" si="11"/>
        <v>Wage Pressure</v>
      </c>
    </row>
    <row r="713" spans="1:8" x14ac:dyDescent="0.2">
      <c r="A713" t="str">
        <f>raw_data!A713</f>
        <v>2019Q3</v>
      </c>
      <c r="B713" t="str">
        <f>raw_data!B713</f>
        <v>Queensland</v>
      </c>
      <c r="C713" t="str">
        <f>raw_data!C713</f>
        <v>Health Care and Social Assistance</v>
      </c>
      <c r="D713">
        <f>raw_data!G713</f>
        <v>28.61</v>
      </c>
      <c r="E713">
        <f>raw_data!H713</f>
        <v>7.64</v>
      </c>
      <c r="F713">
        <f>raw_data!I713</f>
        <v>16.73</v>
      </c>
      <c r="G713">
        <f>raw_data!J713</f>
        <v>4.24</v>
      </c>
      <c r="H713" t="str">
        <f t="shared" si="11"/>
        <v>Wage Pressure</v>
      </c>
    </row>
    <row r="714" spans="1:8" x14ac:dyDescent="0.2">
      <c r="A714" t="str">
        <f>raw_data!A714</f>
        <v>2019Q3</v>
      </c>
      <c r="B714" t="str">
        <f>raw_data!B714</f>
        <v>Queensland</v>
      </c>
      <c r="C714" t="str">
        <f>raw_data!C714</f>
        <v>Manufacturing</v>
      </c>
      <c r="D714">
        <f>raw_data!G714</f>
        <v>17.77</v>
      </c>
      <c r="E714">
        <f>raw_data!H714</f>
        <v>7.18</v>
      </c>
      <c r="F714">
        <f>raw_data!I714</f>
        <v>8.65</v>
      </c>
      <c r="G714">
        <f>raw_data!J714</f>
        <v>1.94</v>
      </c>
      <c r="H714" t="str">
        <f t="shared" si="11"/>
        <v>Wage Pressure</v>
      </c>
    </row>
    <row r="715" spans="1:8" x14ac:dyDescent="0.2">
      <c r="A715" t="str">
        <f>raw_data!A715</f>
        <v>2019Q3</v>
      </c>
      <c r="B715" t="str">
        <f>raw_data!B715</f>
        <v>Queensland</v>
      </c>
      <c r="C715" t="str">
        <f>raw_data!C715</f>
        <v>Professional, Scientific and Technical Services</v>
      </c>
      <c r="D715">
        <f>raw_data!G715</f>
        <v>34.840000000000003</v>
      </c>
      <c r="E715">
        <f>raw_data!H715</f>
        <v>15.29</v>
      </c>
      <c r="F715">
        <f>raw_data!I715</f>
        <v>12.69</v>
      </c>
      <c r="G715">
        <f>raw_data!J715</f>
        <v>6.86</v>
      </c>
      <c r="H715" t="str">
        <f t="shared" si="11"/>
        <v>Vacancy Intensity</v>
      </c>
    </row>
    <row r="716" spans="1:8" x14ac:dyDescent="0.2">
      <c r="A716" t="str">
        <f>raw_data!A716</f>
        <v>2019Q3</v>
      </c>
      <c r="B716" t="str">
        <f>raw_data!B716</f>
        <v>Victoria</v>
      </c>
      <c r="C716" t="str">
        <f>raw_data!C716</f>
        <v>Accommodation and Food Services</v>
      </c>
      <c r="D716">
        <f>raw_data!G716</f>
        <v>19.88</v>
      </c>
      <c r="E716">
        <f>raw_data!H716</f>
        <v>8.68</v>
      </c>
      <c r="F716">
        <f>raw_data!I716</f>
        <v>9.81</v>
      </c>
      <c r="G716">
        <f>raw_data!J716</f>
        <v>1.4</v>
      </c>
      <c r="H716" t="str">
        <f t="shared" si="11"/>
        <v>Wage Pressure</v>
      </c>
    </row>
    <row r="717" spans="1:8" x14ac:dyDescent="0.2">
      <c r="A717" t="str">
        <f>raw_data!A717</f>
        <v>2019Q3</v>
      </c>
      <c r="B717" t="str">
        <f>raw_data!B717</f>
        <v>Victoria</v>
      </c>
      <c r="C717" t="str">
        <f>raw_data!C717</f>
        <v>Construction</v>
      </c>
      <c r="D717">
        <f>raw_data!G717</f>
        <v>16.96</v>
      </c>
      <c r="E717">
        <f>raw_data!H717</f>
        <v>4.72</v>
      </c>
      <c r="F717">
        <f>raw_data!I717</f>
        <v>9.23</v>
      </c>
      <c r="G717">
        <f>raw_data!J717</f>
        <v>3</v>
      </c>
      <c r="H717" t="str">
        <f t="shared" si="11"/>
        <v>Wage Pressure</v>
      </c>
    </row>
    <row r="718" spans="1:8" x14ac:dyDescent="0.2">
      <c r="A718" t="str">
        <f>raw_data!A718</f>
        <v>2019Q3</v>
      </c>
      <c r="B718" t="str">
        <f>raw_data!B718</f>
        <v>Victoria</v>
      </c>
      <c r="C718" t="str">
        <f>raw_data!C718</f>
        <v>Education and Training</v>
      </c>
      <c r="D718">
        <f>raw_data!G718</f>
        <v>14.53</v>
      </c>
      <c r="E718">
        <f>raw_data!H718</f>
        <v>1.57</v>
      </c>
      <c r="F718">
        <f>raw_data!I718</f>
        <v>10.38</v>
      </c>
      <c r="G718">
        <f>raw_data!J718</f>
        <v>2.57</v>
      </c>
      <c r="H718" t="str">
        <f t="shared" si="11"/>
        <v>Wage Pressure</v>
      </c>
    </row>
    <row r="719" spans="1:8" x14ac:dyDescent="0.2">
      <c r="A719" t="str">
        <f>raw_data!A719</f>
        <v>2019Q3</v>
      </c>
      <c r="B719" t="str">
        <f>raw_data!B719</f>
        <v>Victoria</v>
      </c>
      <c r="C719" t="str">
        <f>raw_data!C719</f>
        <v>Health Care and Social Assistance</v>
      </c>
      <c r="D719">
        <f>raw_data!G719</f>
        <v>27.02</v>
      </c>
      <c r="E719">
        <f>raw_data!H719</f>
        <v>6.33</v>
      </c>
      <c r="F719">
        <f>raw_data!I719</f>
        <v>16.73</v>
      </c>
      <c r="G719">
        <f>raw_data!J719</f>
        <v>3.96</v>
      </c>
      <c r="H719" t="str">
        <f t="shared" si="11"/>
        <v>Wage Pressure</v>
      </c>
    </row>
    <row r="720" spans="1:8" x14ac:dyDescent="0.2">
      <c r="A720" t="str">
        <f>raw_data!A720</f>
        <v>2019Q3</v>
      </c>
      <c r="B720" t="str">
        <f>raw_data!B720</f>
        <v>Victoria</v>
      </c>
      <c r="C720" t="str">
        <f>raw_data!C720</f>
        <v>Manufacturing</v>
      </c>
      <c r="D720">
        <f>raw_data!G720</f>
        <v>14.72</v>
      </c>
      <c r="E720">
        <f>raw_data!H720</f>
        <v>4</v>
      </c>
      <c r="F720">
        <f>raw_data!I720</f>
        <v>8.65</v>
      </c>
      <c r="G720">
        <f>raw_data!J720</f>
        <v>2.0699999999999998</v>
      </c>
      <c r="H720" t="str">
        <f t="shared" si="11"/>
        <v>Wage Pressure</v>
      </c>
    </row>
    <row r="721" spans="1:8" x14ac:dyDescent="0.2">
      <c r="A721" t="str">
        <f>raw_data!A721</f>
        <v>2019Q3</v>
      </c>
      <c r="B721" t="str">
        <f>raw_data!B721</f>
        <v>Victoria</v>
      </c>
      <c r="C721" t="str">
        <f>raw_data!C721</f>
        <v>Professional, Scientific and Technical Services</v>
      </c>
      <c r="D721">
        <f>raw_data!G721</f>
        <v>24.51</v>
      </c>
      <c r="E721">
        <f>raw_data!H721</f>
        <v>7.36</v>
      </c>
      <c r="F721">
        <f>raw_data!I721</f>
        <v>12.69</v>
      </c>
      <c r="G721">
        <f>raw_data!J721</f>
        <v>4.46</v>
      </c>
      <c r="H721" t="str">
        <f t="shared" si="11"/>
        <v>Wage Pressure</v>
      </c>
    </row>
    <row r="722" spans="1:8" x14ac:dyDescent="0.2">
      <c r="A722" t="str">
        <f>raw_data!A722</f>
        <v>2019Q4</v>
      </c>
      <c r="B722" t="str">
        <f>raw_data!B722</f>
        <v>New South Wales</v>
      </c>
      <c r="C722" t="str">
        <f>raw_data!C722</f>
        <v>Accommodation and Food Services</v>
      </c>
      <c r="D722">
        <f>raw_data!G722</f>
        <v>18.13</v>
      </c>
      <c r="E722">
        <f>raw_data!H722</f>
        <v>5.95</v>
      </c>
      <c r="F722">
        <f>raw_data!I722</f>
        <v>10.96</v>
      </c>
      <c r="G722">
        <f>raw_data!J722</f>
        <v>1.21</v>
      </c>
      <c r="H722" t="str">
        <f t="shared" si="11"/>
        <v>Wage Pressure</v>
      </c>
    </row>
    <row r="723" spans="1:8" x14ac:dyDescent="0.2">
      <c r="A723" t="str">
        <f>raw_data!A723</f>
        <v>2019Q4</v>
      </c>
      <c r="B723" t="str">
        <f>raw_data!B723</f>
        <v>New South Wales</v>
      </c>
      <c r="C723" t="str">
        <f>raw_data!C723</f>
        <v>Construction</v>
      </c>
      <c r="D723">
        <f>raw_data!G723</f>
        <v>14.18</v>
      </c>
      <c r="E723">
        <f>raw_data!H723</f>
        <v>4.4400000000000004</v>
      </c>
      <c r="F723">
        <f>raw_data!I723</f>
        <v>8.65</v>
      </c>
      <c r="G723">
        <f>raw_data!J723</f>
        <v>1.0900000000000001</v>
      </c>
      <c r="H723" t="str">
        <f t="shared" si="11"/>
        <v>Wage Pressure</v>
      </c>
    </row>
    <row r="724" spans="1:8" x14ac:dyDescent="0.2">
      <c r="A724" t="str">
        <f>raw_data!A724</f>
        <v>2019Q4</v>
      </c>
      <c r="B724" t="str">
        <f>raw_data!B724</f>
        <v>New South Wales</v>
      </c>
      <c r="C724" t="str">
        <f>raw_data!C724</f>
        <v>Education and Training</v>
      </c>
      <c r="D724">
        <f>raw_data!G724</f>
        <v>12.63</v>
      </c>
      <c r="E724">
        <f>raw_data!H724</f>
        <v>1.64</v>
      </c>
      <c r="F724">
        <f>raw_data!I724</f>
        <v>9.23</v>
      </c>
      <c r="G724">
        <f>raw_data!J724</f>
        <v>1.76</v>
      </c>
      <c r="H724" t="str">
        <f t="shared" si="11"/>
        <v>Wage Pressure</v>
      </c>
    </row>
    <row r="725" spans="1:8" x14ac:dyDescent="0.2">
      <c r="A725" t="str">
        <f>raw_data!A725</f>
        <v>2019Q4</v>
      </c>
      <c r="B725" t="str">
        <f>raw_data!B725</f>
        <v>New South Wales</v>
      </c>
      <c r="C725" t="str">
        <f>raw_data!C725</f>
        <v>Health Care and Social Assistance</v>
      </c>
      <c r="D725">
        <f>raw_data!G725</f>
        <v>25.05</v>
      </c>
      <c r="E725">
        <f>raw_data!H725</f>
        <v>4.71</v>
      </c>
      <c r="F725">
        <f>raw_data!I725</f>
        <v>16.149999999999999</v>
      </c>
      <c r="G725">
        <f>raw_data!J725</f>
        <v>4.1900000000000004</v>
      </c>
      <c r="H725" t="str">
        <f t="shared" si="11"/>
        <v>Wage Pressure</v>
      </c>
    </row>
    <row r="726" spans="1:8" x14ac:dyDescent="0.2">
      <c r="A726" t="str">
        <f>raw_data!A726</f>
        <v>2019Q4</v>
      </c>
      <c r="B726" t="str">
        <f>raw_data!B726</f>
        <v>New South Wales</v>
      </c>
      <c r="C726" t="str">
        <f>raw_data!C726</f>
        <v>Manufacturing</v>
      </c>
      <c r="D726">
        <f>raw_data!G726</f>
        <v>13.9</v>
      </c>
      <c r="E726">
        <f>raw_data!H726</f>
        <v>3.81</v>
      </c>
      <c r="F726">
        <f>raw_data!I726</f>
        <v>8.65</v>
      </c>
      <c r="G726">
        <f>raw_data!J726</f>
        <v>1.43</v>
      </c>
      <c r="H726" t="str">
        <f t="shared" si="11"/>
        <v>Wage Pressure</v>
      </c>
    </row>
    <row r="727" spans="1:8" x14ac:dyDescent="0.2">
      <c r="A727" t="str">
        <f>raw_data!A727</f>
        <v>2019Q4</v>
      </c>
      <c r="B727" t="str">
        <f>raw_data!B727</f>
        <v>New South Wales</v>
      </c>
      <c r="C727" t="str">
        <f>raw_data!C727</f>
        <v>Professional, Scientific and Technical Services</v>
      </c>
      <c r="D727">
        <f>raw_data!G727</f>
        <v>25.84</v>
      </c>
      <c r="E727">
        <f>raw_data!H727</f>
        <v>5.75</v>
      </c>
      <c r="F727">
        <f>raw_data!I727</f>
        <v>11.54</v>
      </c>
      <c r="G727">
        <f>raw_data!J727</f>
        <v>8.5500000000000007</v>
      </c>
      <c r="H727" t="str">
        <f t="shared" si="11"/>
        <v>Wage Pressure</v>
      </c>
    </row>
    <row r="728" spans="1:8" x14ac:dyDescent="0.2">
      <c r="A728" t="str">
        <f>raw_data!A728</f>
        <v>2019Q4</v>
      </c>
      <c r="B728" t="str">
        <f>raw_data!B728</f>
        <v>Queensland</v>
      </c>
      <c r="C728" t="str">
        <f>raw_data!C728</f>
        <v>Accommodation and Food Services</v>
      </c>
      <c r="D728">
        <f>raw_data!G728</f>
        <v>20.79</v>
      </c>
      <c r="E728">
        <f>raw_data!H728</f>
        <v>8.23</v>
      </c>
      <c r="F728">
        <f>raw_data!I728</f>
        <v>10.96</v>
      </c>
      <c r="G728">
        <f>raw_data!J728</f>
        <v>1.59</v>
      </c>
      <c r="H728" t="str">
        <f t="shared" si="11"/>
        <v>Wage Pressure</v>
      </c>
    </row>
    <row r="729" spans="1:8" x14ac:dyDescent="0.2">
      <c r="A729" t="str">
        <f>raw_data!A729</f>
        <v>2019Q4</v>
      </c>
      <c r="B729" t="str">
        <f>raw_data!B729</f>
        <v>Queensland</v>
      </c>
      <c r="C729" t="str">
        <f>raw_data!C729</f>
        <v>Construction</v>
      </c>
      <c r="D729">
        <f>raw_data!G729</f>
        <v>17.239999999999998</v>
      </c>
      <c r="E729">
        <f>raw_data!H729</f>
        <v>6.77</v>
      </c>
      <c r="F729">
        <f>raw_data!I729</f>
        <v>8.65</v>
      </c>
      <c r="G729">
        <f>raw_data!J729</f>
        <v>1.82</v>
      </c>
      <c r="H729" t="str">
        <f t="shared" si="11"/>
        <v>Wage Pressure</v>
      </c>
    </row>
    <row r="730" spans="1:8" x14ac:dyDescent="0.2">
      <c r="A730" t="str">
        <f>raw_data!A730</f>
        <v>2019Q4</v>
      </c>
      <c r="B730" t="str">
        <f>raw_data!B730</f>
        <v>Queensland</v>
      </c>
      <c r="C730" t="str">
        <f>raw_data!C730</f>
        <v>Education and Training</v>
      </c>
      <c r="D730">
        <f>raw_data!G730</f>
        <v>14.41</v>
      </c>
      <c r="E730">
        <f>raw_data!H730</f>
        <v>3.13</v>
      </c>
      <c r="F730">
        <f>raw_data!I730</f>
        <v>9.23</v>
      </c>
      <c r="G730">
        <f>raw_data!J730</f>
        <v>2.0499999999999998</v>
      </c>
      <c r="H730" t="str">
        <f t="shared" si="11"/>
        <v>Wage Pressure</v>
      </c>
    </row>
    <row r="731" spans="1:8" x14ac:dyDescent="0.2">
      <c r="A731" t="str">
        <f>raw_data!A731</f>
        <v>2019Q4</v>
      </c>
      <c r="B731" t="str">
        <f>raw_data!B731</f>
        <v>Queensland</v>
      </c>
      <c r="C731" t="str">
        <f>raw_data!C731</f>
        <v>Health Care and Social Assistance</v>
      </c>
      <c r="D731">
        <f>raw_data!G731</f>
        <v>30.34</v>
      </c>
      <c r="E731">
        <f>raw_data!H731</f>
        <v>7.87</v>
      </c>
      <c r="F731">
        <f>raw_data!I731</f>
        <v>16.149999999999999</v>
      </c>
      <c r="G731">
        <f>raw_data!J731</f>
        <v>6.32</v>
      </c>
      <c r="H731" t="str">
        <f t="shared" si="11"/>
        <v>Wage Pressure</v>
      </c>
    </row>
    <row r="732" spans="1:8" x14ac:dyDescent="0.2">
      <c r="A732" t="str">
        <f>raw_data!A732</f>
        <v>2019Q4</v>
      </c>
      <c r="B732" t="str">
        <f>raw_data!B732</f>
        <v>Queensland</v>
      </c>
      <c r="C732" t="str">
        <f>raw_data!C732</f>
        <v>Manufacturing</v>
      </c>
      <c r="D732">
        <f>raw_data!G732</f>
        <v>19.38</v>
      </c>
      <c r="E732">
        <f>raw_data!H732</f>
        <v>6.61</v>
      </c>
      <c r="F732">
        <f>raw_data!I732</f>
        <v>8.65</v>
      </c>
      <c r="G732">
        <f>raw_data!J732</f>
        <v>4.12</v>
      </c>
      <c r="H732" t="str">
        <f t="shared" si="11"/>
        <v>Wage Pressure</v>
      </c>
    </row>
    <row r="733" spans="1:8" x14ac:dyDescent="0.2">
      <c r="A733" t="str">
        <f>raw_data!A733</f>
        <v>2019Q4</v>
      </c>
      <c r="B733" t="str">
        <f>raw_data!B733</f>
        <v>Queensland</v>
      </c>
      <c r="C733" t="str">
        <f>raw_data!C733</f>
        <v>Professional, Scientific and Technical Services</v>
      </c>
      <c r="D733">
        <f>raw_data!G733</f>
        <v>33.229999999999997</v>
      </c>
      <c r="E733">
        <f>raw_data!H733</f>
        <v>13.23</v>
      </c>
      <c r="F733">
        <f>raw_data!I733</f>
        <v>11.54</v>
      </c>
      <c r="G733">
        <f>raw_data!J733</f>
        <v>8.4600000000000009</v>
      </c>
      <c r="H733" t="str">
        <f t="shared" si="11"/>
        <v>Vacancy Intensity</v>
      </c>
    </row>
    <row r="734" spans="1:8" x14ac:dyDescent="0.2">
      <c r="A734" t="str">
        <f>raw_data!A734</f>
        <v>2019Q4</v>
      </c>
      <c r="B734" t="str">
        <f>raw_data!B734</f>
        <v>Victoria</v>
      </c>
      <c r="C734" t="str">
        <f>raw_data!C734</f>
        <v>Accommodation and Food Services</v>
      </c>
      <c r="D734">
        <f>raw_data!G734</f>
        <v>20.81</v>
      </c>
      <c r="E734">
        <f>raw_data!H734</f>
        <v>8.4600000000000009</v>
      </c>
      <c r="F734">
        <f>raw_data!I734</f>
        <v>10.96</v>
      </c>
      <c r="G734">
        <f>raw_data!J734</f>
        <v>1.39</v>
      </c>
      <c r="H734" t="str">
        <f t="shared" si="11"/>
        <v>Wage Pressure</v>
      </c>
    </row>
    <row r="735" spans="1:8" x14ac:dyDescent="0.2">
      <c r="A735" t="str">
        <f>raw_data!A735</f>
        <v>2019Q4</v>
      </c>
      <c r="B735" t="str">
        <f>raw_data!B735</f>
        <v>Victoria</v>
      </c>
      <c r="C735" t="str">
        <f>raw_data!C735</f>
        <v>Construction</v>
      </c>
      <c r="D735">
        <f>raw_data!G735</f>
        <v>16.940000000000001</v>
      </c>
      <c r="E735">
        <f>raw_data!H735</f>
        <v>4.83</v>
      </c>
      <c r="F735">
        <f>raw_data!I735</f>
        <v>8.65</v>
      </c>
      <c r="G735">
        <f>raw_data!J735</f>
        <v>3.46</v>
      </c>
      <c r="H735" t="str">
        <f t="shared" si="11"/>
        <v>Wage Pressure</v>
      </c>
    </row>
    <row r="736" spans="1:8" x14ac:dyDescent="0.2">
      <c r="A736" t="str">
        <f>raw_data!A736</f>
        <v>2019Q4</v>
      </c>
      <c r="B736" t="str">
        <f>raw_data!B736</f>
        <v>Victoria</v>
      </c>
      <c r="C736" t="str">
        <f>raw_data!C736</f>
        <v>Education and Training</v>
      </c>
      <c r="D736">
        <f>raw_data!G736</f>
        <v>13.17</v>
      </c>
      <c r="E736">
        <f>raw_data!H736</f>
        <v>1.94</v>
      </c>
      <c r="F736">
        <f>raw_data!I736</f>
        <v>9.23</v>
      </c>
      <c r="G736">
        <f>raw_data!J736</f>
        <v>2</v>
      </c>
      <c r="H736" t="str">
        <f t="shared" si="11"/>
        <v>Wage Pressure</v>
      </c>
    </row>
    <row r="737" spans="1:8" x14ac:dyDescent="0.2">
      <c r="A737" t="str">
        <f>raw_data!A737</f>
        <v>2019Q4</v>
      </c>
      <c r="B737" t="str">
        <f>raw_data!B737</f>
        <v>Victoria</v>
      </c>
      <c r="C737" t="str">
        <f>raw_data!C737</f>
        <v>Health Care and Social Assistance</v>
      </c>
      <c r="D737">
        <f>raw_data!G737</f>
        <v>27.95</v>
      </c>
      <c r="E737">
        <f>raw_data!H737</f>
        <v>5.95</v>
      </c>
      <c r="F737">
        <f>raw_data!I737</f>
        <v>16.149999999999999</v>
      </c>
      <c r="G737">
        <f>raw_data!J737</f>
        <v>5.85</v>
      </c>
      <c r="H737" t="str">
        <f t="shared" si="11"/>
        <v>Wage Pressure</v>
      </c>
    </row>
    <row r="738" spans="1:8" x14ac:dyDescent="0.2">
      <c r="A738" t="str">
        <f>raw_data!A738</f>
        <v>2019Q4</v>
      </c>
      <c r="B738" t="str">
        <f>raw_data!B738</f>
        <v>Victoria</v>
      </c>
      <c r="C738" t="str">
        <f>raw_data!C738</f>
        <v>Manufacturing</v>
      </c>
      <c r="D738">
        <f>raw_data!G738</f>
        <v>14.56</v>
      </c>
      <c r="E738">
        <f>raw_data!H738</f>
        <v>3.3</v>
      </c>
      <c r="F738">
        <f>raw_data!I738</f>
        <v>8.65</v>
      </c>
      <c r="G738">
        <f>raw_data!J738</f>
        <v>2.61</v>
      </c>
      <c r="H738" t="str">
        <f t="shared" si="11"/>
        <v>Wage Pressure</v>
      </c>
    </row>
    <row r="739" spans="1:8" x14ac:dyDescent="0.2">
      <c r="A739" t="str">
        <f>raw_data!A739</f>
        <v>2019Q4</v>
      </c>
      <c r="B739" t="str">
        <f>raw_data!B739</f>
        <v>Victoria</v>
      </c>
      <c r="C739" t="str">
        <f>raw_data!C739</f>
        <v>Professional, Scientific and Technical Services</v>
      </c>
      <c r="D739">
        <f>raw_data!G739</f>
        <v>23.64</v>
      </c>
      <c r="E739">
        <f>raw_data!H739</f>
        <v>7.94</v>
      </c>
      <c r="F739">
        <f>raw_data!I739</f>
        <v>11.54</v>
      </c>
      <c r="G739">
        <f>raw_data!J739</f>
        <v>4.16</v>
      </c>
      <c r="H739" t="str">
        <f t="shared" si="11"/>
        <v>Wage Pressure</v>
      </c>
    </row>
    <row r="740" spans="1:8" x14ac:dyDescent="0.2">
      <c r="A740" t="str">
        <f>raw_data!A740</f>
        <v>2020Q1</v>
      </c>
      <c r="B740" t="str">
        <f>raw_data!B740</f>
        <v>New South Wales</v>
      </c>
      <c r="C740" t="str">
        <f>raw_data!C740</f>
        <v>Accommodation and Food Services</v>
      </c>
      <c r="D740">
        <f>raw_data!G740</f>
        <v>18.18</v>
      </c>
      <c r="E740">
        <f>raw_data!H740</f>
        <v>6.28</v>
      </c>
      <c r="F740">
        <f>raw_data!I740</f>
        <v>10.96</v>
      </c>
      <c r="G740">
        <f>raw_data!J740</f>
        <v>0.94</v>
      </c>
      <c r="H740" t="str">
        <f t="shared" si="11"/>
        <v>Wage Pressure</v>
      </c>
    </row>
    <row r="741" spans="1:8" x14ac:dyDescent="0.2">
      <c r="A741" t="str">
        <f>raw_data!A741</f>
        <v>2020Q1</v>
      </c>
      <c r="B741" t="str">
        <f>raw_data!B741</f>
        <v>New South Wales</v>
      </c>
      <c r="C741" t="str">
        <f>raw_data!C741</f>
        <v>Construction</v>
      </c>
      <c r="D741">
        <f>raw_data!G741</f>
        <v>14.07</v>
      </c>
      <c r="E741">
        <f>raw_data!H741</f>
        <v>4.2300000000000004</v>
      </c>
      <c r="F741">
        <f>raw_data!I741</f>
        <v>8.65</v>
      </c>
      <c r="G741">
        <f>raw_data!J741</f>
        <v>1.18</v>
      </c>
      <c r="H741" t="str">
        <f t="shared" si="11"/>
        <v>Wage Pressure</v>
      </c>
    </row>
    <row r="742" spans="1:8" x14ac:dyDescent="0.2">
      <c r="A742" t="str">
        <f>raw_data!A742</f>
        <v>2020Q1</v>
      </c>
      <c r="B742" t="str">
        <f>raw_data!B742</f>
        <v>New South Wales</v>
      </c>
      <c r="C742" t="str">
        <f>raw_data!C742</f>
        <v>Education and Training</v>
      </c>
      <c r="D742">
        <f>raw_data!G742</f>
        <v>13.67</v>
      </c>
      <c r="E742">
        <f>raw_data!H742</f>
        <v>1.87</v>
      </c>
      <c r="F742">
        <f>raw_data!I742</f>
        <v>10.96</v>
      </c>
      <c r="G742">
        <f>raw_data!J742</f>
        <v>0.85</v>
      </c>
      <c r="H742" t="str">
        <f t="shared" si="11"/>
        <v>Wage Pressure</v>
      </c>
    </row>
    <row r="743" spans="1:8" x14ac:dyDescent="0.2">
      <c r="A743" t="str">
        <f>raw_data!A743</f>
        <v>2020Q1</v>
      </c>
      <c r="B743" t="str">
        <f>raw_data!B743</f>
        <v>New South Wales</v>
      </c>
      <c r="C743" t="str">
        <f>raw_data!C743</f>
        <v>Health Care and Social Assistance</v>
      </c>
      <c r="D743">
        <f>raw_data!G743</f>
        <v>24.72</v>
      </c>
      <c r="E743">
        <f>raw_data!H743</f>
        <v>4.95</v>
      </c>
      <c r="F743">
        <f>raw_data!I743</f>
        <v>15.58</v>
      </c>
      <c r="G743">
        <f>raw_data!J743</f>
        <v>4.2</v>
      </c>
      <c r="H743" t="str">
        <f t="shared" si="11"/>
        <v>Wage Pressure</v>
      </c>
    </row>
    <row r="744" spans="1:8" x14ac:dyDescent="0.2">
      <c r="A744" t="str">
        <f>raw_data!A744</f>
        <v>2020Q1</v>
      </c>
      <c r="B744" t="str">
        <f>raw_data!B744</f>
        <v>New South Wales</v>
      </c>
      <c r="C744" t="str">
        <f>raw_data!C744</f>
        <v>Manufacturing</v>
      </c>
      <c r="D744">
        <f>raw_data!G744</f>
        <v>16.5</v>
      </c>
      <c r="E744">
        <f>raw_data!H744</f>
        <v>4.1100000000000003</v>
      </c>
      <c r="F744">
        <f>raw_data!I744</f>
        <v>9.81</v>
      </c>
      <c r="G744">
        <f>raw_data!J744</f>
        <v>2.58</v>
      </c>
      <c r="H744" t="str">
        <f t="shared" si="11"/>
        <v>Wage Pressure</v>
      </c>
    </row>
    <row r="745" spans="1:8" x14ac:dyDescent="0.2">
      <c r="A745" t="str">
        <f>raw_data!A745</f>
        <v>2020Q1</v>
      </c>
      <c r="B745" t="str">
        <f>raw_data!B745</f>
        <v>New South Wales</v>
      </c>
      <c r="C745" t="str">
        <f>raw_data!C745</f>
        <v>Professional, Scientific and Technical Services</v>
      </c>
      <c r="D745">
        <f>raw_data!G745</f>
        <v>21.34</v>
      </c>
      <c r="E745">
        <f>raw_data!H745</f>
        <v>6.37</v>
      </c>
      <c r="F745">
        <f>raw_data!I745</f>
        <v>10.96</v>
      </c>
      <c r="G745">
        <f>raw_data!J745</f>
        <v>4.01</v>
      </c>
      <c r="H745" t="str">
        <f t="shared" si="11"/>
        <v>Wage Pressure</v>
      </c>
    </row>
    <row r="746" spans="1:8" x14ac:dyDescent="0.2">
      <c r="A746" t="str">
        <f>raw_data!A746</f>
        <v>2020Q1</v>
      </c>
      <c r="B746" t="str">
        <f>raw_data!B746</f>
        <v>Queensland</v>
      </c>
      <c r="C746" t="str">
        <f>raw_data!C746</f>
        <v>Accommodation and Food Services</v>
      </c>
      <c r="D746">
        <f>raw_data!G746</f>
        <v>20.83</v>
      </c>
      <c r="E746">
        <f>raw_data!H746</f>
        <v>8.67</v>
      </c>
      <c r="F746">
        <f>raw_data!I746</f>
        <v>10.96</v>
      </c>
      <c r="G746">
        <f>raw_data!J746</f>
        <v>1.19</v>
      </c>
      <c r="H746" t="str">
        <f t="shared" si="11"/>
        <v>Wage Pressure</v>
      </c>
    </row>
    <row r="747" spans="1:8" x14ac:dyDescent="0.2">
      <c r="A747" t="str">
        <f>raw_data!A747</f>
        <v>2020Q1</v>
      </c>
      <c r="B747" t="str">
        <f>raw_data!B747</f>
        <v>Queensland</v>
      </c>
      <c r="C747" t="str">
        <f>raw_data!C747</f>
        <v>Construction</v>
      </c>
      <c r="D747">
        <f>raw_data!G747</f>
        <v>17.04</v>
      </c>
      <c r="E747">
        <f>raw_data!H747</f>
        <v>6.67</v>
      </c>
      <c r="F747">
        <f>raw_data!I747</f>
        <v>8.65</v>
      </c>
      <c r="G747">
        <f>raw_data!J747</f>
        <v>1.72</v>
      </c>
      <c r="H747" t="str">
        <f t="shared" si="11"/>
        <v>Wage Pressure</v>
      </c>
    </row>
    <row r="748" spans="1:8" x14ac:dyDescent="0.2">
      <c r="A748" t="str">
        <f>raw_data!A748</f>
        <v>2020Q1</v>
      </c>
      <c r="B748" t="str">
        <f>raw_data!B748</f>
        <v>Queensland</v>
      </c>
      <c r="C748" t="str">
        <f>raw_data!C748</f>
        <v>Education and Training</v>
      </c>
      <c r="D748">
        <f>raw_data!G748</f>
        <v>15.67</v>
      </c>
      <c r="E748">
        <f>raw_data!H748</f>
        <v>2.97</v>
      </c>
      <c r="F748">
        <f>raw_data!I748</f>
        <v>10.96</v>
      </c>
      <c r="G748">
        <f>raw_data!J748</f>
        <v>1.74</v>
      </c>
      <c r="H748" t="str">
        <f t="shared" si="11"/>
        <v>Wage Pressure</v>
      </c>
    </row>
    <row r="749" spans="1:8" x14ac:dyDescent="0.2">
      <c r="A749" t="str">
        <f>raw_data!A749</f>
        <v>2020Q1</v>
      </c>
      <c r="B749" t="str">
        <f>raw_data!B749</f>
        <v>Queensland</v>
      </c>
      <c r="C749" t="str">
        <f>raw_data!C749</f>
        <v>Health Care and Social Assistance</v>
      </c>
      <c r="D749">
        <f>raw_data!G749</f>
        <v>29.85</v>
      </c>
      <c r="E749">
        <f>raw_data!H749</f>
        <v>8.58</v>
      </c>
      <c r="F749">
        <f>raw_data!I749</f>
        <v>15.58</v>
      </c>
      <c r="G749">
        <f>raw_data!J749</f>
        <v>5.69</v>
      </c>
      <c r="H749" t="str">
        <f t="shared" si="11"/>
        <v>Wage Pressure</v>
      </c>
    </row>
    <row r="750" spans="1:8" x14ac:dyDescent="0.2">
      <c r="A750" t="str">
        <f>raw_data!A750</f>
        <v>2020Q1</v>
      </c>
      <c r="B750" t="str">
        <f>raw_data!B750</f>
        <v>Queensland</v>
      </c>
      <c r="C750" t="str">
        <f>raw_data!C750</f>
        <v>Manufacturing</v>
      </c>
      <c r="D750">
        <f>raw_data!G750</f>
        <v>21.64</v>
      </c>
      <c r="E750">
        <f>raw_data!H750</f>
        <v>7.86</v>
      </c>
      <c r="F750">
        <f>raw_data!I750</f>
        <v>9.81</v>
      </c>
      <c r="G750">
        <f>raw_data!J750</f>
        <v>3.97</v>
      </c>
      <c r="H750" t="str">
        <f t="shared" si="11"/>
        <v>Wage Pressure</v>
      </c>
    </row>
    <row r="751" spans="1:8" x14ac:dyDescent="0.2">
      <c r="A751" t="str">
        <f>raw_data!A751</f>
        <v>2020Q1</v>
      </c>
      <c r="B751" t="str">
        <f>raw_data!B751</f>
        <v>Queensland</v>
      </c>
      <c r="C751" t="str">
        <f>raw_data!C751</f>
        <v>Professional, Scientific and Technical Services</v>
      </c>
      <c r="D751">
        <f>raw_data!G751</f>
        <v>33.950000000000003</v>
      </c>
      <c r="E751">
        <f>raw_data!H751</f>
        <v>13.89</v>
      </c>
      <c r="F751">
        <f>raw_data!I751</f>
        <v>10.96</v>
      </c>
      <c r="G751">
        <f>raw_data!J751</f>
        <v>9.1</v>
      </c>
      <c r="H751" t="str">
        <f t="shared" si="11"/>
        <v>Vacancy Intensity</v>
      </c>
    </row>
    <row r="752" spans="1:8" x14ac:dyDescent="0.2">
      <c r="A752" t="str">
        <f>raw_data!A752</f>
        <v>2020Q1</v>
      </c>
      <c r="B752" t="str">
        <f>raw_data!B752</f>
        <v>Victoria</v>
      </c>
      <c r="C752" t="str">
        <f>raw_data!C752</f>
        <v>Accommodation and Food Services</v>
      </c>
      <c r="D752">
        <f>raw_data!G752</f>
        <v>19.84</v>
      </c>
      <c r="E752">
        <f>raw_data!H752</f>
        <v>7.89</v>
      </c>
      <c r="F752">
        <f>raw_data!I752</f>
        <v>10.96</v>
      </c>
      <c r="G752">
        <f>raw_data!J752</f>
        <v>0.98</v>
      </c>
      <c r="H752" t="str">
        <f t="shared" si="11"/>
        <v>Wage Pressure</v>
      </c>
    </row>
    <row r="753" spans="1:8" x14ac:dyDescent="0.2">
      <c r="A753" t="str">
        <f>raw_data!A753</f>
        <v>2020Q1</v>
      </c>
      <c r="B753" t="str">
        <f>raw_data!B753</f>
        <v>Victoria</v>
      </c>
      <c r="C753" t="str">
        <f>raw_data!C753</f>
        <v>Construction</v>
      </c>
      <c r="D753">
        <f>raw_data!G753</f>
        <v>16.34</v>
      </c>
      <c r="E753">
        <f>raw_data!H753</f>
        <v>5.29</v>
      </c>
      <c r="F753">
        <f>raw_data!I753</f>
        <v>8.65</v>
      </c>
      <c r="G753">
        <f>raw_data!J753</f>
        <v>2.39</v>
      </c>
      <c r="H753" t="str">
        <f t="shared" si="11"/>
        <v>Wage Pressure</v>
      </c>
    </row>
    <row r="754" spans="1:8" x14ac:dyDescent="0.2">
      <c r="A754" t="str">
        <f>raw_data!A754</f>
        <v>2020Q1</v>
      </c>
      <c r="B754" t="str">
        <f>raw_data!B754</f>
        <v>Victoria</v>
      </c>
      <c r="C754" t="str">
        <f>raw_data!C754</f>
        <v>Education and Training</v>
      </c>
      <c r="D754">
        <f>raw_data!G754</f>
        <v>14.58</v>
      </c>
      <c r="E754">
        <f>raw_data!H754</f>
        <v>2.1</v>
      </c>
      <c r="F754">
        <f>raw_data!I754</f>
        <v>10.96</v>
      </c>
      <c r="G754">
        <f>raw_data!J754</f>
        <v>1.51</v>
      </c>
      <c r="H754" t="str">
        <f t="shared" si="11"/>
        <v>Wage Pressure</v>
      </c>
    </row>
    <row r="755" spans="1:8" x14ac:dyDescent="0.2">
      <c r="A755" t="str">
        <f>raw_data!A755</f>
        <v>2020Q1</v>
      </c>
      <c r="B755" t="str">
        <f>raw_data!B755</f>
        <v>Victoria</v>
      </c>
      <c r="C755" t="str">
        <f>raw_data!C755</f>
        <v>Health Care and Social Assistance</v>
      </c>
      <c r="D755">
        <f>raw_data!G755</f>
        <v>28.6</v>
      </c>
      <c r="E755">
        <f>raw_data!H755</f>
        <v>6.16</v>
      </c>
      <c r="F755">
        <f>raw_data!I755</f>
        <v>15.58</v>
      </c>
      <c r="G755">
        <f>raw_data!J755</f>
        <v>6.86</v>
      </c>
      <c r="H755" t="str">
        <f t="shared" si="11"/>
        <v>Wage Pressure</v>
      </c>
    </row>
    <row r="756" spans="1:8" x14ac:dyDescent="0.2">
      <c r="A756" t="str">
        <f>raw_data!A756</f>
        <v>2020Q1</v>
      </c>
      <c r="B756" t="str">
        <f>raw_data!B756</f>
        <v>Victoria</v>
      </c>
      <c r="C756" t="str">
        <f>raw_data!C756</f>
        <v>Manufacturing</v>
      </c>
      <c r="D756">
        <f>raw_data!G756</f>
        <v>15.13</v>
      </c>
      <c r="E756">
        <f>raw_data!H756</f>
        <v>3.91</v>
      </c>
      <c r="F756">
        <f>raw_data!I756</f>
        <v>9.81</v>
      </c>
      <c r="G756">
        <f>raw_data!J756</f>
        <v>1.41</v>
      </c>
      <c r="H756" t="str">
        <f t="shared" si="11"/>
        <v>Wage Pressure</v>
      </c>
    </row>
    <row r="757" spans="1:8" x14ac:dyDescent="0.2">
      <c r="A757" t="str">
        <f>raw_data!A757</f>
        <v>2020Q1</v>
      </c>
      <c r="B757" t="str">
        <f>raw_data!B757</f>
        <v>Victoria</v>
      </c>
      <c r="C757" t="str">
        <f>raw_data!C757</f>
        <v>Professional, Scientific and Technical Services</v>
      </c>
      <c r="D757">
        <f>raw_data!G757</f>
        <v>23.4</v>
      </c>
      <c r="E757">
        <f>raw_data!H757</f>
        <v>8.75</v>
      </c>
      <c r="F757">
        <f>raw_data!I757</f>
        <v>10.96</v>
      </c>
      <c r="G757">
        <f>raw_data!J757</f>
        <v>3.68</v>
      </c>
      <c r="H757" t="str">
        <f t="shared" si="11"/>
        <v>Wage Pressure</v>
      </c>
    </row>
    <row r="758" spans="1:8" x14ac:dyDescent="0.2">
      <c r="A758" t="str">
        <f>raw_data!A758</f>
        <v>2020Q2</v>
      </c>
      <c r="B758" t="str">
        <f>raw_data!B758</f>
        <v>New South Wales</v>
      </c>
      <c r="C758" t="str">
        <f>raw_data!C758</f>
        <v>Accommodation and Food Services</v>
      </c>
      <c r="D758">
        <f>raw_data!G758</f>
        <v>11.66</v>
      </c>
      <c r="E758">
        <f>raw_data!H758</f>
        <v>2.4300000000000002</v>
      </c>
      <c r="F758">
        <f>raw_data!I758</f>
        <v>9.23</v>
      </c>
      <c r="G758">
        <f>raw_data!J758</f>
        <v>0</v>
      </c>
      <c r="H758" t="str">
        <f t="shared" si="11"/>
        <v>Wage Pressure</v>
      </c>
    </row>
    <row r="759" spans="1:8" x14ac:dyDescent="0.2">
      <c r="A759" t="str">
        <f>raw_data!A759</f>
        <v>2020Q2</v>
      </c>
      <c r="B759" t="str">
        <f>raw_data!B759</f>
        <v>New South Wales</v>
      </c>
      <c r="C759" t="str">
        <f>raw_data!C759</f>
        <v>Construction</v>
      </c>
      <c r="D759">
        <f>raw_data!G759</f>
        <v>5.03</v>
      </c>
      <c r="E759">
        <f>raw_data!H759</f>
        <v>1.51</v>
      </c>
      <c r="F759">
        <f>raw_data!I759</f>
        <v>2.88</v>
      </c>
      <c r="G759">
        <f>raw_data!J759</f>
        <v>0.63</v>
      </c>
      <c r="H759" t="str">
        <f t="shared" si="11"/>
        <v>Wage Pressure</v>
      </c>
    </row>
    <row r="760" spans="1:8" x14ac:dyDescent="0.2">
      <c r="A760" t="str">
        <f>raw_data!A760</f>
        <v>2020Q2</v>
      </c>
      <c r="B760" t="str">
        <f>raw_data!B760</f>
        <v>New South Wales</v>
      </c>
      <c r="C760" t="str">
        <f>raw_data!C760</f>
        <v>Education and Training</v>
      </c>
      <c r="D760">
        <f>raw_data!G760</f>
        <v>12.35</v>
      </c>
      <c r="E760">
        <f>raw_data!H760</f>
        <v>0.41</v>
      </c>
      <c r="F760">
        <f>raw_data!I760</f>
        <v>11.54</v>
      </c>
      <c r="G760">
        <f>raw_data!J760</f>
        <v>0.41</v>
      </c>
      <c r="H760" t="str">
        <f t="shared" si="11"/>
        <v>Wage Pressure</v>
      </c>
    </row>
    <row r="761" spans="1:8" x14ac:dyDescent="0.2">
      <c r="A761" t="str">
        <f>raw_data!A761</f>
        <v>2020Q2</v>
      </c>
      <c r="B761" t="str">
        <f>raw_data!B761</f>
        <v>New South Wales</v>
      </c>
      <c r="C761" t="str">
        <f>raw_data!C761</f>
        <v>Health Care and Social Assistance</v>
      </c>
      <c r="D761">
        <f>raw_data!G761</f>
        <v>18.75</v>
      </c>
      <c r="E761">
        <f>raw_data!H761</f>
        <v>3.35</v>
      </c>
      <c r="F761">
        <f>raw_data!I761</f>
        <v>12.12</v>
      </c>
      <c r="G761">
        <f>raw_data!J761</f>
        <v>3.29</v>
      </c>
      <c r="H761" t="str">
        <f t="shared" si="11"/>
        <v>Wage Pressure</v>
      </c>
    </row>
    <row r="762" spans="1:8" x14ac:dyDescent="0.2">
      <c r="A762" t="str">
        <f>raw_data!A762</f>
        <v>2020Q2</v>
      </c>
      <c r="B762" t="str">
        <f>raw_data!B762</f>
        <v>New South Wales</v>
      </c>
      <c r="C762" t="str">
        <f>raw_data!C762</f>
        <v>Manufacturing</v>
      </c>
      <c r="D762">
        <f>raw_data!G762</f>
        <v>11.24</v>
      </c>
      <c r="E762">
        <f>raw_data!H762</f>
        <v>2.6</v>
      </c>
      <c r="F762">
        <f>raw_data!I762</f>
        <v>8.08</v>
      </c>
      <c r="G762">
        <f>raw_data!J762</f>
        <v>0.56000000000000005</v>
      </c>
      <c r="H762" t="str">
        <f t="shared" si="11"/>
        <v>Wage Pressure</v>
      </c>
    </row>
    <row r="763" spans="1:8" x14ac:dyDescent="0.2">
      <c r="A763" t="str">
        <f>raw_data!A763</f>
        <v>2020Q2</v>
      </c>
      <c r="B763" t="str">
        <f>raw_data!B763</f>
        <v>New South Wales</v>
      </c>
      <c r="C763" t="str">
        <f>raw_data!C763</f>
        <v>Professional, Scientific and Technical Services</v>
      </c>
      <c r="D763">
        <f>raw_data!G763</f>
        <v>9.7899999999999991</v>
      </c>
      <c r="E763">
        <f>raw_data!H763</f>
        <v>3.06</v>
      </c>
      <c r="F763">
        <f>raw_data!I763</f>
        <v>5.77</v>
      </c>
      <c r="G763">
        <f>raw_data!J763</f>
        <v>0.97</v>
      </c>
      <c r="H763" t="str">
        <f t="shared" si="11"/>
        <v>Wage Pressure</v>
      </c>
    </row>
    <row r="764" spans="1:8" x14ac:dyDescent="0.2">
      <c r="A764" t="str">
        <f>raw_data!A764</f>
        <v>2020Q2</v>
      </c>
      <c r="B764" t="str">
        <f>raw_data!B764</f>
        <v>Queensland</v>
      </c>
      <c r="C764" t="str">
        <f>raw_data!C764</f>
        <v>Accommodation and Food Services</v>
      </c>
      <c r="D764">
        <f>raw_data!G764</f>
        <v>12.77</v>
      </c>
      <c r="E764">
        <f>raw_data!H764</f>
        <v>3.45</v>
      </c>
      <c r="F764">
        <f>raw_data!I764</f>
        <v>9.23</v>
      </c>
      <c r="G764">
        <f>raw_data!J764</f>
        <v>0.09</v>
      </c>
      <c r="H764" t="str">
        <f t="shared" si="11"/>
        <v>Wage Pressure</v>
      </c>
    </row>
    <row r="765" spans="1:8" x14ac:dyDescent="0.2">
      <c r="A765" t="str">
        <f>raw_data!A765</f>
        <v>2020Q2</v>
      </c>
      <c r="B765" t="str">
        <f>raw_data!B765</f>
        <v>Queensland</v>
      </c>
      <c r="C765" t="str">
        <f>raw_data!C765</f>
        <v>Construction</v>
      </c>
      <c r="D765">
        <f>raw_data!G765</f>
        <v>6.83</v>
      </c>
      <c r="E765">
        <f>raw_data!H765</f>
        <v>3.23</v>
      </c>
      <c r="F765">
        <f>raw_data!I765</f>
        <v>2.88</v>
      </c>
      <c r="G765">
        <f>raw_data!J765</f>
        <v>0.71</v>
      </c>
      <c r="H765" t="str">
        <f t="shared" si="11"/>
        <v>Vacancy Intensity</v>
      </c>
    </row>
    <row r="766" spans="1:8" x14ac:dyDescent="0.2">
      <c r="A766" t="str">
        <f>raw_data!A766</f>
        <v>2020Q2</v>
      </c>
      <c r="B766" t="str">
        <f>raw_data!B766</f>
        <v>Queensland</v>
      </c>
      <c r="C766" t="str">
        <f>raw_data!C766</f>
        <v>Education and Training</v>
      </c>
      <c r="D766">
        <f>raw_data!G766</f>
        <v>13.14</v>
      </c>
      <c r="E766">
        <f>raw_data!H766</f>
        <v>0.99</v>
      </c>
      <c r="F766">
        <f>raw_data!I766</f>
        <v>11.54</v>
      </c>
      <c r="G766">
        <f>raw_data!J766</f>
        <v>0.61</v>
      </c>
      <c r="H766" t="str">
        <f t="shared" si="11"/>
        <v>Wage Pressure</v>
      </c>
    </row>
    <row r="767" spans="1:8" x14ac:dyDescent="0.2">
      <c r="A767" t="str">
        <f>raw_data!A767</f>
        <v>2020Q2</v>
      </c>
      <c r="B767" t="str">
        <f>raw_data!B767</f>
        <v>Queensland</v>
      </c>
      <c r="C767" t="str">
        <f>raw_data!C767</f>
        <v>Health Care and Social Assistance</v>
      </c>
      <c r="D767">
        <f>raw_data!G767</f>
        <v>22.6</v>
      </c>
      <c r="E767">
        <f>raw_data!H767</f>
        <v>5.58</v>
      </c>
      <c r="F767">
        <f>raw_data!I767</f>
        <v>12.12</v>
      </c>
      <c r="G767">
        <f>raw_data!J767</f>
        <v>4.9000000000000004</v>
      </c>
      <c r="H767" t="str">
        <f t="shared" si="11"/>
        <v>Wage Pressure</v>
      </c>
    </row>
    <row r="768" spans="1:8" x14ac:dyDescent="0.2">
      <c r="A768" t="str">
        <f>raw_data!A768</f>
        <v>2020Q2</v>
      </c>
      <c r="B768" t="str">
        <f>raw_data!B768</f>
        <v>Queensland</v>
      </c>
      <c r="C768" t="str">
        <f>raw_data!C768</f>
        <v>Manufacturing</v>
      </c>
      <c r="D768">
        <f>raw_data!G768</f>
        <v>13.02</v>
      </c>
      <c r="E768">
        <f>raw_data!H768</f>
        <v>3.94</v>
      </c>
      <c r="F768">
        <f>raw_data!I768</f>
        <v>8.08</v>
      </c>
      <c r="G768">
        <f>raw_data!J768</f>
        <v>1</v>
      </c>
      <c r="H768" t="str">
        <f t="shared" si="11"/>
        <v>Wage Pressure</v>
      </c>
    </row>
    <row r="769" spans="1:8" x14ac:dyDescent="0.2">
      <c r="A769" t="str">
        <f>raw_data!A769</f>
        <v>2020Q2</v>
      </c>
      <c r="B769" t="str">
        <f>raw_data!B769</f>
        <v>Queensland</v>
      </c>
      <c r="C769" t="str">
        <f>raw_data!C769</f>
        <v>Professional, Scientific and Technical Services</v>
      </c>
      <c r="D769">
        <f>raw_data!G769</f>
        <v>16.18</v>
      </c>
      <c r="E769">
        <f>raw_data!H769</f>
        <v>7.01</v>
      </c>
      <c r="F769">
        <f>raw_data!I769</f>
        <v>5.77</v>
      </c>
      <c r="G769">
        <f>raw_data!J769</f>
        <v>3.4</v>
      </c>
      <c r="H769" t="str">
        <f t="shared" si="11"/>
        <v>Vacancy Intensity</v>
      </c>
    </row>
    <row r="770" spans="1:8" x14ac:dyDescent="0.2">
      <c r="A770" t="str">
        <f>raw_data!A770</f>
        <v>2020Q2</v>
      </c>
      <c r="B770" t="str">
        <f>raw_data!B770</f>
        <v>Victoria</v>
      </c>
      <c r="C770" t="str">
        <f>raw_data!C770</f>
        <v>Accommodation and Food Services</v>
      </c>
      <c r="D770">
        <f>raw_data!G770</f>
        <v>12.76</v>
      </c>
      <c r="E770">
        <f>raw_data!H770</f>
        <v>3.44</v>
      </c>
      <c r="F770">
        <f>raw_data!I770</f>
        <v>9.23</v>
      </c>
      <c r="G770">
        <f>raw_data!J770</f>
        <v>0.09</v>
      </c>
      <c r="H770" t="str">
        <f t="shared" si="11"/>
        <v>Wage Pressure</v>
      </c>
    </row>
    <row r="771" spans="1:8" x14ac:dyDescent="0.2">
      <c r="A771" t="str">
        <f>raw_data!A771</f>
        <v>2020Q2</v>
      </c>
      <c r="B771" t="str">
        <f>raw_data!B771</f>
        <v>Victoria</v>
      </c>
      <c r="C771" t="str">
        <f>raw_data!C771</f>
        <v>Construction</v>
      </c>
      <c r="D771">
        <f>raw_data!G771</f>
        <v>5.82</v>
      </c>
      <c r="E771">
        <f>raw_data!H771</f>
        <v>2.29</v>
      </c>
      <c r="F771">
        <f>raw_data!I771</f>
        <v>2.88</v>
      </c>
      <c r="G771">
        <f>raw_data!J771</f>
        <v>0.65</v>
      </c>
      <c r="H771" t="str">
        <f t="shared" ref="H771:H834" si="12">IF(AND(E771&gt;=F771,E771&gt;=G771),"Vacancy Intensity",IF(F771&gt;=G771,"Wage Pressure","Labour Tightness"))</f>
        <v>Wage Pressure</v>
      </c>
    </row>
    <row r="772" spans="1:8" x14ac:dyDescent="0.2">
      <c r="A772" t="str">
        <f>raw_data!A772</f>
        <v>2020Q2</v>
      </c>
      <c r="B772" t="str">
        <f>raw_data!B772</f>
        <v>Victoria</v>
      </c>
      <c r="C772" t="str">
        <f>raw_data!C772</f>
        <v>Education and Training</v>
      </c>
      <c r="D772">
        <f>raw_data!G772</f>
        <v>12.57</v>
      </c>
      <c r="E772">
        <f>raw_data!H772</f>
        <v>0.67</v>
      </c>
      <c r="F772">
        <f>raw_data!I772</f>
        <v>11.54</v>
      </c>
      <c r="G772">
        <f>raw_data!J772</f>
        <v>0.37</v>
      </c>
      <c r="H772" t="str">
        <f t="shared" si="12"/>
        <v>Wage Pressure</v>
      </c>
    </row>
    <row r="773" spans="1:8" x14ac:dyDescent="0.2">
      <c r="A773" t="str">
        <f>raw_data!A773</f>
        <v>2020Q2</v>
      </c>
      <c r="B773" t="str">
        <f>raw_data!B773</f>
        <v>Victoria</v>
      </c>
      <c r="C773" t="str">
        <f>raw_data!C773</f>
        <v>Health Care and Social Assistance</v>
      </c>
      <c r="D773">
        <f>raw_data!G773</f>
        <v>18.61</v>
      </c>
      <c r="E773">
        <f>raw_data!H773</f>
        <v>3.79</v>
      </c>
      <c r="F773">
        <f>raw_data!I773</f>
        <v>12.12</v>
      </c>
      <c r="G773">
        <f>raw_data!J773</f>
        <v>2.7</v>
      </c>
      <c r="H773" t="str">
        <f t="shared" si="12"/>
        <v>Wage Pressure</v>
      </c>
    </row>
    <row r="774" spans="1:8" x14ac:dyDescent="0.2">
      <c r="A774" t="str">
        <f>raw_data!A774</f>
        <v>2020Q2</v>
      </c>
      <c r="B774" t="str">
        <f>raw_data!B774</f>
        <v>Victoria</v>
      </c>
      <c r="C774" t="str">
        <f>raw_data!C774</f>
        <v>Manufacturing</v>
      </c>
      <c r="D774">
        <f>raw_data!G774</f>
        <v>10.33</v>
      </c>
      <c r="E774">
        <f>raw_data!H774</f>
        <v>1.87</v>
      </c>
      <c r="F774">
        <f>raw_data!I774</f>
        <v>8.08</v>
      </c>
      <c r="G774">
        <f>raw_data!J774</f>
        <v>0.38</v>
      </c>
      <c r="H774" t="str">
        <f t="shared" si="12"/>
        <v>Wage Pressure</v>
      </c>
    </row>
    <row r="775" spans="1:8" x14ac:dyDescent="0.2">
      <c r="A775" t="str">
        <f>raw_data!A775</f>
        <v>2020Q2</v>
      </c>
      <c r="B775" t="str">
        <f>raw_data!B775</f>
        <v>Victoria</v>
      </c>
      <c r="C775" t="str">
        <f>raw_data!C775</f>
        <v>Professional, Scientific and Technical Services</v>
      </c>
      <c r="D775">
        <f>raw_data!G775</f>
        <v>11.18</v>
      </c>
      <c r="E775">
        <f>raw_data!H775</f>
        <v>3.97</v>
      </c>
      <c r="F775">
        <f>raw_data!I775</f>
        <v>5.77</v>
      </c>
      <c r="G775">
        <f>raw_data!J775</f>
        <v>1.44</v>
      </c>
      <c r="H775" t="str">
        <f t="shared" si="12"/>
        <v>Wage Pressure</v>
      </c>
    </row>
    <row r="776" spans="1:8" x14ac:dyDescent="0.2">
      <c r="A776" t="str">
        <f>raw_data!A776</f>
        <v>2020Q3</v>
      </c>
      <c r="B776" t="str">
        <f>raw_data!B776</f>
        <v>New South Wales</v>
      </c>
      <c r="C776" t="str">
        <f>raw_data!C776</f>
        <v>Accommodation and Food Services</v>
      </c>
      <c r="D776">
        <f>raw_data!G776</f>
        <v>8.16</v>
      </c>
      <c r="E776">
        <f>raw_data!H776</f>
        <v>6.49</v>
      </c>
      <c r="F776">
        <f>raw_data!I776</f>
        <v>1.1499999999999999</v>
      </c>
      <c r="G776">
        <f>raw_data!J776</f>
        <v>0.52</v>
      </c>
      <c r="H776" t="str">
        <f t="shared" si="12"/>
        <v>Vacancy Intensity</v>
      </c>
    </row>
    <row r="777" spans="1:8" x14ac:dyDescent="0.2">
      <c r="A777" t="str">
        <f>raw_data!A777</f>
        <v>2020Q3</v>
      </c>
      <c r="B777" t="str">
        <f>raw_data!B777</f>
        <v>New South Wales</v>
      </c>
      <c r="C777" t="str">
        <f>raw_data!C777</f>
        <v>Construction</v>
      </c>
      <c r="D777">
        <f>raw_data!G777</f>
        <v>8.2100000000000009</v>
      </c>
      <c r="E777">
        <f>raw_data!H777</f>
        <v>3.8</v>
      </c>
      <c r="F777">
        <f>raw_data!I777</f>
        <v>3.46</v>
      </c>
      <c r="G777">
        <f>raw_data!J777</f>
        <v>0.95</v>
      </c>
      <c r="H777" t="str">
        <f t="shared" si="12"/>
        <v>Vacancy Intensity</v>
      </c>
    </row>
    <row r="778" spans="1:8" x14ac:dyDescent="0.2">
      <c r="A778" t="str">
        <f>raw_data!A778</f>
        <v>2020Q3</v>
      </c>
      <c r="B778" t="str">
        <f>raw_data!B778</f>
        <v>New South Wales</v>
      </c>
      <c r="C778" t="str">
        <f>raw_data!C778</f>
        <v>Education and Training</v>
      </c>
      <c r="D778">
        <f>raw_data!G778</f>
        <v>14.71</v>
      </c>
      <c r="E778">
        <f>raw_data!H778</f>
        <v>1.28</v>
      </c>
      <c r="F778">
        <f>raw_data!I778</f>
        <v>12.12</v>
      </c>
      <c r="G778">
        <f>raw_data!J778</f>
        <v>1.32</v>
      </c>
      <c r="H778" t="str">
        <f t="shared" si="12"/>
        <v>Wage Pressure</v>
      </c>
    </row>
    <row r="779" spans="1:8" x14ac:dyDescent="0.2">
      <c r="A779" t="str">
        <f>raw_data!A779</f>
        <v>2020Q3</v>
      </c>
      <c r="B779" t="str">
        <f>raw_data!B779</f>
        <v>New South Wales</v>
      </c>
      <c r="C779" t="str">
        <f>raw_data!C779</f>
        <v>Health Care and Social Assistance</v>
      </c>
      <c r="D779">
        <f>raw_data!G779</f>
        <v>17.07</v>
      </c>
      <c r="E779">
        <f>raw_data!H779</f>
        <v>5.13</v>
      </c>
      <c r="F779">
        <f>raw_data!I779</f>
        <v>9.23</v>
      </c>
      <c r="G779">
        <f>raw_data!J779</f>
        <v>2.71</v>
      </c>
      <c r="H779" t="str">
        <f t="shared" si="12"/>
        <v>Wage Pressure</v>
      </c>
    </row>
    <row r="780" spans="1:8" x14ac:dyDescent="0.2">
      <c r="A780" t="str">
        <f>raw_data!A780</f>
        <v>2020Q3</v>
      </c>
      <c r="B780" t="str">
        <f>raw_data!B780</f>
        <v>New South Wales</v>
      </c>
      <c r="C780" t="str">
        <f>raw_data!C780</f>
        <v>Manufacturing</v>
      </c>
      <c r="D780">
        <f>raw_data!G780</f>
        <v>13.75</v>
      </c>
      <c r="E780">
        <f>raw_data!H780</f>
        <v>5.39</v>
      </c>
      <c r="F780">
        <f>raw_data!I780</f>
        <v>6.92</v>
      </c>
      <c r="G780">
        <f>raw_data!J780</f>
        <v>1.43</v>
      </c>
      <c r="H780" t="str">
        <f t="shared" si="12"/>
        <v>Wage Pressure</v>
      </c>
    </row>
    <row r="781" spans="1:8" x14ac:dyDescent="0.2">
      <c r="A781" t="str">
        <f>raw_data!A781</f>
        <v>2020Q3</v>
      </c>
      <c r="B781" t="str">
        <f>raw_data!B781</f>
        <v>New South Wales</v>
      </c>
      <c r="C781" t="str">
        <f>raw_data!C781</f>
        <v>Professional, Scientific and Technical Services</v>
      </c>
      <c r="D781">
        <f>raw_data!G781</f>
        <v>11.23</v>
      </c>
      <c r="E781">
        <f>raw_data!H781</f>
        <v>5.94</v>
      </c>
      <c r="F781">
        <f>raw_data!I781</f>
        <v>2.88</v>
      </c>
      <c r="G781">
        <f>raw_data!J781</f>
        <v>2.4</v>
      </c>
      <c r="H781" t="str">
        <f t="shared" si="12"/>
        <v>Vacancy Intensity</v>
      </c>
    </row>
    <row r="782" spans="1:8" x14ac:dyDescent="0.2">
      <c r="A782" t="str">
        <f>raw_data!A782</f>
        <v>2020Q3</v>
      </c>
      <c r="B782" t="str">
        <f>raw_data!B782</f>
        <v>Queensland</v>
      </c>
      <c r="C782" t="str">
        <f>raw_data!C782</f>
        <v>Accommodation and Food Services</v>
      </c>
      <c r="D782">
        <f>raw_data!G782</f>
        <v>12.36</v>
      </c>
      <c r="E782">
        <f>raw_data!H782</f>
        <v>10.19</v>
      </c>
      <c r="F782">
        <f>raw_data!I782</f>
        <v>1.1499999999999999</v>
      </c>
      <c r="G782">
        <f>raw_data!J782</f>
        <v>1.01</v>
      </c>
      <c r="H782" t="str">
        <f t="shared" si="12"/>
        <v>Vacancy Intensity</v>
      </c>
    </row>
    <row r="783" spans="1:8" x14ac:dyDescent="0.2">
      <c r="A783" t="str">
        <f>raw_data!A783</f>
        <v>2020Q3</v>
      </c>
      <c r="B783" t="str">
        <f>raw_data!B783</f>
        <v>Queensland</v>
      </c>
      <c r="C783" t="str">
        <f>raw_data!C783</f>
        <v>Construction</v>
      </c>
      <c r="D783">
        <f>raw_data!G783</f>
        <v>12.25</v>
      </c>
      <c r="E783">
        <f>raw_data!H783</f>
        <v>7.27</v>
      </c>
      <c r="F783">
        <f>raw_data!I783</f>
        <v>3.46</v>
      </c>
      <c r="G783">
        <f>raw_data!J783</f>
        <v>1.52</v>
      </c>
      <c r="H783" t="str">
        <f t="shared" si="12"/>
        <v>Vacancy Intensity</v>
      </c>
    </row>
    <row r="784" spans="1:8" x14ac:dyDescent="0.2">
      <c r="A784" t="str">
        <f>raw_data!A784</f>
        <v>2020Q3</v>
      </c>
      <c r="B784" t="str">
        <f>raw_data!B784</f>
        <v>Queensland</v>
      </c>
      <c r="C784" t="str">
        <f>raw_data!C784</f>
        <v>Education and Training</v>
      </c>
      <c r="D784">
        <f>raw_data!G784</f>
        <v>15.61</v>
      </c>
      <c r="E784">
        <f>raw_data!H784</f>
        <v>2.2799999999999998</v>
      </c>
      <c r="F784">
        <f>raw_data!I784</f>
        <v>12.12</v>
      </c>
      <c r="G784">
        <f>raw_data!J784</f>
        <v>1.21</v>
      </c>
      <c r="H784" t="str">
        <f t="shared" si="12"/>
        <v>Wage Pressure</v>
      </c>
    </row>
    <row r="785" spans="1:8" x14ac:dyDescent="0.2">
      <c r="A785" t="str">
        <f>raw_data!A785</f>
        <v>2020Q3</v>
      </c>
      <c r="B785" t="str">
        <f>raw_data!B785</f>
        <v>Queensland</v>
      </c>
      <c r="C785" t="str">
        <f>raw_data!C785</f>
        <v>Health Care and Social Assistance</v>
      </c>
      <c r="D785">
        <f>raw_data!G785</f>
        <v>21.19</v>
      </c>
      <c r="E785">
        <f>raw_data!H785</f>
        <v>7.55</v>
      </c>
      <c r="F785">
        <f>raw_data!I785</f>
        <v>9.23</v>
      </c>
      <c r="G785">
        <f>raw_data!J785</f>
        <v>4.41</v>
      </c>
      <c r="H785" t="str">
        <f t="shared" si="12"/>
        <v>Wage Pressure</v>
      </c>
    </row>
    <row r="786" spans="1:8" x14ac:dyDescent="0.2">
      <c r="A786" t="str">
        <f>raw_data!A786</f>
        <v>2020Q3</v>
      </c>
      <c r="B786" t="str">
        <f>raw_data!B786</f>
        <v>Queensland</v>
      </c>
      <c r="C786" t="str">
        <f>raw_data!C786</f>
        <v>Manufacturing</v>
      </c>
      <c r="D786">
        <f>raw_data!G786</f>
        <v>17.25</v>
      </c>
      <c r="E786">
        <f>raw_data!H786</f>
        <v>8.66</v>
      </c>
      <c r="F786">
        <f>raw_data!I786</f>
        <v>6.92</v>
      </c>
      <c r="G786">
        <f>raw_data!J786</f>
        <v>1.67</v>
      </c>
      <c r="H786" t="str">
        <f t="shared" si="12"/>
        <v>Vacancy Intensity</v>
      </c>
    </row>
    <row r="787" spans="1:8" x14ac:dyDescent="0.2">
      <c r="A787" t="str">
        <f>raw_data!A787</f>
        <v>2020Q3</v>
      </c>
      <c r="B787" t="str">
        <f>raw_data!B787</f>
        <v>Queensland</v>
      </c>
      <c r="C787" t="str">
        <f>raw_data!C787</f>
        <v>Professional, Scientific and Technical Services</v>
      </c>
      <c r="D787">
        <f>raw_data!G787</f>
        <v>21.15</v>
      </c>
      <c r="E787">
        <f>raw_data!H787</f>
        <v>14.46</v>
      </c>
      <c r="F787">
        <f>raw_data!I787</f>
        <v>2.88</v>
      </c>
      <c r="G787">
        <f>raw_data!J787</f>
        <v>3.8</v>
      </c>
      <c r="H787" t="str">
        <f t="shared" si="12"/>
        <v>Vacancy Intensity</v>
      </c>
    </row>
    <row r="788" spans="1:8" x14ac:dyDescent="0.2">
      <c r="A788" t="str">
        <f>raw_data!A788</f>
        <v>2020Q3</v>
      </c>
      <c r="B788" t="str">
        <f>raw_data!B788</f>
        <v>Victoria</v>
      </c>
      <c r="C788" t="str">
        <f>raw_data!C788</f>
        <v>Accommodation and Food Services</v>
      </c>
      <c r="D788">
        <f>raw_data!G788</f>
        <v>12.29</v>
      </c>
      <c r="E788">
        <f>raw_data!H788</f>
        <v>10.54</v>
      </c>
      <c r="F788">
        <f>raw_data!I788</f>
        <v>1.1499999999999999</v>
      </c>
      <c r="G788">
        <f>raw_data!J788</f>
        <v>0.6</v>
      </c>
      <c r="H788" t="str">
        <f t="shared" si="12"/>
        <v>Vacancy Intensity</v>
      </c>
    </row>
    <row r="789" spans="1:8" x14ac:dyDescent="0.2">
      <c r="A789" t="str">
        <f>raw_data!A789</f>
        <v>2020Q3</v>
      </c>
      <c r="B789" t="str">
        <f>raw_data!B789</f>
        <v>Victoria</v>
      </c>
      <c r="C789" t="str">
        <f>raw_data!C789</f>
        <v>Construction</v>
      </c>
      <c r="D789">
        <f>raw_data!G789</f>
        <v>10.26</v>
      </c>
      <c r="E789">
        <f>raw_data!H789</f>
        <v>5.34</v>
      </c>
      <c r="F789">
        <f>raw_data!I789</f>
        <v>3.46</v>
      </c>
      <c r="G789">
        <f>raw_data!J789</f>
        <v>1.45</v>
      </c>
      <c r="H789" t="str">
        <f t="shared" si="12"/>
        <v>Vacancy Intensity</v>
      </c>
    </row>
    <row r="790" spans="1:8" x14ac:dyDescent="0.2">
      <c r="A790" t="str">
        <f>raw_data!A790</f>
        <v>2020Q3</v>
      </c>
      <c r="B790" t="str">
        <f>raw_data!B790</f>
        <v>Victoria</v>
      </c>
      <c r="C790" t="str">
        <f>raw_data!C790</f>
        <v>Education and Training</v>
      </c>
      <c r="D790">
        <f>raw_data!G790</f>
        <v>14.19</v>
      </c>
      <c r="E790">
        <f>raw_data!H790</f>
        <v>1.58</v>
      </c>
      <c r="F790">
        <f>raw_data!I790</f>
        <v>12.12</v>
      </c>
      <c r="G790">
        <f>raw_data!J790</f>
        <v>0.49</v>
      </c>
      <c r="H790" t="str">
        <f t="shared" si="12"/>
        <v>Wage Pressure</v>
      </c>
    </row>
    <row r="791" spans="1:8" x14ac:dyDescent="0.2">
      <c r="A791" t="str">
        <f>raw_data!A791</f>
        <v>2020Q3</v>
      </c>
      <c r="B791" t="str">
        <f>raw_data!B791</f>
        <v>Victoria</v>
      </c>
      <c r="C791" t="str">
        <f>raw_data!C791</f>
        <v>Health Care and Social Assistance</v>
      </c>
      <c r="D791">
        <f>raw_data!G791</f>
        <v>18.97</v>
      </c>
      <c r="E791">
        <f>raw_data!H791</f>
        <v>6</v>
      </c>
      <c r="F791">
        <f>raw_data!I791</f>
        <v>9.23</v>
      </c>
      <c r="G791">
        <f>raw_data!J791</f>
        <v>3.74</v>
      </c>
      <c r="H791" t="str">
        <f t="shared" si="12"/>
        <v>Wage Pressure</v>
      </c>
    </row>
    <row r="792" spans="1:8" x14ac:dyDescent="0.2">
      <c r="A792" t="str">
        <f>raw_data!A792</f>
        <v>2020Q3</v>
      </c>
      <c r="B792" t="str">
        <f>raw_data!B792</f>
        <v>Victoria</v>
      </c>
      <c r="C792" t="str">
        <f>raw_data!C792</f>
        <v>Manufacturing</v>
      </c>
      <c r="D792">
        <f>raw_data!G792</f>
        <v>13.19</v>
      </c>
      <c r="E792">
        <f>raw_data!H792</f>
        <v>5.01</v>
      </c>
      <c r="F792">
        <f>raw_data!I792</f>
        <v>6.92</v>
      </c>
      <c r="G792">
        <f>raw_data!J792</f>
        <v>1.26</v>
      </c>
      <c r="H792" t="str">
        <f t="shared" si="12"/>
        <v>Wage Pressure</v>
      </c>
    </row>
    <row r="793" spans="1:8" x14ac:dyDescent="0.2">
      <c r="A793" t="str">
        <f>raw_data!A793</f>
        <v>2020Q3</v>
      </c>
      <c r="B793" t="str">
        <f>raw_data!B793</f>
        <v>Victoria</v>
      </c>
      <c r="C793" t="str">
        <f>raw_data!C793</f>
        <v>Professional, Scientific and Technical Services</v>
      </c>
      <c r="D793">
        <f>raw_data!G793</f>
        <v>16.399999999999999</v>
      </c>
      <c r="E793">
        <f>raw_data!H793</f>
        <v>7.91</v>
      </c>
      <c r="F793">
        <f>raw_data!I793</f>
        <v>2.88</v>
      </c>
      <c r="G793">
        <f>raw_data!J793</f>
        <v>5.61</v>
      </c>
      <c r="H793" t="str">
        <f t="shared" si="12"/>
        <v>Vacancy Intensity</v>
      </c>
    </row>
    <row r="794" spans="1:8" x14ac:dyDescent="0.2">
      <c r="A794" t="str">
        <f>raw_data!A794</f>
        <v>2020Q4</v>
      </c>
      <c r="B794" t="str">
        <f>raw_data!B794</f>
        <v>New South Wales</v>
      </c>
      <c r="C794" t="str">
        <f>raw_data!C794</f>
        <v>Accommodation and Food Services</v>
      </c>
      <c r="D794">
        <f>raw_data!G794</f>
        <v>13.16</v>
      </c>
      <c r="E794">
        <f>raw_data!H794</f>
        <v>11.53</v>
      </c>
      <c r="F794">
        <f>raw_data!I794</f>
        <v>0</v>
      </c>
      <c r="G794">
        <f>raw_data!J794</f>
        <v>1.63</v>
      </c>
      <c r="H794" t="str">
        <f t="shared" si="12"/>
        <v>Vacancy Intensity</v>
      </c>
    </row>
    <row r="795" spans="1:8" x14ac:dyDescent="0.2">
      <c r="A795" t="str">
        <f>raw_data!A795</f>
        <v>2020Q4</v>
      </c>
      <c r="B795" t="str">
        <f>raw_data!B795</f>
        <v>New South Wales</v>
      </c>
      <c r="C795" t="str">
        <f>raw_data!C795</f>
        <v>Construction</v>
      </c>
      <c r="D795">
        <f>raw_data!G795</f>
        <v>9.92</v>
      </c>
      <c r="E795">
        <f>raw_data!H795</f>
        <v>4.34</v>
      </c>
      <c r="F795">
        <f>raw_data!I795</f>
        <v>4.62</v>
      </c>
      <c r="G795">
        <f>raw_data!J795</f>
        <v>0.97</v>
      </c>
      <c r="H795" t="str">
        <f t="shared" si="12"/>
        <v>Wage Pressure</v>
      </c>
    </row>
    <row r="796" spans="1:8" x14ac:dyDescent="0.2">
      <c r="A796" t="str">
        <f>raw_data!A796</f>
        <v>2020Q4</v>
      </c>
      <c r="B796" t="str">
        <f>raw_data!B796</f>
        <v>New South Wales</v>
      </c>
      <c r="C796" t="str">
        <f>raw_data!C796</f>
        <v>Education and Training</v>
      </c>
      <c r="D796">
        <f>raw_data!G796</f>
        <v>14.38</v>
      </c>
      <c r="E796">
        <f>raw_data!H796</f>
        <v>1.28</v>
      </c>
      <c r="F796">
        <f>raw_data!I796</f>
        <v>12.12</v>
      </c>
      <c r="G796">
        <f>raw_data!J796</f>
        <v>0.99</v>
      </c>
      <c r="H796" t="str">
        <f t="shared" si="12"/>
        <v>Wage Pressure</v>
      </c>
    </row>
    <row r="797" spans="1:8" x14ac:dyDescent="0.2">
      <c r="A797" t="str">
        <f>raw_data!A797</f>
        <v>2020Q4</v>
      </c>
      <c r="B797" t="str">
        <f>raw_data!B797</f>
        <v>New South Wales</v>
      </c>
      <c r="C797" t="str">
        <f>raw_data!C797</f>
        <v>Health Care and Social Assistance</v>
      </c>
      <c r="D797">
        <f>raw_data!G797</f>
        <v>18.93</v>
      </c>
      <c r="E797">
        <f>raw_data!H797</f>
        <v>7.4</v>
      </c>
      <c r="F797">
        <f>raw_data!I797</f>
        <v>7.5</v>
      </c>
      <c r="G797">
        <f>raw_data!J797</f>
        <v>4.03</v>
      </c>
      <c r="H797" t="str">
        <f t="shared" si="12"/>
        <v>Wage Pressure</v>
      </c>
    </row>
    <row r="798" spans="1:8" x14ac:dyDescent="0.2">
      <c r="A798" t="str">
        <f>raw_data!A798</f>
        <v>2020Q4</v>
      </c>
      <c r="B798" t="str">
        <f>raw_data!B798</f>
        <v>New South Wales</v>
      </c>
      <c r="C798" t="str">
        <f>raw_data!C798</f>
        <v>Manufacturing</v>
      </c>
      <c r="D798">
        <f>raw_data!G798</f>
        <v>15.79</v>
      </c>
      <c r="E798">
        <f>raw_data!H798</f>
        <v>6.52</v>
      </c>
      <c r="F798">
        <f>raw_data!I798</f>
        <v>6.92</v>
      </c>
      <c r="G798">
        <f>raw_data!J798</f>
        <v>2.34</v>
      </c>
      <c r="H798" t="str">
        <f t="shared" si="12"/>
        <v>Wage Pressure</v>
      </c>
    </row>
    <row r="799" spans="1:8" x14ac:dyDescent="0.2">
      <c r="A799" t="str">
        <f>raw_data!A799</f>
        <v>2020Q4</v>
      </c>
      <c r="B799" t="str">
        <f>raw_data!B799</f>
        <v>New South Wales</v>
      </c>
      <c r="C799" t="str">
        <f>raw_data!C799</f>
        <v>Professional, Scientific and Technical Services</v>
      </c>
      <c r="D799">
        <f>raw_data!G799</f>
        <v>16.62</v>
      </c>
      <c r="E799">
        <f>raw_data!H799</f>
        <v>6.48</v>
      </c>
      <c r="F799">
        <f>raw_data!I799</f>
        <v>6.92</v>
      </c>
      <c r="G799">
        <f>raw_data!J799</f>
        <v>3.22</v>
      </c>
      <c r="H799" t="str">
        <f t="shared" si="12"/>
        <v>Wage Pressure</v>
      </c>
    </row>
    <row r="800" spans="1:8" x14ac:dyDescent="0.2">
      <c r="A800" t="str">
        <f>raw_data!A800</f>
        <v>2020Q4</v>
      </c>
      <c r="B800" t="str">
        <f>raw_data!B800</f>
        <v>Queensland</v>
      </c>
      <c r="C800" t="str">
        <f>raw_data!C800</f>
        <v>Accommodation and Food Services</v>
      </c>
      <c r="D800">
        <f>raw_data!G800</f>
        <v>18.670000000000002</v>
      </c>
      <c r="E800">
        <f>raw_data!H800</f>
        <v>16.27</v>
      </c>
      <c r="F800">
        <f>raw_data!I800</f>
        <v>0</v>
      </c>
      <c r="G800">
        <f>raw_data!J800</f>
        <v>2.4</v>
      </c>
      <c r="H800" t="str">
        <f t="shared" si="12"/>
        <v>Vacancy Intensity</v>
      </c>
    </row>
    <row r="801" spans="1:8" x14ac:dyDescent="0.2">
      <c r="A801" t="str">
        <f>raw_data!A801</f>
        <v>2020Q4</v>
      </c>
      <c r="B801" t="str">
        <f>raw_data!B801</f>
        <v>Queensland</v>
      </c>
      <c r="C801" t="str">
        <f>raw_data!C801</f>
        <v>Construction</v>
      </c>
      <c r="D801">
        <f>raw_data!G801</f>
        <v>13.86</v>
      </c>
      <c r="E801">
        <f>raw_data!H801</f>
        <v>7.77</v>
      </c>
      <c r="F801">
        <f>raw_data!I801</f>
        <v>4.62</v>
      </c>
      <c r="G801">
        <f>raw_data!J801</f>
        <v>1.48</v>
      </c>
      <c r="H801" t="str">
        <f t="shared" si="12"/>
        <v>Vacancy Intensity</v>
      </c>
    </row>
    <row r="802" spans="1:8" x14ac:dyDescent="0.2">
      <c r="A802" t="str">
        <f>raw_data!A802</f>
        <v>2020Q4</v>
      </c>
      <c r="B802" t="str">
        <f>raw_data!B802</f>
        <v>Queensland</v>
      </c>
      <c r="C802" t="str">
        <f>raw_data!C802</f>
        <v>Education and Training</v>
      </c>
      <c r="D802">
        <f>raw_data!G802</f>
        <v>16.52</v>
      </c>
      <c r="E802">
        <f>raw_data!H802</f>
        <v>2.91</v>
      </c>
      <c r="F802">
        <f>raw_data!I802</f>
        <v>12.12</v>
      </c>
      <c r="G802">
        <f>raw_data!J802</f>
        <v>1.5</v>
      </c>
      <c r="H802" t="str">
        <f t="shared" si="12"/>
        <v>Wage Pressure</v>
      </c>
    </row>
    <row r="803" spans="1:8" x14ac:dyDescent="0.2">
      <c r="A803" t="str">
        <f>raw_data!A803</f>
        <v>2020Q4</v>
      </c>
      <c r="B803" t="str">
        <f>raw_data!B803</f>
        <v>Queensland</v>
      </c>
      <c r="C803" t="str">
        <f>raw_data!C803</f>
        <v>Health Care and Social Assistance</v>
      </c>
      <c r="D803">
        <f>raw_data!G803</f>
        <v>23.5</v>
      </c>
      <c r="E803">
        <f>raw_data!H803</f>
        <v>10.77</v>
      </c>
      <c r="F803">
        <f>raw_data!I803</f>
        <v>7.5</v>
      </c>
      <c r="G803">
        <f>raw_data!J803</f>
        <v>5.23</v>
      </c>
      <c r="H803" t="str">
        <f t="shared" si="12"/>
        <v>Vacancy Intensity</v>
      </c>
    </row>
    <row r="804" spans="1:8" x14ac:dyDescent="0.2">
      <c r="A804" t="str">
        <f>raw_data!A804</f>
        <v>2020Q4</v>
      </c>
      <c r="B804" t="str">
        <f>raw_data!B804</f>
        <v>Queensland</v>
      </c>
      <c r="C804" t="str">
        <f>raw_data!C804</f>
        <v>Manufacturing</v>
      </c>
      <c r="D804">
        <f>raw_data!G804</f>
        <v>18.72</v>
      </c>
      <c r="E804">
        <f>raw_data!H804</f>
        <v>9.09</v>
      </c>
      <c r="F804">
        <f>raw_data!I804</f>
        <v>6.92</v>
      </c>
      <c r="G804">
        <f>raw_data!J804</f>
        <v>2.71</v>
      </c>
      <c r="H804" t="str">
        <f t="shared" si="12"/>
        <v>Vacancy Intensity</v>
      </c>
    </row>
    <row r="805" spans="1:8" x14ac:dyDescent="0.2">
      <c r="A805" t="str">
        <f>raw_data!A805</f>
        <v>2020Q4</v>
      </c>
      <c r="B805" t="str">
        <f>raw_data!B805</f>
        <v>Queensland</v>
      </c>
      <c r="C805" t="str">
        <f>raw_data!C805</f>
        <v>Professional, Scientific and Technical Services</v>
      </c>
      <c r="D805">
        <f>raw_data!G805</f>
        <v>29.03</v>
      </c>
      <c r="E805">
        <f>raw_data!H805</f>
        <v>16.3</v>
      </c>
      <c r="F805">
        <f>raw_data!I805</f>
        <v>6.92</v>
      </c>
      <c r="G805">
        <f>raw_data!J805</f>
        <v>5.81</v>
      </c>
      <c r="H805" t="str">
        <f t="shared" si="12"/>
        <v>Vacancy Intensity</v>
      </c>
    </row>
    <row r="806" spans="1:8" x14ac:dyDescent="0.2">
      <c r="A806" t="str">
        <f>raw_data!A806</f>
        <v>2020Q4</v>
      </c>
      <c r="B806" t="str">
        <f>raw_data!B806</f>
        <v>Victoria</v>
      </c>
      <c r="C806" t="str">
        <f>raw_data!C806</f>
        <v>Accommodation and Food Services</v>
      </c>
      <c r="D806">
        <f>raw_data!G806</f>
        <v>17.86</v>
      </c>
      <c r="E806">
        <f>raw_data!H806</f>
        <v>16.55</v>
      </c>
      <c r="F806">
        <f>raw_data!I806</f>
        <v>0</v>
      </c>
      <c r="G806">
        <f>raw_data!J806</f>
        <v>1.32</v>
      </c>
      <c r="H806" t="str">
        <f t="shared" si="12"/>
        <v>Vacancy Intensity</v>
      </c>
    </row>
    <row r="807" spans="1:8" x14ac:dyDescent="0.2">
      <c r="A807" t="str">
        <f>raw_data!A807</f>
        <v>2020Q4</v>
      </c>
      <c r="B807" t="str">
        <f>raw_data!B807</f>
        <v>Victoria</v>
      </c>
      <c r="C807" t="str">
        <f>raw_data!C807</f>
        <v>Construction</v>
      </c>
      <c r="D807">
        <f>raw_data!G807</f>
        <v>12.8</v>
      </c>
      <c r="E807">
        <f>raw_data!H807</f>
        <v>6.07</v>
      </c>
      <c r="F807">
        <f>raw_data!I807</f>
        <v>4.62</v>
      </c>
      <c r="G807">
        <f>raw_data!J807</f>
        <v>2.12</v>
      </c>
      <c r="H807" t="str">
        <f t="shared" si="12"/>
        <v>Vacancy Intensity</v>
      </c>
    </row>
    <row r="808" spans="1:8" x14ac:dyDescent="0.2">
      <c r="A808" t="str">
        <f>raw_data!A808</f>
        <v>2020Q4</v>
      </c>
      <c r="B808" t="str">
        <f>raw_data!B808</f>
        <v>Victoria</v>
      </c>
      <c r="C808" t="str">
        <f>raw_data!C808</f>
        <v>Education and Training</v>
      </c>
      <c r="D808">
        <f>raw_data!G808</f>
        <v>14.12</v>
      </c>
      <c r="E808">
        <f>raw_data!H808</f>
        <v>1.62</v>
      </c>
      <c r="F808">
        <f>raw_data!I808</f>
        <v>12.12</v>
      </c>
      <c r="G808">
        <f>raw_data!J808</f>
        <v>0.38</v>
      </c>
      <c r="H808" t="str">
        <f t="shared" si="12"/>
        <v>Wage Pressure</v>
      </c>
    </row>
    <row r="809" spans="1:8" x14ac:dyDescent="0.2">
      <c r="A809" t="str">
        <f>raw_data!A809</f>
        <v>2020Q4</v>
      </c>
      <c r="B809" t="str">
        <f>raw_data!B809</f>
        <v>Victoria</v>
      </c>
      <c r="C809" t="str">
        <f>raw_data!C809</f>
        <v>Health Care and Social Assistance</v>
      </c>
      <c r="D809">
        <f>raw_data!G809</f>
        <v>19.71</v>
      </c>
      <c r="E809">
        <f>raw_data!H809</f>
        <v>8.2100000000000009</v>
      </c>
      <c r="F809">
        <f>raw_data!I809</f>
        <v>7.5</v>
      </c>
      <c r="G809">
        <f>raw_data!J809</f>
        <v>3.99</v>
      </c>
      <c r="H809" t="str">
        <f t="shared" si="12"/>
        <v>Vacancy Intensity</v>
      </c>
    </row>
    <row r="810" spans="1:8" x14ac:dyDescent="0.2">
      <c r="A810" t="str">
        <f>raw_data!A810</f>
        <v>2020Q4</v>
      </c>
      <c r="B810" t="str">
        <f>raw_data!B810</f>
        <v>Victoria</v>
      </c>
      <c r="C810" t="str">
        <f>raw_data!C810</f>
        <v>Manufacturing</v>
      </c>
      <c r="D810">
        <f>raw_data!G810</f>
        <v>17.309999999999999</v>
      </c>
      <c r="E810">
        <f>raw_data!H810</f>
        <v>5.86</v>
      </c>
      <c r="F810">
        <f>raw_data!I810</f>
        <v>6.92</v>
      </c>
      <c r="G810">
        <f>raw_data!J810</f>
        <v>4.53</v>
      </c>
      <c r="H810" t="str">
        <f t="shared" si="12"/>
        <v>Wage Pressure</v>
      </c>
    </row>
    <row r="811" spans="1:8" x14ac:dyDescent="0.2">
      <c r="A811" t="str">
        <f>raw_data!A811</f>
        <v>2020Q4</v>
      </c>
      <c r="B811" t="str">
        <f>raw_data!B811</f>
        <v>Victoria</v>
      </c>
      <c r="C811" t="str">
        <f>raw_data!C811</f>
        <v>Professional, Scientific and Technical Services</v>
      </c>
      <c r="D811">
        <f>raw_data!G811</f>
        <v>18.53</v>
      </c>
      <c r="E811">
        <f>raw_data!H811</f>
        <v>8.7799999999999994</v>
      </c>
      <c r="F811">
        <f>raw_data!I811</f>
        <v>6.92</v>
      </c>
      <c r="G811">
        <f>raw_data!J811</f>
        <v>2.82</v>
      </c>
      <c r="H811" t="str">
        <f t="shared" si="12"/>
        <v>Vacancy Intensity</v>
      </c>
    </row>
    <row r="812" spans="1:8" x14ac:dyDescent="0.2">
      <c r="A812" t="str">
        <f>raw_data!A812</f>
        <v>2021Q1</v>
      </c>
      <c r="B812" t="str">
        <f>raw_data!B812</f>
        <v>New South Wales</v>
      </c>
      <c r="C812" t="str">
        <f>raw_data!C812</f>
        <v>Accommodation and Food Services</v>
      </c>
      <c r="D812">
        <f>raw_data!G812</f>
        <v>22.12</v>
      </c>
      <c r="E812">
        <f>raw_data!H812</f>
        <v>13.85</v>
      </c>
      <c r="F812">
        <f>raw_data!I812</f>
        <v>6.35</v>
      </c>
      <c r="G812">
        <f>raw_data!J812</f>
        <v>1.93</v>
      </c>
      <c r="H812" t="str">
        <f t="shared" si="12"/>
        <v>Vacancy Intensity</v>
      </c>
    </row>
    <row r="813" spans="1:8" x14ac:dyDescent="0.2">
      <c r="A813" t="str">
        <f>raw_data!A813</f>
        <v>2021Q1</v>
      </c>
      <c r="B813" t="str">
        <f>raw_data!B813</f>
        <v>New South Wales</v>
      </c>
      <c r="C813" t="str">
        <f>raw_data!C813</f>
        <v>Construction</v>
      </c>
      <c r="D813">
        <f>raw_data!G813</f>
        <v>16.170000000000002</v>
      </c>
      <c r="E813">
        <f>raw_data!H813</f>
        <v>7.57</v>
      </c>
      <c r="F813">
        <f>raw_data!I813</f>
        <v>5.77</v>
      </c>
      <c r="G813">
        <f>raw_data!J813</f>
        <v>2.84</v>
      </c>
      <c r="H813" t="str">
        <f t="shared" si="12"/>
        <v>Vacancy Intensity</v>
      </c>
    </row>
    <row r="814" spans="1:8" x14ac:dyDescent="0.2">
      <c r="A814" t="str">
        <f>raw_data!A814</f>
        <v>2021Q1</v>
      </c>
      <c r="B814" t="str">
        <f>raw_data!B814</f>
        <v>New South Wales</v>
      </c>
      <c r="C814" t="str">
        <f>raw_data!C814</f>
        <v>Education and Training</v>
      </c>
      <c r="D814">
        <f>raw_data!G814</f>
        <v>14.05</v>
      </c>
      <c r="E814">
        <f>raw_data!H814</f>
        <v>2.02</v>
      </c>
      <c r="F814">
        <f>raw_data!I814</f>
        <v>10.96</v>
      </c>
      <c r="G814">
        <f>raw_data!J814</f>
        <v>1.07</v>
      </c>
      <c r="H814" t="str">
        <f t="shared" si="12"/>
        <v>Wage Pressure</v>
      </c>
    </row>
    <row r="815" spans="1:8" x14ac:dyDescent="0.2">
      <c r="A815" t="str">
        <f>raw_data!A815</f>
        <v>2021Q1</v>
      </c>
      <c r="B815" t="str">
        <f>raw_data!B815</f>
        <v>New South Wales</v>
      </c>
      <c r="C815" t="str">
        <f>raw_data!C815</f>
        <v>Health Care and Social Assistance</v>
      </c>
      <c r="D815">
        <f>raw_data!G815</f>
        <v>21.52</v>
      </c>
      <c r="E815">
        <f>raw_data!H815</f>
        <v>7.48</v>
      </c>
      <c r="F815">
        <f>raw_data!I815</f>
        <v>8.08</v>
      </c>
      <c r="G815">
        <f>raw_data!J815</f>
        <v>5.96</v>
      </c>
      <c r="H815" t="str">
        <f t="shared" si="12"/>
        <v>Wage Pressure</v>
      </c>
    </row>
    <row r="816" spans="1:8" x14ac:dyDescent="0.2">
      <c r="A816" t="str">
        <f>raw_data!A816</f>
        <v>2021Q1</v>
      </c>
      <c r="B816" t="str">
        <f>raw_data!B816</f>
        <v>New South Wales</v>
      </c>
      <c r="C816" t="str">
        <f>raw_data!C816</f>
        <v>Manufacturing</v>
      </c>
      <c r="D816">
        <f>raw_data!G816</f>
        <v>15.46</v>
      </c>
      <c r="E816">
        <f>raw_data!H816</f>
        <v>6.19</v>
      </c>
      <c r="F816">
        <f>raw_data!I816</f>
        <v>6.92</v>
      </c>
      <c r="G816">
        <f>raw_data!J816</f>
        <v>2.35</v>
      </c>
      <c r="H816" t="str">
        <f t="shared" si="12"/>
        <v>Wage Pressure</v>
      </c>
    </row>
    <row r="817" spans="1:8" x14ac:dyDescent="0.2">
      <c r="A817" t="str">
        <f>raw_data!A817</f>
        <v>2021Q1</v>
      </c>
      <c r="B817" t="str">
        <f>raw_data!B817</f>
        <v>New South Wales</v>
      </c>
      <c r="C817" t="str">
        <f>raw_data!C817</f>
        <v>Professional, Scientific and Technical Services</v>
      </c>
      <c r="D817">
        <f>raw_data!G817</f>
        <v>18.13</v>
      </c>
      <c r="E817">
        <f>raw_data!H817</f>
        <v>7.29</v>
      </c>
      <c r="F817">
        <f>raw_data!I817</f>
        <v>7.5</v>
      </c>
      <c r="G817">
        <f>raw_data!J817</f>
        <v>3.34</v>
      </c>
      <c r="H817" t="str">
        <f t="shared" si="12"/>
        <v>Wage Pressure</v>
      </c>
    </row>
    <row r="818" spans="1:8" x14ac:dyDescent="0.2">
      <c r="A818" t="str">
        <f>raw_data!A818</f>
        <v>2021Q1</v>
      </c>
      <c r="B818" t="str">
        <f>raw_data!B818</f>
        <v>Queensland</v>
      </c>
      <c r="C818" t="str">
        <f>raw_data!C818</f>
        <v>Accommodation and Food Services</v>
      </c>
      <c r="D818">
        <f>raw_data!G818</f>
        <v>29.96</v>
      </c>
      <c r="E818">
        <f>raw_data!H818</f>
        <v>21.15</v>
      </c>
      <c r="F818">
        <f>raw_data!I818</f>
        <v>6.35</v>
      </c>
      <c r="G818">
        <f>raw_data!J818</f>
        <v>2.46</v>
      </c>
      <c r="H818" t="str">
        <f t="shared" si="12"/>
        <v>Vacancy Intensity</v>
      </c>
    </row>
    <row r="819" spans="1:8" x14ac:dyDescent="0.2">
      <c r="A819" t="str">
        <f>raw_data!A819</f>
        <v>2021Q1</v>
      </c>
      <c r="B819" t="str">
        <f>raw_data!B819</f>
        <v>Queensland</v>
      </c>
      <c r="C819" t="str">
        <f>raw_data!C819</f>
        <v>Construction</v>
      </c>
      <c r="D819">
        <f>raw_data!G819</f>
        <v>21.53</v>
      </c>
      <c r="E819">
        <f>raw_data!H819</f>
        <v>12.36</v>
      </c>
      <c r="F819">
        <f>raw_data!I819</f>
        <v>5.77</v>
      </c>
      <c r="G819">
        <f>raw_data!J819</f>
        <v>3.41</v>
      </c>
      <c r="H819" t="str">
        <f t="shared" si="12"/>
        <v>Vacancy Intensity</v>
      </c>
    </row>
    <row r="820" spans="1:8" x14ac:dyDescent="0.2">
      <c r="A820" t="str">
        <f>raw_data!A820</f>
        <v>2021Q1</v>
      </c>
      <c r="B820" t="str">
        <f>raw_data!B820</f>
        <v>Queensland</v>
      </c>
      <c r="C820" t="str">
        <f>raw_data!C820</f>
        <v>Education and Training</v>
      </c>
      <c r="D820">
        <f>raw_data!G820</f>
        <v>16.100000000000001</v>
      </c>
      <c r="E820">
        <f>raw_data!H820</f>
        <v>4.0199999999999996</v>
      </c>
      <c r="F820">
        <f>raw_data!I820</f>
        <v>10.96</v>
      </c>
      <c r="G820">
        <f>raw_data!J820</f>
        <v>1.1200000000000001</v>
      </c>
      <c r="H820" t="str">
        <f t="shared" si="12"/>
        <v>Wage Pressure</v>
      </c>
    </row>
    <row r="821" spans="1:8" x14ac:dyDescent="0.2">
      <c r="A821" t="str">
        <f>raw_data!A821</f>
        <v>2021Q1</v>
      </c>
      <c r="B821" t="str">
        <f>raw_data!B821</f>
        <v>Queensland</v>
      </c>
      <c r="C821" t="str">
        <f>raw_data!C821</f>
        <v>Health Care and Social Assistance</v>
      </c>
      <c r="D821">
        <f>raw_data!G821</f>
        <v>24.59</v>
      </c>
      <c r="E821">
        <f>raw_data!H821</f>
        <v>11.05</v>
      </c>
      <c r="F821">
        <f>raw_data!I821</f>
        <v>8.08</v>
      </c>
      <c r="G821">
        <f>raw_data!J821</f>
        <v>5.46</v>
      </c>
      <c r="H821" t="str">
        <f t="shared" si="12"/>
        <v>Vacancy Intensity</v>
      </c>
    </row>
    <row r="822" spans="1:8" x14ac:dyDescent="0.2">
      <c r="A822" t="str">
        <f>raw_data!A822</f>
        <v>2021Q1</v>
      </c>
      <c r="B822" t="str">
        <f>raw_data!B822</f>
        <v>Queensland</v>
      </c>
      <c r="C822" t="str">
        <f>raw_data!C822</f>
        <v>Manufacturing</v>
      </c>
      <c r="D822">
        <f>raw_data!G822</f>
        <v>19.59</v>
      </c>
      <c r="E822">
        <f>raw_data!H822</f>
        <v>9.85</v>
      </c>
      <c r="F822">
        <f>raw_data!I822</f>
        <v>6.92</v>
      </c>
      <c r="G822">
        <f>raw_data!J822</f>
        <v>2.81</v>
      </c>
      <c r="H822" t="str">
        <f t="shared" si="12"/>
        <v>Vacancy Intensity</v>
      </c>
    </row>
    <row r="823" spans="1:8" x14ac:dyDescent="0.2">
      <c r="A823" t="str">
        <f>raw_data!A823</f>
        <v>2021Q1</v>
      </c>
      <c r="B823" t="str">
        <f>raw_data!B823</f>
        <v>Queensland</v>
      </c>
      <c r="C823" t="str">
        <f>raw_data!C823</f>
        <v>Professional, Scientific and Technical Services</v>
      </c>
      <c r="D823">
        <f>raw_data!G823</f>
        <v>30.77</v>
      </c>
      <c r="E823">
        <f>raw_data!H823</f>
        <v>16.78</v>
      </c>
      <c r="F823">
        <f>raw_data!I823</f>
        <v>7.5</v>
      </c>
      <c r="G823">
        <f>raw_data!J823</f>
        <v>6.49</v>
      </c>
      <c r="H823" t="str">
        <f t="shared" si="12"/>
        <v>Vacancy Intensity</v>
      </c>
    </row>
    <row r="824" spans="1:8" x14ac:dyDescent="0.2">
      <c r="A824" t="str">
        <f>raw_data!A824</f>
        <v>2021Q1</v>
      </c>
      <c r="B824" t="str">
        <f>raw_data!B824</f>
        <v>Victoria</v>
      </c>
      <c r="C824" t="str">
        <f>raw_data!C824</f>
        <v>Accommodation and Food Services</v>
      </c>
      <c r="D824">
        <f>raw_data!G824</f>
        <v>27.41</v>
      </c>
      <c r="E824">
        <f>raw_data!H824</f>
        <v>18.66</v>
      </c>
      <c r="F824">
        <f>raw_data!I824</f>
        <v>6.35</v>
      </c>
      <c r="G824">
        <f>raw_data!J824</f>
        <v>2.41</v>
      </c>
      <c r="H824" t="str">
        <f t="shared" si="12"/>
        <v>Vacancy Intensity</v>
      </c>
    </row>
    <row r="825" spans="1:8" x14ac:dyDescent="0.2">
      <c r="A825" t="str">
        <f>raw_data!A825</f>
        <v>2021Q1</v>
      </c>
      <c r="B825" t="str">
        <f>raw_data!B825</f>
        <v>Victoria</v>
      </c>
      <c r="C825" t="str">
        <f>raw_data!C825</f>
        <v>Construction</v>
      </c>
      <c r="D825">
        <f>raw_data!G825</f>
        <v>17.690000000000001</v>
      </c>
      <c r="E825">
        <f>raw_data!H825</f>
        <v>8.84</v>
      </c>
      <c r="F825">
        <f>raw_data!I825</f>
        <v>5.77</v>
      </c>
      <c r="G825">
        <f>raw_data!J825</f>
        <v>3.08</v>
      </c>
      <c r="H825" t="str">
        <f t="shared" si="12"/>
        <v>Vacancy Intensity</v>
      </c>
    </row>
    <row r="826" spans="1:8" x14ac:dyDescent="0.2">
      <c r="A826" t="str">
        <f>raw_data!A826</f>
        <v>2021Q1</v>
      </c>
      <c r="B826" t="str">
        <f>raw_data!B826</f>
        <v>Victoria</v>
      </c>
      <c r="C826" t="str">
        <f>raw_data!C826</f>
        <v>Education and Training</v>
      </c>
      <c r="D826">
        <f>raw_data!G826</f>
        <v>14.07</v>
      </c>
      <c r="E826">
        <f>raw_data!H826</f>
        <v>2.58</v>
      </c>
      <c r="F826">
        <f>raw_data!I826</f>
        <v>10.96</v>
      </c>
      <c r="G826">
        <f>raw_data!J826</f>
        <v>0.53</v>
      </c>
      <c r="H826" t="str">
        <f t="shared" si="12"/>
        <v>Wage Pressure</v>
      </c>
    </row>
    <row r="827" spans="1:8" x14ac:dyDescent="0.2">
      <c r="A827" t="str">
        <f>raw_data!A827</f>
        <v>2021Q1</v>
      </c>
      <c r="B827" t="str">
        <f>raw_data!B827</f>
        <v>Victoria</v>
      </c>
      <c r="C827" t="str">
        <f>raw_data!C827</f>
        <v>Health Care and Social Assistance</v>
      </c>
      <c r="D827">
        <f>raw_data!G827</f>
        <v>21.39</v>
      </c>
      <c r="E827">
        <f>raw_data!H827</f>
        <v>8.6199999999999992</v>
      </c>
      <c r="F827">
        <f>raw_data!I827</f>
        <v>8.08</v>
      </c>
      <c r="G827">
        <f>raw_data!J827</f>
        <v>4.7</v>
      </c>
      <c r="H827" t="str">
        <f t="shared" si="12"/>
        <v>Vacancy Intensity</v>
      </c>
    </row>
    <row r="828" spans="1:8" x14ac:dyDescent="0.2">
      <c r="A828" t="str">
        <f>raw_data!A828</f>
        <v>2021Q1</v>
      </c>
      <c r="B828" t="str">
        <f>raw_data!B828</f>
        <v>Victoria</v>
      </c>
      <c r="C828" t="str">
        <f>raw_data!C828</f>
        <v>Manufacturing</v>
      </c>
      <c r="D828">
        <f>raw_data!G828</f>
        <v>14.94</v>
      </c>
      <c r="E828">
        <f>raw_data!H828</f>
        <v>6.29</v>
      </c>
      <c r="F828">
        <f>raw_data!I828</f>
        <v>6.92</v>
      </c>
      <c r="G828">
        <f>raw_data!J828</f>
        <v>1.73</v>
      </c>
      <c r="H828" t="str">
        <f t="shared" si="12"/>
        <v>Wage Pressure</v>
      </c>
    </row>
    <row r="829" spans="1:8" x14ac:dyDescent="0.2">
      <c r="A829" t="str">
        <f>raw_data!A829</f>
        <v>2021Q1</v>
      </c>
      <c r="B829" t="str">
        <f>raw_data!B829</f>
        <v>Victoria</v>
      </c>
      <c r="C829" t="str">
        <f>raw_data!C829</f>
        <v>Professional, Scientific and Technical Services</v>
      </c>
      <c r="D829">
        <f>raw_data!G829</f>
        <v>25.46</v>
      </c>
      <c r="E829">
        <f>raw_data!H829</f>
        <v>10.11</v>
      </c>
      <c r="F829">
        <f>raw_data!I829</f>
        <v>7.5</v>
      </c>
      <c r="G829">
        <f>raw_data!J829</f>
        <v>7.85</v>
      </c>
      <c r="H829" t="str">
        <f t="shared" si="12"/>
        <v>Vacancy Intensity</v>
      </c>
    </row>
    <row r="830" spans="1:8" x14ac:dyDescent="0.2">
      <c r="A830" t="str">
        <f>raw_data!A830</f>
        <v>2021Q2</v>
      </c>
      <c r="B830" t="str">
        <f>raw_data!B830</f>
        <v>New South Wales</v>
      </c>
      <c r="C830" t="str">
        <f>raw_data!C830</f>
        <v>Accommodation and Food Services</v>
      </c>
      <c r="D830">
        <f>raw_data!G830</f>
        <v>31.4</v>
      </c>
      <c r="E830">
        <f>raw_data!H830</f>
        <v>19.920000000000002</v>
      </c>
      <c r="F830">
        <f>raw_data!I830</f>
        <v>8.08</v>
      </c>
      <c r="G830">
        <f>raw_data!J830</f>
        <v>3.4</v>
      </c>
      <c r="H830" t="str">
        <f t="shared" si="12"/>
        <v>Vacancy Intensity</v>
      </c>
    </row>
    <row r="831" spans="1:8" x14ac:dyDescent="0.2">
      <c r="A831" t="str">
        <f>raw_data!A831</f>
        <v>2021Q2</v>
      </c>
      <c r="B831" t="str">
        <f>raw_data!B831</f>
        <v>New South Wales</v>
      </c>
      <c r="C831" t="str">
        <f>raw_data!C831</f>
        <v>Construction</v>
      </c>
      <c r="D831">
        <f>raw_data!G831</f>
        <v>23.65</v>
      </c>
      <c r="E831">
        <f>raw_data!H831</f>
        <v>9.02</v>
      </c>
      <c r="F831">
        <f>raw_data!I831</f>
        <v>10.96</v>
      </c>
      <c r="G831">
        <f>raw_data!J831</f>
        <v>3.67</v>
      </c>
      <c r="H831" t="str">
        <f t="shared" si="12"/>
        <v>Wage Pressure</v>
      </c>
    </row>
    <row r="832" spans="1:8" x14ac:dyDescent="0.2">
      <c r="A832" t="str">
        <f>raw_data!A832</f>
        <v>2021Q2</v>
      </c>
      <c r="B832" t="str">
        <f>raw_data!B832</f>
        <v>New South Wales</v>
      </c>
      <c r="C832" t="str">
        <f>raw_data!C832</f>
        <v>Education and Training</v>
      </c>
      <c r="D832">
        <f>raw_data!G832</f>
        <v>14.97</v>
      </c>
      <c r="E832">
        <f>raw_data!H832</f>
        <v>2.29</v>
      </c>
      <c r="F832">
        <f>raw_data!I832</f>
        <v>9.23</v>
      </c>
      <c r="G832">
        <f>raw_data!J832</f>
        <v>3.45</v>
      </c>
      <c r="H832" t="str">
        <f t="shared" si="12"/>
        <v>Wage Pressure</v>
      </c>
    </row>
    <row r="833" spans="1:8" x14ac:dyDescent="0.2">
      <c r="A833" t="str">
        <f>raw_data!A833</f>
        <v>2021Q2</v>
      </c>
      <c r="B833" t="str">
        <f>raw_data!B833</f>
        <v>New South Wales</v>
      </c>
      <c r="C833" t="str">
        <f>raw_data!C833</f>
        <v>Health Care and Social Assistance</v>
      </c>
      <c r="D833">
        <f>raw_data!G833</f>
        <v>25.89</v>
      </c>
      <c r="E833">
        <f>raw_data!H833</f>
        <v>8.6999999999999993</v>
      </c>
      <c r="F833">
        <f>raw_data!I833</f>
        <v>8.65</v>
      </c>
      <c r="G833">
        <f>raw_data!J833</f>
        <v>8.5399999999999991</v>
      </c>
      <c r="H833" t="str">
        <f t="shared" si="12"/>
        <v>Vacancy Intensity</v>
      </c>
    </row>
    <row r="834" spans="1:8" x14ac:dyDescent="0.2">
      <c r="A834" t="str">
        <f>raw_data!A834</f>
        <v>2021Q2</v>
      </c>
      <c r="B834" t="str">
        <f>raw_data!B834</f>
        <v>New South Wales</v>
      </c>
      <c r="C834" t="str">
        <f>raw_data!C834</f>
        <v>Manufacturing</v>
      </c>
      <c r="D834">
        <f>raw_data!G834</f>
        <v>18.59</v>
      </c>
      <c r="E834">
        <f>raw_data!H834</f>
        <v>8.01</v>
      </c>
      <c r="F834">
        <f>raw_data!I834</f>
        <v>8.08</v>
      </c>
      <c r="G834">
        <f>raw_data!J834</f>
        <v>2.5</v>
      </c>
      <c r="H834" t="str">
        <f t="shared" si="12"/>
        <v>Wage Pressure</v>
      </c>
    </row>
    <row r="835" spans="1:8" x14ac:dyDescent="0.2">
      <c r="A835" t="str">
        <f>raw_data!A835</f>
        <v>2021Q2</v>
      </c>
      <c r="B835" t="str">
        <f>raw_data!B835</f>
        <v>New South Wales</v>
      </c>
      <c r="C835" t="str">
        <f>raw_data!C835</f>
        <v>Professional, Scientific and Technical Services</v>
      </c>
      <c r="D835">
        <f>raw_data!G835</f>
        <v>25.13</v>
      </c>
      <c r="E835">
        <f>raw_data!H835</f>
        <v>7.49</v>
      </c>
      <c r="F835">
        <f>raw_data!I835</f>
        <v>12.69</v>
      </c>
      <c r="G835">
        <f>raw_data!J835</f>
        <v>4.95</v>
      </c>
      <c r="H835" t="str">
        <f t="shared" ref="H835:H898" si="13">IF(AND(E835&gt;=F835,E835&gt;=G835),"Vacancy Intensity",IF(F835&gt;=G835,"Wage Pressure","Labour Tightness"))</f>
        <v>Wage Pressure</v>
      </c>
    </row>
    <row r="836" spans="1:8" x14ac:dyDescent="0.2">
      <c r="A836" t="str">
        <f>raw_data!A836</f>
        <v>2021Q2</v>
      </c>
      <c r="B836" t="str">
        <f>raw_data!B836</f>
        <v>Queensland</v>
      </c>
      <c r="C836" t="str">
        <f>raw_data!C836</f>
        <v>Accommodation and Food Services</v>
      </c>
      <c r="D836">
        <f>raw_data!G836</f>
        <v>36.67</v>
      </c>
      <c r="E836">
        <f>raw_data!H836</f>
        <v>24.53</v>
      </c>
      <c r="F836">
        <f>raw_data!I836</f>
        <v>8.08</v>
      </c>
      <c r="G836">
        <f>raw_data!J836</f>
        <v>4.07</v>
      </c>
      <c r="H836" t="str">
        <f t="shared" si="13"/>
        <v>Vacancy Intensity</v>
      </c>
    </row>
    <row r="837" spans="1:8" x14ac:dyDescent="0.2">
      <c r="A837" t="str">
        <f>raw_data!A837</f>
        <v>2021Q2</v>
      </c>
      <c r="B837" t="str">
        <f>raw_data!B837</f>
        <v>Queensland</v>
      </c>
      <c r="C837" t="str">
        <f>raw_data!C837</f>
        <v>Construction</v>
      </c>
      <c r="D837">
        <f>raw_data!G837</f>
        <v>30.54</v>
      </c>
      <c r="E837">
        <f>raw_data!H837</f>
        <v>13.94</v>
      </c>
      <c r="F837">
        <f>raw_data!I837</f>
        <v>10.96</v>
      </c>
      <c r="G837">
        <f>raw_data!J837</f>
        <v>5.64</v>
      </c>
      <c r="H837" t="str">
        <f t="shared" si="13"/>
        <v>Vacancy Intensity</v>
      </c>
    </row>
    <row r="838" spans="1:8" x14ac:dyDescent="0.2">
      <c r="A838" t="str">
        <f>raw_data!A838</f>
        <v>2021Q2</v>
      </c>
      <c r="B838" t="str">
        <f>raw_data!B838</f>
        <v>Queensland</v>
      </c>
      <c r="C838" t="str">
        <f>raw_data!C838</f>
        <v>Education and Training</v>
      </c>
      <c r="D838">
        <f>raw_data!G838</f>
        <v>17.22</v>
      </c>
      <c r="E838">
        <f>raw_data!H838</f>
        <v>4.74</v>
      </c>
      <c r="F838">
        <f>raw_data!I838</f>
        <v>9.23</v>
      </c>
      <c r="G838">
        <f>raw_data!J838</f>
        <v>3.25</v>
      </c>
      <c r="H838" t="str">
        <f t="shared" si="13"/>
        <v>Wage Pressure</v>
      </c>
    </row>
    <row r="839" spans="1:8" x14ac:dyDescent="0.2">
      <c r="A839" t="str">
        <f>raw_data!A839</f>
        <v>2021Q2</v>
      </c>
      <c r="B839" t="str">
        <f>raw_data!B839</f>
        <v>Queensland</v>
      </c>
      <c r="C839" t="str">
        <f>raw_data!C839</f>
        <v>Health Care and Social Assistance</v>
      </c>
      <c r="D839">
        <f>raw_data!G839</f>
        <v>32.43</v>
      </c>
      <c r="E839">
        <f>raw_data!H839</f>
        <v>13.46</v>
      </c>
      <c r="F839">
        <f>raw_data!I839</f>
        <v>8.65</v>
      </c>
      <c r="G839">
        <f>raw_data!J839</f>
        <v>10.32</v>
      </c>
      <c r="H839" t="str">
        <f t="shared" si="13"/>
        <v>Vacancy Intensity</v>
      </c>
    </row>
    <row r="840" spans="1:8" x14ac:dyDescent="0.2">
      <c r="A840" t="str">
        <f>raw_data!A840</f>
        <v>2021Q2</v>
      </c>
      <c r="B840" t="str">
        <f>raw_data!B840</f>
        <v>Queensland</v>
      </c>
      <c r="C840" t="str">
        <f>raw_data!C840</f>
        <v>Manufacturing</v>
      </c>
      <c r="D840">
        <f>raw_data!G840</f>
        <v>23.99</v>
      </c>
      <c r="E840">
        <f>raw_data!H840</f>
        <v>11.37</v>
      </c>
      <c r="F840">
        <f>raw_data!I840</f>
        <v>8.08</v>
      </c>
      <c r="G840">
        <f>raw_data!J840</f>
        <v>4.55</v>
      </c>
      <c r="H840" t="str">
        <f t="shared" si="13"/>
        <v>Vacancy Intensity</v>
      </c>
    </row>
    <row r="841" spans="1:8" x14ac:dyDescent="0.2">
      <c r="A841" t="str">
        <f>raw_data!A841</f>
        <v>2021Q2</v>
      </c>
      <c r="B841" t="str">
        <f>raw_data!B841</f>
        <v>Queensland</v>
      </c>
      <c r="C841" t="str">
        <f>raw_data!C841</f>
        <v>Professional, Scientific and Technical Services</v>
      </c>
      <c r="D841">
        <f>raw_data!G841</f>
        <v>41.04</v>
      </c>
      <c r="E841">
        <f>raw_data!H841</f>
        <v>17.52</v>
      </c>
      <c r="F841">
        <f>raw_data!I841</f>
        <v>12.69</v>
      </c>
      <c r="G841">
        <f>raw_data!J841</f>
        <v>10.82</v>
      </c>
      <c r="H841" t="str">
        <f t="shared" si="13"/>
        <v>Vacancy Intensity</v>
      </c>
    </row>
    <row r="842" spans="1:8" x14ac:dyDescent="0.2">
      <c r="A842" t="str">
        <f>raw_data!A842</f>
        <v>2021Q2</v>
      </c>
      <c r="B842" t="str">
        <f>raw_data!B842</f>
        <v>Victoria</v>
      </c>
      <c r="C842" t="str">
        <f>raw_data!C842</f>
        <v>Accommodation and Food Services</v>
      </c>
      <c r="D842">
        <f>raw_data!G842</f>
        <v>35.93</v>
      </c>
      <c r="E842">
        <f>raw_data!H842</f>
        <v>22.61</v>
      </c>
      <c r="F842">
        <f>raw_data!I842</f>
        <v>8.08</v>
      </c>
      <c r="G842">
        <f>raw_data!J842</f>
        <v>5.24</v>
      </c>
      <c r="H842" t="str">
        <f t="shared" si="13"/>
        <v>Vacancy Intensity</v>
      </c>
    </row>
    <row r="843" spans="1:8" x14ac:dyDescent="0.2">
      <c r="A843" t="str">
        <f>raw_data!A843</f>
        <v>2021Q2</v>
      </c>
      <c r="B843" t="str">
        <f>raw_data!B843</f>
        <v>Victoria</v>
      </c>
      <c r="C843" t="str">
        <f>raw_data!C843</f>
        <v>Construction</v>
      </c>
      <c r="D843">
        <f>raw_data!G843</f>
        <v>25.9</v>
      </c>
      <c r="E843">
        <f>raw_data!H843</f>
        <v>10.029999999999999</v>
      </c>
      <c r="F843">
        <f>raw_data!I843</f>
        <v>10.96</v>
      </c>
      <c r="G843">
        <f>raw_data!J843</f>
        <v>4.91</v>
      </c>
      <c r="H843" t="str">
        <f t="shared" si="13"/>
        <v>Wage Pressure</v>
      </c>
    </row>
    <row r="844" spans="1:8" x14ac:dyDescent="0.2">
      <c r="A844" t="str">
        <f>raw_data!A844</f>
        <v>2021Q2</v>
      </c>
      <c r="B844" t="str">
        <f>raw_data!B844</f>
        <v>Victoria</v>
      </c>
      <c r="C844" t="str">
        <f>raw_data!C844</f>
        <v>Education and Training</v>
      </c>
      <c r="D844">
        <f>raw_data!G844</f>
        <v>14.11</v>
      </c>
      <c r="E844">
        <f>raw_data!H844</f>
        <v>3.23</v>
      </c>
      <c r="F844">
        <f>raw_data!I844</f>
        <v>9.23</v>
      </c>
      <c r="G844">
        <f>raw_data!J844</f>
        <v>1.66</v>
      </c>
      <c r="H844" t="str">
        <f t="shared" si="13"/>
        <v>Wage Pressure</v>
      </c>
    </row>
    <row r="845" spans="1:8" x14ac:dyDescent="0.2">
      <c r="A845" t="str">
        <f>raw_data!A845</f>
        <v>2021Q2</v>
      </c>
      <c r="B845" t="str">
        <f>raw_data!B845</f>
        <v>Victoria</v>
      </c>
      <c r="C845" t="str">
        <f>raw_data!C845</f>
        <v>Health Care and Social Assistance</v>
      </c>
      <c r="D845">
        <f>raw_data!G845</f>
        <v>28.94</v>
      </c>
      <c r="E845">
        <f>raw_data!H845</f>
        <v>10.73</v>
      </c>
      <c r="F845">
        <f>raw_data!I845</f>
        <v>8.65</v>
      </c>
      <c r="G845">
        <f>raw_data!J845</f>
        <v>9.56</v>
      </c>
      <c r="H845" t="str">
        <f t="shared" si="13"/>
        <v>Vacancy Intensity</v>
      </c>
    </row>
    <row r="846" spans="1:8" x14ac:dyDescent="0.2">
      <c r="A846" t="str">
        <f>raw_data!A846</f>
        <v>2021Q2</v>
      </c>
      <c r="B846" t="str">
        <f>raw_data!B846</f>
        <v>Victoria</v>
      </c>
      <c r="C846" t="str">
        <f>raw_data!C846</f>
        <v>Manufacturing</v>
      </c>
      <c r="D846">
        <f>raw_data!G846</f>
        <v>20.48</v>
      </c>
      <c r="E846">
        <f>raw_data!H846</f>
        <v>7.94</v>
      </c>
      <c r="F846">
        <f>raw_data!I846</f>
        <v>8.08</v>
      </c>
      <c r="G846">
        <f>raw_data!J846</f>
        <v>4.47</v>
      </c>
      <c r="H846" t="str">
        <f t="shared" si="13"/>
        <v>Wage Pressure</v>
      </c>
    </row>
    <row r="847" spans="1:8" x14ac:dyDescent="0.2">
      <c r="A847" t="str">
        <f>raw_data!A847</f>
        <v>2021Q2</v>
      </c>
      <c r="B847" t="str">
        <f>raw_data!B847</f>
        <v>Victoria</v>
      </c>
      <c r="C847" t="str">
        <f>raw_data!C847</f>
        <v>Professional, Scientific and Technical Services</v>
      </c>
      <c r="D847">
        <f>raw_data!G847</f>
        <v>33.94</v>
      </c>
      <c r="E847">
        <f>raw_data!H847</f>
        <v>10.029999999999999</v>
      </c>
      <c r="F847">
        <f>raw_data!I847</f>
        <v>12.69</v>
      </c>
      <c r="G847">
        <f>raw_data!J847</f>
        <v>11.22</v>
      </c>
      <c r="H847" t="str">
        <f t="shared" si="13"/>
        <v>Wage Pressure</v>
      </c>
    </row>
    <row r="848" spans="1:8" x14ac:dyDescent="0.2">
      <c r="A848" t="str">
        <f>raw_data!A848</f>
        <v>2021Q3</v>
      </c>
      <c r="B848" t="str">
        <f>raw_data!B848</f>
        <v>New South Wales</v>
      </c>
      <c r="C848" t="str">
        <f>raw_data!C848</f>
        <v>Accommodation and Food Services</v>
      </c>
      <c r="D848">
        <f>raw_data!G848</f>
        <v>33.07</v>
      </c>
      <c r="E848">
        <f>raw_data!H848</f>
        <v>18.96</v>
      </c>
      <c r="F848">
        <f>raw_data!I848</f>
        <v>12.69</v>
      </c>
      <c r="G848">
        <f>raw_data!J848</f>
        <v>1.42</v>
      </c>
      <c r="H848" t="str">
        <f t="shared" si="13"/>
        <v>Vacancy Intensity</v>
      </c>
    </row>
    <row r="849" spans="1:8" x14ac:dyDescent="0.2">
      <c r="A849" t="str">
        <f>raw_data!A849</f>
        <v>2021Q3</v>
      </c>
      <c r="B849" t="str">
        <f>raw_data!B849</f>
        <v>New South Wales</v>
      </c>
      <c r="C849" t="str">
        <f>raw_data!C849</f>
        <v>Construction</v>
      </c>
      <c r="D849">
        <f>raw_data!G849</f>
        <v>24.93</v>
      </c>
      <c r="E849">
        <f>raw_data!H849</f>
        <v>7.9</v>
      </c>
      <c r="F849">
        <f>raw_data!I849</f>
        <v>13.27</v>
      </c>
      <c r="G849">
        <f>raw_data!J849</f>
        <v>3.76</v>
      </c>
      <c r="H849" t="str">
        <f t="shared" si="13"/>
        <v>Wage Pressure</v>
      </c>
    </row>
    <row r="850" spans="1:8" x14ac:dyDescent="0.2">
      <c r="A850" t="str">
        <f>raw_data!A850</f>
        <v>2021Q3</v>
      </c>
      <c r="B850" t="str">
        <f>raw_data!B850</f>
        <v>New South Wales</v>
      </c>
      <c r="C850" t="str">
        <f>raw_data!C850</f>
        <v>Education and Training</v>
      </c>
      <c r="D850">
        <f>raw_data!G850</f>
        <v>14.86</v>
      </c>
      <c r="E850">
        <f>raw_data!H850</f>
        <v>2.2799999999999998</v>
      </c>
      <c r="F850">
        <f>raw_data!I850</f>
        <v>10.96</v>
      </c>
      <c r="G850">
        <f>raw_data!J850</f>
        <v>1.61</v>
      </c>
      <c r="H850" t="str">
        <f t="shared" si="13"/>
        <v>Wage Pressure</v>
      </c>
    </row>
    <row r="851" spans="1:8" x14ac:dyDescent="0.2">
      <c r="A851" t="str">
        <f>raw_data!A851</f>
        <v>2021Q3</v>
      </c>
      <c r="B851" t="str">
        <f>raw_data!B851</f>
        <v>New South Wales</v>
      </c>
      <c r="C851" t="str">
        <f>raw_data!C851</f>
        <v>Health Care and Social Assistance</v>
      </c>
      <c r="D851">
        <f>raw_data!G851</f>
        <v>25.37</v>
      </c>
      <c r="E851">
        <f>raw_data!H851</f>
        <v>9.4</v>
      </c>
      <c r="F851">
        <f>raw_data!I851</f>
        <v>9.23</v>
      </c>
      <c r="G851">
        <f>raw_data!J851</f>
        <v>6.74</v>
      </c>
      <c r="H851" t="str">
        <f t="shared" si="13"/>
        <v>Vacancy Intensity</v>
      </c>
    </row>
    <row r="852" spans="1:8" x14ac:dyDescent="0.2">
      <c r="A852" t="str">
        <f>raw_data!A852</f>
        <v>2021Q3</v>
      </c>
      <c r="B852" t="str">
        <f>raw_data!B852</f>
        <v>New South Wales</v>
      </c>
      <c r="C852" t="str">
        <f>raw_data!C852</f>
        <v>Manufacturing</v>
      </c>
      <c r="D852">
        <f>raw_data!G852</f>
        <v>23.02</v>
      </c>
      <c r="E852">
        <f>raw_data!H852</f>
        <v>8.86</v>
      </c>
      <c r="F852">
        <f>raw_data!I852</f>
        <v>9.81</v>
      </c>
      <c r="G852">
        <f>raw_data!J852</f>
        <v>4.3600000000000003</v>
      </c>
      <c r="H852" t="str">
        <f t="shared" si="13"/>
        <v>Wage Pressure</v>
      </c>
    </row>
    <row r="853" spans="1:8" x14ac:dyDescent="0.2">
      <c r="A853" t="str">
        <f>raw_data!A853</f>
        <v>2021Q3</v>
      </c>
      <c r="B853" t="str">
        <f>raw_data!B853</f>
        <v>New South Wales</v>
      </c>
      <c r="C853" t="str">
        <f>raw_data!C853</f>
        <v>Professional, Scientific and Technical Services</v>
      </c>
      <c r="D853">
        <f>raw_data!G853</f>
        <v>30.41</v>
      </c>
      <c r="E853">
        <f>raw_data!H853</f>
        <v>7.87</v>
      </c>
      <c r="F853">
        <f>raw_data!I853</f>
        <v>17.88</v>
      </c>
      <c r="G853">
        <f>raw_data!J853</f>
        <v>4.66</v>
      </c>
      <c r="H853" t="str">
        <f t="shared" si="13"/>
        <v>Wage Pressure</v>
      </c>
    </row>
    <row r="854" spans="1:8" x14ac:dyDescent="0.2">
      <c r="A854" t="str">
        <f>raw_data!A854</f>
        <v>2021Q3</v>
      </c>
      <c r="B854" t="str">
        <f>raw_data!B854</f>
        <v>Queensland</v>
      </c>
      <c r="C854" t="str">
        <f>raw_data!C854</f>
        <v>Accommodation and Food Services</v>
      </c>
      <c r="D854">
        <f>raw_data!G854</f>
        <v>33.619999999999997</v>
      </c>
      <c r="E854">
        <f>raw_data!H854</f>
        <v>17.940000000000001</v>
      </c>
      <c r="F854">
        <f>raw_data!I854</f>
        <v>12.69</v>
      </c>
      <c r="G854">
        <f>raw_data!J854</f>
        <v>2.98</v>
      </c>
      <c r="H854" t="str">
        <f t="shared" si="13"/>
        <v>Vacancy Intensity</v>
      </c>
    </row>
    <row r="855" spans="1:8" x14ac:dyDescent="0.2">
      <c r="A855" t="str">
        <f>raw_data!A855</f>
        <v>2021Q3</v>
      </c>
      <c r="B855" t="str">
        <f>raw_data!B855</f>
        <v>Queensland</v>
      </c>
      <c r="C855" t="str">
        <f>raw_data!C855</f>
        <v>Construction</v>
      </c>
      <c r="D855">
        <f>raw_data!G855</f>
        <v>27.14</v>
      </c>
      <c r="E855">
        <f>raw_data!H855</f>
        <v>10.25</v>
      </c>
      <c r="F855">
        <f>raw_data!I855</f>
        <v>13.27</v>
      </c>
      <c r="G855">
        <f>raw_data!J855</f>
        <v>3.62</v>
      </c>
      <c r="H855" t="str">
        <f t="shared" si="13"/>
        <v>Wage Pressure</v>
      </c>
    </row>
    <row r="856" spans="1:8" x14ac:dyDescent="0.2">
      <c r="A856" t="str">
        <f>raw_data!A856</f>
        <v>2021Q3</v>
      </c>
      <c r="B856" t="str">
        <f>raw_data!B856</f>
        <v>Queensland</v>
      </c>
      <c r="C856" t="str">
        <f>raw_data!C856</f>
        <v>Education and Training</v>
      </c>
      <c r="D856">
        <f>raw_data!G856</f>
        <v>20.49</v>
      </c>
      <c r="E856">
        <f>raw_data!H856</f>
        <v>4.2699999999999996</v>
      </c>
      <c r="F856">
        <f>raw_data!I856</f>
        <v>10.96</v>
      </c>
      <c r="G856">
        <f>raw_data!J856</f>
        <v>5.26</v>
      </c>
      <c r="H856" t="str">
        <f t="shared" si="13"/>
        <v>Wage Pressure</v>
      </c>
    </row>
    <row r="857" spans="1:8" x14ac:dyDescent="0.2">
      <c r="A857" t="str">
        <f>raw_data!A857</f>
        <v>2021Q3</v>
      </c>
      <c r="B857" t="str">
        <f>raw_data!B857</f>
        <v>Queensland</v>
      </c>
      <c r="C857" t="str">
        <f>raw_data!C857</f>
        <v>Health Care and Social Assistance</v>
      </c>
      <c r="D857">
        <f>raw_data!G857</f>
        <v>33.29</v>
      </c>
      <c r="E857">
        <f>raw_data!H857</f>
        <v>14.17</v>
      </c>
      <c r="F857">
        <f>raw_data!I857</f>
        <v>9.23</v>
      </c>
      <c r="G857">
        <f>raw_data!J857</f>
        <v>9.89</v>
      </c>
      <c r="H857" t="str">
        <f t="shared" si="13"/>
        <v>Vacancy Intensity</v>
      </c>
    </row>
    <row r="858" spans="1:8" x14ac:dyDescent="0.2">
      <c r="A858" t="str">
        <f>raw_data!A858</f>
        <v>2021Q3</v>
      </c>
      <c r="B858" t="str">
        <f>raw_data!B858</f>
        <v>Queensland</v>
      </c>
      <c r="C858" t="str">
        <f>raw_data!C858</f>
        <v>Manufacturing</v>
      </c>
      <c r="D858">
        <f>raw_data!G858</f>
        <v>26.34</v>
      </c>
      <c r="E858">
        <f>raw_data!H858</f>
        <v>12.22</v>
      </c>
      <c r="F858">
        <f>raw_data!I858</f>
        <v>9.81</v>
      </c>
      <c r="G858">
        <f>raw_data!J858</f>
        <v>4.32</v>
      </c>
      <c r="H858" t="str">
        <f t="shared" si="13"/>
        <v>Vacancy Intensity</v>
      </c>
    </row>
    <row r="859" spans="1:8" x14ac:dyDescent="0.2">
      <c r="A859" t="str">
        <f>raw_data!A859</f>
        <v>2021Q3</v>
      </c>
      <c r="B859" t="str">
        <f>raw_data!B859</f>
        <v>Queensland</v>
      </c>
      <c r="C859" t="str">
        <f>raw_data!C859</f>
        <v>Professional, Scientific and Technical Services</v>
      </c>
      <c r="D859">
        <f>raw_data!G859</f>
        <v>43.53</v>
      </c>
      <c r="E859">
        <f>raw_data!H859</f>
        <v>17.989999999999998</v>
      </c>
      <c r="F859">
        <f>raw_data!I859</f>
        <v>17.88</v>
      </c>
      <c r="G859">
        <f>raw_data!J859</f>
        <v>7.66</v>
      </c>
      <c r="H859" t="str">
        <f t="shared" si="13"/>
        <v>Vacancy Intensity</v>
      </c>
    </row>
    <row r="860" spans="1:8" x14ac:dyDescent="0.2">
      <c r="A860" t="str">
        <f>raw_data!A860</f>
        <v>2021Q3</v>
      </c>
      <c r="B860" t="str">
        <f>raw_data!B860</f>
        <v>Victoria</v>
      </c>
      <c r="C860" t="str">
        <f>raw_data!C860</f>
        <v>Accommodation and Food Services</v>
      </c>
      <c r="D860">
        <f>raw_data!G860</f>
        <v>32.99</v>
      </c>
      <c r="E860">
        <f>raw_data!H860</f>
        <v>16.95</v>
      </c>
      <c r="F860">
        <f>raw_data!I860</f>
        <v>12.69</v>
      </c>
      <c r="G860">
        <f>raw_data!J860</f>
        <v>3.35</v>
      </c>
      <c r="H860" t="str">
        <f t="shared" si="13"/>
        <v>Vacancy Intensity</v>
      </c>
    </row>
    <row r="861" spans="1:8" x14ac:dyDescent="0.2">
      <c r="A861" t="str">
        <f>raw_data!A861</f>
        <v>2021Q3</v>
      </c>
      <c r="B861" t="str">
        <f>raw_data!B861</f>
        <v>Victoria</v>
      </c>
      <c r="C861" t="str">
        <f>raw_data!C861</f>
        <v>Construction</v>
      </c>
      <c r="D861">
        <f>raw_data!G861</f>
        <v>26.16</v>
      </c>
      <c r="E861">
        <f>raw_data!H861</f>
        <v>7.51</v>
      </c>
      <c r="F861">
        <f>raw_data!I861</f>
        <v>13.27</v>
      </c>
      <c r="G861">
        <f>raw_data!J861</f>
        <v>5.38</v>
      </c>
      <c r="H861" t="str">
        <f t="shared" si="13"/>
        <v>Wage Pressure</v>
      </c>
    </row>
    <row r="862" spans="1:8" x14ac:dyDescent="0.2">
      <c r="A862" t="str">
        <f>raw_data!A862</f>
        <v>2021Q3</v>
      </c>
      <c r="B862" t="str">
        <f>raw_data!B862</f>
        <v>Victoria</v>
      </c>
      <c r="C862" t="str">
        <f>raw_data!C862</f>
        <v>Education and Training</v>
      </c>
      <c r="D862">
        <f>raw_data!G862</f>
        <v>17.11</v>
      </c>
      <c r="E862">
        <f>raw_data!H862</f>
        <v>3.06</v>
      </c>
      <c r="F862">
        <f>raw_data!I862</f>
        <v>10.96</v>
      </c>
      <c r="G862">
        <f>raw_data!J862</f>
        <v>3.09</v>
      </c>
      <c r="H862" t="str">
        <f t="shared" si="13"/>
        <v>Wage Pressure</v>
      </c>
    </row>
    <row r="863" spans="1:8" x14ac:dyDescent="0.2">
      <c r="A863" t="str">
        <f>raw_data!A863</f>
        <v>2021Q3</v>
      </c>
      <c r="B863" t="str">
        <f>raw_data!B863</f>
        <v>Victoria</v>
      </c>
      <c r="C863" t="str">
        <f>raw_data!C863</f>
        <v>Health Care and Social Assistance</v>
      </c>
      <c r="D863">
        <f>raw_data!G863</f>
        <v>31.8</v>
      </c>
      <c r="E863">
        <f>raw_data!H863</f>
        <v>11.06</v>
      </c>
      <c r="F863">
        <f>raw_data!I863</f>
        <v>9.23</v>
      </c>
      <c r="G863">
        <f>raw_data!J863</f>
        <v>11.51</v>
      </c>
      <c r="H863" t="str">
        <f t="shared" si="13"/>
        <v>Labour Tightness</v>
      </c>
    </row>
    <row r="864" spans="1:8" x14ac:dyDescent="0.2">
      <c r="A864" t="str">
        <f>raw_data!A864</f>
        <v>2021Q3</v>
      </c>
      <c r="B864" t="str">
        <f>raw_data!B864</f>
        <v>Victoria</v>
      </c>
      <c r="C864" t="str">
        <f>raw_data!C864</f>
        <v>Manufacturing</v>
      </c>
      <c r="D864">
        <f>raw_data!G864</f>
        <v>25.61</v>
      </c>
      <c r="E864">
        <f>raw_data!H864</f>
        <v>8.41</v>
      </c>
      <c r="F864">
        <f>raw_data!I864</f>
        <v>9.81</v>
      </c>
      <c r="G864">
        <f>raw_data!J864</f>
        <v>7.39</v>
      </c>
      <c r="H864" t="str">
        <f t="shared" si="13"/>
        <v>Wage Pressure</v>
      </c>
    </row>
    <row r="865" spans="1:8" x14ac:dyDescent="0.2">
      <c r="A865" t="str">
        <f>raw_data!A865</f>
        <v>2021Q3</v>
      </c>
      <c r="B865" t="str">
        <f>raw_data!B865</f>
        <v>Victoria</v>
      </c>
      <c r="C865" t="str">
        <f>raw_data!C865</f>
        <v>Professional, Scientific and Technical Services</v>
      </c>
      <c r="D865">
        <f>raw_data!G865</f>
        <v>39.69</v>
      </c>
      <c r="E865">
        <f>raw_data!H865</f>
        <v>10.29</v>
      </c>
      <c r="F865">
        <f>raw_data!I865</f>
        <v>17.88</v>
      </c>
      <c r="G865">
        <f>raw_data!J865</f>
        <v>11.51</v>
      </c>
      <c r="H865" t="str">
        <f t="shared" si="13"/>
        <v>Wage Pressure</v>
      </c>
    </row>
    <row r="866" spans="1:8" x14ac:dyDescent="0.2">
      <c r="A866" t="str">
        <f>raw_data!A866</f>
        <v>2021Q4</v>
      </c>
      <c r="B866" t="str">
        <f>raw_data!B866</f>
        <v>New South Wales</v>
      </c>
      <c r="C866" t="str">
        <f>raw_data!C866</f>
        <v>Accommodation and Food Services</v>
      </c>
      <c r="D866">
        <f>raw_data!G866</f>
        <v>47.56</v>
      </c>
      <c r="E866">
        <f>raw_data!H866</f>
        <v>25.37</v>
      </c>
      <c r="F866">
        <f>raw_data!I866</f>
        <v>18.46</v>
      </c>
      <c r="G866">
        <f>raw_data!J866</f>
        <v>3.73</v>
      </c>
      <c r="H866" t="str">
        <f t="shared" si="13"/>
        <v>Vacancy Intensity</v>
      </c>
    </row>
    <row r="867" spans="1:8" x14ac:dyDescent="0.2">
      <c r="A867" t="str">
        <f>raw_data!A867</f>
        <v>2021Q4</v>
      </c>
      <c r="B867" t="str">
        <f>raw_data!B867</f>
        <v>New South Wales</v>
      </c>
      <c r="C867" t="str">
        <f>raw_data!C867</f>
        <v>Construction</v>
      </c>
      <c r="D867">
        <f>raw_data!G867</f>
        <v>26.53</v>
      </c>
      <c r="E867">
        <f>raw_data!H867</f>
        <v>9.31</v>
      </c>
      <c r="F867">
        <f>raw_data!I867</f>
        <v>12.12</v>
      </c>
      <c r="G867">
        <f>raw_data!J867</f>
        <v>5.1100000000000003</v>
      </c>
      <c r="H867" t="str">
        <f t="shared" si="13"/>
        <v>Wage Pressure</v>
      </c>
    </row>
    <row r="868" spans="1:8" x14ac:dyDescent="0.2">
      <c r="A868" t="str">
        <f>raw_data!A868</f>
        <v>2021Q4</v>
      </c>
      <c r="B868" t="str">
        <f>raw_data!B868</f>
        <v>New South Wales</v>
      </c>
      <c r="C868" t="str">
        <f>raw_data!C868</f>
        <v>Education and Training</v>
      </c>
      <c r="D868">
        <f>raw_data!G868</f>
        <v>14.52</v>
      </c>
      <c r="E868">
        <f>raw_data!H868</f>
        <v>2.36</v>
      </c>
      <c r="F868">
        <f>raw_data!I868</f>
        <v>10.38</v>
      </c>
      <c r="G868">
        <f>raw_data!J868</f>
        <v>1.77</v>
      </c>
      <c r="H868" t="str">
        <f t="shared" si="13"/>
        <v>Wage Pressure</v>
      </c>
    </row>
    <row r="869" spans="1:8" x14ac:dyDescent="0.2">
      <c r="A869" t="str">
        <f>raw_data!A869</f>
        <v>2021Q4</v>
      </c>
      <c r="B869" t="str">
        <f>raw_data!B869</f>
        <v>New South Wales</v>
      </c>
      <c r="C869" t="str">
        <f>raw_data!C869</f>
        <v>Health Care and Social Assistance</v>
      </c>
      <c r="D869">
        <f>raw_data!G869</f>
        <v>31.23</v>
      </c>
      <c r="E869">
        <f>raw_data!H869</f>
        <v>11.16</v>
      </c>
      <c r="F869">
        <f>raw_data!I869</f>
        <v>12.12</v>
      </c>
      <c r="G869">
        <f>raw_data!J869</f>
        <v>7.96</v>
      </c>
      <c r="H869" t="str">
        <f t="shared" si="13"/>
        <v>Wage Pressure</v>
      </c>
    </row>
    <row r="870" spans="1:8" x14ac:dyDescent="0.2">
      <c r="A870" t="str">
        <f>raw_data!A870</f>
        <v>2021Q4</v>
      </c>
      <c r="B870" t="str">
        <f>raw_data!B870</f>
        <v>New South Wales</v>
      </c>
      <c r="C870" t="str">
        <f>raw_data!C870</f>
        <v>Manufacturing</v>
      </c>
      <c r="D870">
        <f>raw_data!G870</f>
        <v>31.31</v>
      </c>
      <c r="E870">
        <f>raw_data!H870</f>
        <v>13.72</v>
      </c>
      <c r="F870">
        <f>raw_data!I870</f>
        <v>12.69</v>
      </c>
      <c r="G870">
        <f>raw_data!J870</f>
        <v>4.9000000000000004</v>
      </c>
      <c r="H870" t="str">
        <f t="shared" si="13"/>
        <v>Vacancy Intensity</v>
      </c>
    </row>
    <row r="871" spans="1:8" x14ac:dyDescent="0.2">
      <c r="A871" t="str">
        <f>raw_data!A871</f>
        <v>2021Q4</v>
      </c>
      <c r="B871" t="str">
        <f>raw_data!B871</f>
        <v>New South Wales</v>
      </c>
      <c r="C871" t="str">
        <f>raw_data!C871</f>
        <v>Professional, Scientific and Technical Services</v>
      </c>
      <c r="D871">
        <f>raw_data!G871</f>
        <v>27.6</v>
      </c>
      <c r="E871">
        <f>raw_data!H871</f>
        <v>9.41</v>
      </c>
      <c r="F871">
        <f>raw_data!I871</f>
        <v>12.69</v>
      </c>
      <c r="G871">
        <f>raw_data!J871</f>
        <v>5.49</v>
      </c>
      <c r="H871" t="str">
        <f t="shared" si="13"/>
        <v>Wage Pressure</v>
      </c>
    </row>
    <row r="872" spans="1:8" x14ac:dyDescent="0.2">
      <c r="A872" t="str">
        <f>raw_data!A872</f>
        <v>2021Q4</v>
      </c>
      <c r="B872" t="str">
        <f>raw_data!B872</f>
        <v>Queensland</v>
      </c>
      <c r="C872" t="str">
        <f>raw_data!C872</f>
        <v>Accommodation and Food Services</v>
      </c>
      <c r="D872">
        <f>raw_data!G872</f>
        <v>53.45</v>
      </c>
      <c r="E872">
        <f>raw_data!H872</f>
        <v>29.15</v>
      </c>
      <c r="F872">
        <f>raw_data!I872</f>
        <v>18.46</v>
      </c>
      <c r="G872">
        <f>raw_data!J872</f>
        <v>5.85</v>
      </c>
      <c r="H872" t="str">
        <f t="shared" si="13"/>
        <v>Vacancy Intensity</v>
      </c>
    </row>
    <row r="873" spans="1:8" x14ac:dyDescent="0.2">
      <c r="A873" t="str">
        <f>raw_data!A873</f>
        <v>2021Q4</v>
      </c>
      <c r="B873" t="str">
        <f>raw_data!B873</f>
        <v>Queensland</v>
      </c>
      <c r="C873" t="str">
        <f>raw_data!C873</f>
        <v>Construction</v>
      </c>
      <c r="D873">
        <f>raw_data!G873</f>
        <v>35.090000000000003</v>
      </c>
      <c r="E873">
        <f>raw_data!H873</f>
        <v>13.94</v>
      </c>
      <c r="F873">
        <f>raw_data!I873</f>
        <v>12.12</v>
      </c>
      <c r="G873">
        <f>raw_data!J873</f>
        <v>9.0299999999999994</v>
      </c>
      <c r="H873" t="str">
        <f t="shared" si="13"/>
        <v>Vacancy Intensity</v>
      </c>
    </row>
    <row r="874" spans="1:8" x14ac:dyDescent="0.2">
      <c r="A874" t="str">
        <f>raw_data!A874</f>
        <v>2021Q4</v>
      </c>
      <c r="B874" t="str">
        <f>raw_data!B874</f>
        <v>Queensland</v>
      </c>
      <c r="C874" t="str">
        <f>raw_data!C874</f>
        <v>Education and Training</v>
      </c>
      <c r="D874">
        <f>raw_data!G874</f>
        <v>22.73</v>
      </c>
      <c r="E874">
        <f>raw_data!H874</f>
        <v>4.1900000000000004</v>
      </c>
      <c r="F874">
        <f>raw_data!I874</f>
        <v>10.38</v>
      </c>
      <c r="G874">
        <f>raw_data!J874</f>
        <v>8.15</v>
      </c>
      <c r="H874" t="str">
        <f t="shared" si="13"/>
        <v>Wage Pressure</v>
      </c>
    </row>
    <row r="875" spans="1:8" x14ac:dyDescent="0.2">
      <c r="A875" t="str">
        <f>raw_data!A875</f>
        <v>2021Q4</v>
      </c>
      <c r="B875" t="str">
        <f>raw_data!B875</f>
        <v>Queensland</v>
      </c>
      <c r="C875" t="str">
        <f>raw_data!C875</f>
        <v>Health Care and Social Assistance</v>
      </c>
      <c r="D875">
        <f>raw_data!G875</f>
        <v>47.19</v>
      </c>
      <c r="E875">
        <f>raw_data!H875</f>
        <v>16.420000000000002</v>
      </c>
      <c r="F875">
        <f>raw_data!I875</f>
        <v>12.12</v>
      </c>
      <c r="G875">
        <f>raw_data!J875</f>
        <v>18.649999999999999</v>
      </c>
      <c r="H875" t="str">
        <f t="shared" si="13"/>
        <v>Labour Tightness</v>
      </c>
    </row>
    <row r="876" spans="1:8" x14ac:dyDescent="0.2">
      <c r="A876" t="str">
        <f>raw_data!A876</f>
        <v>2021Q4</v>
      </c>
      <c r="B876" t="str">
        <f>raw_data!B876</f>
        <v>Queensland</v>
      </c>
      <c r="C876" t="str">
        <f>raw_data!C876</f>
        <v>Manufacturing</v>
      </c>
      <c r="D876">
        <f>raw_data!G876</f>
        <v>41.54</v>
      </c>
      <c r="E876">
        <f>raw_data!H876</f>
        <v>17.89</v>
      </c>
      <c r="F876">
        <f>raw_data!I876</f>
        <v>12.69</v>
      </c>
      <c r="G876">
        <f>raw_data!J876</f>
        <v>10.96</v>
      </c>
      <c r="H876" t="str">
        <f t="shared" si="13"/>
        <v>Vacancy Intensity</v>
      </c>
    </row>
    <row r="877" spans="1:8" x14ac:dyDescent="0.2">
      <c r="A877" t="str">
        <f>raw_data!A877</f>
        <v>2021Q4</v>
      </c>
      <c r="B877" t="str">
        <f>raw_data!B877</f>
        <v>Queensland</v>
      </c>
      <c r="C877" t="str">
        <f>raw_data!C877</f>
        <v>Professional, Scientific and Technical Services</v>
      </c>
      <c r="D877">
        <f>raw_data!G877</f>
        <v>45.29</v>
      </c>
      <c r="E877">
        <f>raw_data!H877</f>
        <v>19.23</v>
      </c>
      <c r="F877">
        <f>raw_data!I877</f>
        <v>12.69</v>
      </c>
      <c r="G877">
        <f>raw_data!J877</f>
        <v>13.36</v>
      </c>
      <c r="H877" t="str">
        <f t="shared" si="13"/>
        <v>Vacancy Intensity</v>
      </c>
    </row>
    <row r="878" spans="1:8" x14ac:dyDescent="0.2">
      <c r="A878" t="str">
        <f>raw_data!A878</f>
        <v>2021Q4</v>
      </c>
      <c r="B878" t="str">
        <f>raw_data!B878</f>
        <v>Victoria</v>
      </c>
      <c r="C878" t="str">
        <f>raw_data!C878</f>
        <v>Accommodation and Food Services</v>
      </c>
      <c r="D878">
        <f>raw_data!G878</f>
        <v>51.41</v>
      </c>
      <c r="E878">
        <f>raw_data!H878</f>
        <v>29.23</v>
      </c>
      <c r="F878">
        <f>raw_data!I878</f>
        <v>18.46</v>
      </c>
      <c r="G878">
        <f>raw_data!J878</f>
        <v>3.72</v>
      </c>
      <c r="H878" t="str">
        <f t="shared" si="13"/>
        <v>Vacancy Intensity</v>
      </c>
    </row>
    <row r="879" spans="1:8" x14ac:dyDescent="0.2">
      <c r="A879" t="str">
        <f>raw_data!A879</f>
        <v>2021Q4</v>
      </c>
      <c r="B879" t="str">
        <f>raw_data!B879</f>
        <v>Victoria</v>
      </c>
      <c r="C879" t="str">
        <f>raw_data!C879</f>
        <v>Construction</v>
      </c>
      <c r="D879">
        <f>raw_data!G879</f>
        <v>28.55</v>
      </c>
      <c r="E879">
        <f>raw_data!H879</f>
        <v>9.98</v>
      </c>
      <c r="F879">
        <f>raw_data!I879</f>
        <v>12.12</v>
      </c>
      <c r="G879">
        <f>raw_data!J879</f>
        <v>6.45</v>
      </c>
      <c r="H879" t="str">
        <f t="shared" si="13"/>
        <v>Wage Pressure</v>
      </c>
    </row>
    <row r="880" spans="1:8" x14ac:dyDescent="0.2">
      <c r="A880" t="str">
        <f>raw_data!A880</f>
        <v>2021Q4</v>
      </c>
      <c r="B880" t="str">
        <f>raw_data!B880</f>
        <v>Victoria</v>
      </c>
      <c r="C880" t="str">
        <f>raw_data!C880</f>
        <v>Education and Training</v>
      </c>
      <c r="D880">
        <f>raw_data!G880</f>
        <v>17.68</v>
      </c>
      <c r="E880">
        <f>raw_data!H880</f>
        <v>3.02</v>
      </c>
      <c r="F880">
        <f>raw_data!I880</f>
        <v>10.38</v>
      </c>
      <c r="G880">
        <f>raw_data!J880</f>
        <v>4.28</v>
      </c>
      <c r="H880" t="str">
        <f t="shared" si="13"/>
        <v>Wage Pressure</v>
      </c>
    </row>
    <row r="881" spans="1:8" x14ac:dyDescent="0.2">
      <c r="A881" t="str">
        <f>raw_data!A881</f>
        <v>2021Q4</v>
      </c>
      <c r="B881" t="str">
        <f>raw_data!B881</f>
        <v>Victoria</v>
      </c>
      <c r="C881" t="str">
        <f>raw_data!C881</f>
        <v>Health Care and Social Assistance</v>
      </c>
      <c r="D881">
        <f>raw_data!G881</f>
        <v>38.97</v>
      </c>
      <c r="E881">
        <f>raw_data!H881</f>
        <v>12.93</v>
      </c>
      <c r="F881">
        <f>raw_data!I881</f>
        <v>12.12</v>
      </c>
      <c r="G881">
        <f>raw_data!J881</f>
        <v>13.92</v>
      </c>
      <c r="H881" t="str">
        <f t="shared" si="13"/>
        <v>Labour Tightness</v>
      </c>
    </row>
    <row r="882" spans="1:8" x14ac:dyDescent="0.2">
      <c r="A882" t="str">
        <f>raw_data!A882</f>
        <v>2021Q4</v>
      </c>
      <c r="B882" t="str">
        <f>raw_data!B882</f>
        <v>Victoria</v>
      </c>
      <c r="C882" t="str">
        <f>raw_data!C882</f>
        <v>Manufacturing</v>
      </c>
      <c r="D882">
        <f>raw_data!G882</f>
        <v>35.76</v>
      </c>
      <c r="E882">
        <f>raw_data!H882</f>
        <v>12.14</v>
      </c>
      <c r="F882">
        <f>raw_data!I882</f>
        <v>12.69</v>
      </c>
      <c r="G882">
        <f>raw_data!J882</f>
        <v>10.93</v>
      </c>
      <c r="H882" t="str">
        <f t="shared" si="13"/>
        <v>Wage Pressure</v>
      </c>
    </row>
    <row r="883" spans="1:8" x14ac:dyDescent="0.2">
      <c r="A883" t="str">
        <f>raw_data!A883</f>
        <v>2021Q4</v>
      </c>
      <c r="B883" t="str">
        <f>raw_data!B883</f>
        <v>Victoria</v>
      </c>
      <c r="C883" t="str">
        <f>raw_data!C883</f>
        <v>Professional, Scientific and Technical Services</v>
      </c>
      <c r="D883">
        <f>raw_data!G883</f>
        <v>29.65</v>
      </c>
      <c r="E883">
        <f>raw_data!H883</f>
        <v>11.91</v>
      </c>
      <c r="F883">
        <f>raw_data!I883</f>
        <v>12.69</v>
      </c>
      <c r="G883">
        <f>raw_data!J883</f>
        <v>5.05</v>
      </c>
      <c r="H883" t="str">
        <f t="shared" si="13"/>
        <v>Wage Pressure</v>
      </c>
    </row>
    <row r="884" spans="1:8" x14ac:dyDescent="0.2">
      <c r="A884" t="str">
        <f>raw_data!A884</f>
        <v>2022Q1</v>
      </c>
      <c r="B884" t="str">
        <f>raw_data!B884</f>
        <v>New South Wales</v>
      </c>
      <c r="C884" t="str">
        <f>raw_data!C884</f>
        <v>Accommodation and Food Services</v>
      </c>
      <c r="D884">
        <f>raw_data!G884</f>
        <v>41.89</v>
      </c>
      <c r="E884">
        <f>raw_data!H884</f>
        <v>23.56</v>
      </c>
      <c r="F884">
        <f>raw_data!I884</f>
        <v>13.27</v>
      </c>
      <c r="G884">
        <f>raw_data!J884</f>
        <v>5.0599999999999996</v>
      </c>
      <c r="H884" t="str">
        <f t="shared" si="13"/>
        <v>Vacancy Intensity</v>
      </c>
    </row>
    <row r="885" spans="1:8" x14ac:dyDescent="0.2">
      <c r="A885" t="str">
        <f>raw_data!A885</f>
        <v>2022Q1</v>
      </c>
      <c r="B885" t="str">
        <f>raw_data!B885</f>
        <v>New South Wales</v>
      </c>
      <c r="C885" t="str">
        <f>raw_data!C885</f>
        <v>Construction</v>
      </c>
      <c r="D885">
        <f>raw_data!G885</f>
        <v>28.41</v>
      </c>
      <c r="E885">
        <f>raw_data!H885</f>
        <v>10.38</v>
      </c>
      <c r="F885">
        <f>raw_data!I885</f>
        <v>12.69</v>
      </c>
      <c r="G885">
        <f>raw_data!J885</f>
        <v>5.34</v>
      </c>
      <c r="H885" t="str">
        <f t="shared" si="13"/>
        <v>Wage Pressure</v>
      </c>
    </row>
    <row r="886" spans="1:8" x14ac:dyDescent="0.2">
      <c r="A886" t="str">
        <f>raw_data!A886</f>
        <v>2022Q1</v>
      </c>
      <c r="B886" t="str">
        <f>raw_data!B886</f>
        <v>New South Wales</v>
      </c>
      <c r="C886" t="str">
        <f>raw_data!C886</f>
        <v>Education and Training</v>
      </c>
      <c r="D886">
        <f>raw_data!G886</f>
        <v>16.05</v>
      </c>
      <c r="E886">
        <f>raw_data!H886</f>
        <v>3.12</v>
      </c>
      <c r="F886">
        <f>raw_data!I886</f>
        <v>10.96</v>
      </c>
      <c r="G886">
        <f>raw_data!J886</f>
        <v>1.97</v>
      </c>
      <c r="H886" t="str">
        <f t="shared" si="13"/>
        <v>Wage Pressure</v>
      </c>
    </row>
    <row r="887" spans="1:8" x14ac:dyDescent="0.2">
      <c r="A887" t="str">
        <f>raw_data!A887</f>
        <v>2022Q1</v>
      </c>
      <c r="B887" t="str">
        <f>raw_data!B887</f>
        <v>New South Wales</v>
      </c>
      <c r="C887" t="str">
        <f>raw_data!C887</f>
        <v>Health Care and Social Assistance</v>
      </c>
      <c r="D887">
        <f>raw_data!G887</f>
        <v>28.87</v>
      </c>
      <c r="E887">
        <f>raw_data!H887</f>
        <v>10.199999999999999</v>
      </c>
      <c r="F887">
        <f>raw_data!I887</f>
        <v>10.38</v>
      </c>
      <c r="G887">
        <f>raw_data!J887</f>
        <v>8.2799999999999994</v>
      </c>
      <c r="H887" t="str">
        <f t="shared" si="13"/>
        <v>Wage Pressure</v>
      </c>
    </row>
    <row r="888" spans="1:8" x14ac:dyDescent="0.2">
      <c r="A888" t="str">
        <f>raw_data!A888</f>
        <v>2022Q1</v>
      </c>
      <c r="B888" t="str">
        <f>raw_data!B888</f>
        <v>New South Wales</v>
      </c>
      <c r="C888" t="str">
        <f>raw_data!C888</f>
        <v>Manufacturing</v>
      </c>
      <c r="D888">
        <f>raw_data!G888</f>
        <v>39.770000000000003</v>
      </c>
      <c r="E888">
        <f>raw_data!H888</f>
        <v>14.29</v>
      </c>
      <c r="F888">
        <f>raw_data!I888</f>
        <v>13.85</v>
      </c>
      <c r="G888">
        <f>raw_data!J888</f>
        <v>11.63</v>
      </c>
      <c r="H888" t="str">
        <f t="shared" si="13"/>
        <v>Vacancy Intensity</v>
      </c>
    </row>
    <row r="889" spans="1:8" x14ac:dyDescent="0.2">
      <c r="A889" t="str">
        <f>raw_data!A889</f>
        <v>2022Q1</v>
      </c>
      <c r="B889" t="str">
        <f>raw_data!B889</f>
        <v>New South Wales</v>
      </c>
      <c r="C889" t="str">
        <f>raw_data!C889</f>
        <v>Professional, Scientific and Technical Services</v>
      </c>
      <c r="D889">
        <f>raw_data!G889</f>
        <v>40.78</v>
      </c>
      <c r="E889">
        <f>raw_data!H889</f>
        <v>10.78</v>
      </c>
      <c r="F889">
        <f>raw_data!I889</f>
        <v>13.85</v>
      </c>
      <c r="G889">
        <f>raw_data!J889</f>
        <v>16.149999999999999</v>
      </c>
      <c r="H889" t="str">
        <f t="shared" si="13"/>
        <v>Labour Tightness</v>
      </c>
    </row>
    <row r="890" spans="1:8" x14ac:dyDescent="0.2">
      <c r="A890" t="str">
        <f>raw_data!A890</f>
        <v>2022Q1</v>
      </c>
      <c r="B890" t="str">
        <f>raw_data!B890</f>
        <v>Queensland</v>
      </c>
      <c r="C890" t="str">
        <f>raw_data!C890</f>
        <v>Accommodation and Food Services</v>
      </c>
      <c r="D890">
        <f>raw_data!G890</f>
        <v>49.35</v>
      </c>
      <c r="E890">
        <f>raw_data!H890</f>
        <v>28.89</v>
      </c>
      <c r="F890">
        <f>raw_data!I890</f>
        <v>13.27</v>
      </c>
      <c r="G890">
        <f>raw_data!J890</f>
        <v>7.19</v>
      </c>
      <c r="H890" t="str">
        <f t="shared" si="13"/>
        <v>Vacancy Intensity</v>
      </c>
    </row>
    <row r="891" spans="1:8" x14ac:dyDescent="0.2">
      <c r="A891" t="str">
        <f>raw_data!A891</f>
        <v>2022Q1</v>
      </c>
      <c r="B891" t="str">
        <f>raw_data!B891</f>
        <v>Queensland</v>
      </c>
      <c r="C891" t="str">
        <f>raw_data!C891</f>
        <v>Construction</v>
      </c>
      <c r="D891">
        <f>raw_data!G891</f>
        <v>35.69</v>
      </c>
      <c r="E891">
        <f>raw_data!H891</f>
        <v>16</v>
      </c>
      <c r="F891">
        <f>raw_data!I891</f>
        <v>12.69</v>
      </c>
      <c r="G891">
        <f>raw_data!J891</f>
        <v>7</v>
      </c>
      <c r="H891" t="str">
        <f t="shared" si="13"/>
        <v>Vacancy Intensity</v>
      </c>
    </row>
    <row r="892" spans="1:8" x14ac:dyDescent="0.2">
      <c r="A892" t="str">
        <f>raw_data!A892</f>
        <v>2022Q1</v>
      </c>
      <c r="B892" t="str">
        <f>raw_data!B892</f>
        <v>Queensland</v>
      </c>
      <c r="C892" t="str">
        <f>raw_data!C892</f>
        <v>Education and Training</v>
      </c>
      <c r="D892">
        <f>raw_data!G892</f>
        <v>17.5</v>
      </c>
      <c r="E892">
        <f>raw_data!H892</f>
        <v>4.66</v>
      </c>
      <c r="F892">
        <f>raw_data!I892</f>
        <v>10.96</v>
      </c>
      <c r="G892">
        <f>raw_data!J892</f>
        <v>1.88</v>
      </c>
      <c r="H892" t="str">
        <f t="shared" si="13"/>
        <v>Wage Pressure</v>
      </c>
    </row>
    <row r="893" spans="1:8" x14ac:dyDescent="0.2">
      <c r="A893" t="str">
        <f>raw_data!A893</f>
        <v>2022Q1</v>
      </c>
      <c r="B893" t="str">
        <f>raw_data!B893</f>
        <v>Queensland</v>
      </c>
      <c r="C893" t="str">
        <f>raw_data!C893</f>
        <v>Health Care and Social Assistance</v>
      </c>
      <c r="D893">
        <f>raw_data!G893</f>
        <v>38.97</v>
      </c>
      <c r="E893">
        <f>raw_data!H893</f>
        <v>14.76</v>
      </c>
      <c r="F893">
        <f>raw_data!I893</f>
        <v>10.38</v>
      </c>
      <c r="G893">
        <f>raw_data!J893</f>
        <v>13.82</v>
      </c>
      <c r="H893" t="str">
        <f t="shared" si="13"/>
        <v>Vacancy Intensity</v>
      </c>
    </row>
    <row r="894" spans="1:8" x14ac:dyDescent="0.2">
      <c r="A894" t="str">
        <f>raw_data!A894</f>
        <v>2022Q1</v>
      </c>
      <c r="B894" t="str">
        <f>raw_data!B894</f>
        <v>Queensland</v>
      </c>
      <c r="C894" t="str">
        <f>raw_data!C894</f>
        <v>Manufacturing</v>
      </c>
      <c r="D894">
        <f>raw_data!G894</f>
        <v>39.03</v>
      </c>
      <c r="E894">
        <f>raw_data!H894</f>
        <v>17.77</v>
      </c>
      <c r="F894">
        <f>raw_data!I894</f>
        <v>13.85</v>
      </c>
      <c r="G894">
        <f>raw_data!J894</f>
        <v>7.41</v>
      </c>
      <c r="H894" t="str">
        <f t="shared" si="13"/>
        <v>Vacancy Intensity</v>
      </c>
    </row>
    <row r="895" spans="1:8" x14ac:dyDescent="0.2">
      <c r="A895" t="str">
        <f>raw_data!A895</f>
        <v>2022Q1</v>
      </c>
      <c r="B895" t="str">
        <f>raw_data!B895</f>
        <v>Queensland</v>
      </c>
      <c r="C895" t="str">
        <f>raw_data!C895</f>
        <v>Professional, Scientific and Technical Services</v>
      </c>
      <c r="D895">
        <f>raw_data!G895</f>
        <v>54.55</v>
      </c>
      <c r="E895">
        <f>raw_data!H895</f>
        <v>21.07</v>
      </c>
      <c r="F895">
        <f>raw_data!I895</f>
        <v>13.85</v>
      </c>
      <c r="G895">
        <f>raw_data!J895</f>
        <v>19.63</v>
      </c>
      <c r="H895" t="str">
        <f t="shared" si="13"/>
        <v>Vacancy Intensity</v>
      </c>
    </row>
    <row r="896" spans="1:8" x14ac:dyDescent="0.2">
      <c r="A896" t="str">
        <f>raw_data!A896</f>
        <v>2022Q1</v>
      </c>
      <c r="B896" t="str">
        <f>raw_data!B896</f>
        <v>Victoria</v>
      </c>
      <c r="C896" t="str">
        <f>raw_data!C896</f>
        <v>Accommodation and Food Services</v>
      </c>
      <c r="D896">
        <f>raw_data!G896</f>
        <v>48.45</v>
      </c>
      <c r="E896">
        <f>raw_data!H896</f>
        <v>29.44</v>
      </c>
      <c r="F896">
        <f>raw_data!I896</f>
        <v>13.27</v>
      </c>
      <c r="G896">
        <f>raw_data!J896</f>
        <v>5.74</v>
      </c>
      <c r="H896" t="str">
        <f t="shared" si="13"/>
        <v>Vacancy Intensity</v>
      </c>
    </row>
    <row r="897" spans="1:8" x14ac:dyDescent="0.2">
      <c r="A897" t="str">
        <f>raw_data!A897</f>
        <v>2022Q1</v>
      </c>
      <c r="B897" t="str">
        <f>raw_data!B897</f>
        <v>Victoria</v>
      </c>
      <c r="C897" t="str">
        <f>raw_data!C897</f>
        <v>Construction</v>
      </c>
      <c r="D897">
        <f>raw_data!G897</f>
        <v>34.409999999999997</v>
      </c>
      <c r="E897">
        <f>raw_data!H897</f>
        <v>12.39</v>
      </c>
      <c r="F897">
        <f>raw_data!I897</f>
        <v>12.69</v>
      </c>
      <c r="G897">
        <f>raw_data!J897</f>
        <v>9.32</v>
      </c>
      <c r="H897" t="str">
        <f t="shared" si="13"/>
        <v>Wage Pressure</v>
      </c>
    </row>
    <row r="898" spans="1:8" x14ac:dyDescent="0.2">
      <c r="A898" t="str">
        <f>raw_data!A898</f>
        <v>2022Q1</v>
      </c>
      <c r="B898" t="str">
        <f>raw_data!B898</f>
        <v>Victoria</v>
      </c>
      <c r="C898" t="str">
        <f>raw_data!C898</f>
        <v>Education and Training</v>
      </c>
      <c r="D898">
        <f>raw_data!G898</f>
        <v>16.55</v>
      </c>
      <c r="E898">
        <f>raw_data!H898</f>
        <v>3.47</v>
      </c>
      <c r="F898">
        <f>raw_data!I898</f>
        <v>10.96</v>
      </c>
      <c r="G898">
        <f>raw_data!J898</f>
        <v>2.12</v>
      </c>
      <c r="H898" t="str">
        <f t="shared" si="13"/>
        <v>Wage Pressure</v>
      </c>
    </row>
    <row r="899" spans="1:8" x14ac:dyDescent="0.2">
      <c r="A899" t="str">
        <f>raw_data!A899</f>
        <v>2022Q1</v>
      </c>
      <c r="B899" t="str">
        <f>raw_data!B899</f>
        <v>Victoria</v>
      </c>
      <c r="C899" t="str">
        <f>raw_data!C899</f>
        <v>Health Care and Social Assistance</v>
      </c>
      <c r="D899">
        <f>raw_data!G899</f>
        <v>32.33</v>
      </c>
      <c r="E899">
        <f>raw_data!H899</f>
        <v>12.46</v>
      </c>
      <c r="F899">
        <f>raw_data!I899</f>
        <v>10.38</v>
      </c>
      <c r="G899">
        <f>raw_data!J899</f>
        <v>9.49</v>
      </c>
      <c r="H899" t="str">
        <f t="shared" ref="H899:H962" si="14">IF(AND(E899&gt;=F899,E899&gt;=G899),"Vacancy Intensity",IF(F899&gt;=G899,"Wage Pressure","Labour Tightness"))</f>
        <v>Vacancy Intensity</v>
      </c>
    </row>
    <row r="900" spans="1:8" x14ac:dyDescent="0.2">
      <c r="A900" t="str">
        <f>raw_data!A900</f>
        <v>2022Q1</v>
      </c>
      <c r="B900" t="str">
        <f>raw_data!B900</f>
        <v>Victoria</v>
      </c>
      <c r="C900" t="str">
        <f>raw_data!C900</f>
        <v>Manufacturing</v>
      </c>
      <c r="D900">
        <f>raw_data!G900</f>
        <v>33.22</v>
      </c>
      <c r="E900">
        <f>raw_data!H900</f>
        <v>12.69</v>
      </c>
      <c r="F900">
        <f>raw_data!I900</f>
        <v>13.85</v>
      </c>
      <c r="G900">
        <f>raw_data!J900</f>
        <v>6.69</v>
      </c>
      <c r="H900" t="str">
        <f t="shared" si="14"/>
        <v>Wage Pressure</v>
      </c>
    </row>
    <row r="901" spans="1:8" x14ac:dyDescent="0.2">
      <c r="A901" t="str">
        <f>raw_data!A901</f>
        <v>2022Q1</v>
      </c>
      <c r="B901" t="str">
        <f>raw_data!B901</f>
        <v>Victoria</v>
      </c>
      <c r="C901" t="str">
        <f>raw_data!C901</f>
        <v>Professional, Scientific and Technical Services</v>
      </c>
      <c r="D901">
        <f>raw_data!G901</f>
        <v>32.61</v>
      </c>
      <c r="E901">
        <f>raw_data!H901</f>
        <v>11.99</v>
      </c>
      <c r="F901">
        <f>raw_data!I901</f>
        <v>13.85</v>
      </c>
      <c r="G901">
        <f>raw_data!J901</f>
        <v>6.78</v>
      </c>
      <c r="H901" t="str">
        <f t="shared" si="14"/>
        <v>Wage Pressure</v>
      </c>
    </row>
    <row r="902" spans="1:8" x14ac:dyDescent="0.2">
      <c r="A902" t="str">
        <f>raw_data!A902</f>
        <v>2022Q2</v>
      </c>
      <c r="B902" t="str">
        <f>raw_data!B902</f>
        <v>New South Wales</v>
      </c>
      <c r="C902" t="str">
        <f>raw_data!C902</f>
        <v>Accommodation and Food Services</v>
      </c>
      <c r="D902">
        <f>raw_data!G902</f>
        <v>42.98</v>
      </c>
      <c r="E902">
        <f>raw_data!H902</f>
        <v>26.24</v>
      </c>
      <c r="F902">
        <f>raw_data!I902</f>
        <v>12.12</v>
      </c>
      <c r="G902">
        <f>raw_data!J902</f>
        <v>4.62</v>
      </c>
      <c r="H902" t="str">
        <f t="shared" si="14"/>
        <v>Vacancy Intensity</v>
      </c>
    </row>
    <row r="903" spans="1:8" x14ac:dyDescent="0.2">
      <c r="A903" t="str">
        <f>raw_data!A903</f>
        <v>2022Q2</v>
      </c>
      <c r="B903" t="str">
        <f>raw_data!B903</f>
        <v>New South Wales</v>
      </c>
      <c r="C903" t="str">
        <f>raw_data!C903</f>
        <v>Construction</v>
      </c>
      <c r="D903">
        <f>raw_data!G903</f>
        <v>36.22</v>
      </c>
      <c r="E903">
        <f>raw_data!H903</f>
        <v>11.61</v>
      </c>
      <c r="F903">
        <f>raw_data!I903</f>
        <v>17.88</v>
      </c>
      <c r="G903">
        <f>raw_data!J903</f>
        <v>6.72</v>
      </c>
      <c r="H903" t="str">
        <f t="shared" si="14"/>
        <v>Wage Pressure</v>
      </c>
    </row>
    <row r="904" spans="1:8" x14ac:dyDescent="0.2">
      <c r="A904" t="str">
        <f>raw_data!A904</f>
        <v>2022Q2</v>
      </c>
      <c r="B904" t="str">
        <f>raw_data!B904</f>
        <v>New South Wales</v>
      </c>
      <c r="C904" t="str">
        <f>raw_data!C904</f>
        <v>Education and Training</v>
      </c>
      <c r="D904">
        <f>raw_data!G904</f>
        <v>17.27</v>
      </c>
      <c r="E904">
        <f>raw_data!H904</f>
        <v>3.43</v>
      </c>
      <c r="F904">
        <f>raw_data!I904</f>
        <v>11.54</v>
      </c>
      <c r="G904">
        <f>raw_data!J904</f>
        <v>2.2999999999999998</v>
      </c>
      <c r="H904" t="str">
        <f t="shared" si="14"/>
        <v>Wage Pressure</v>
      </c>
    </row>
    <row r="905" spans="1:8" x14ac:dyDescent="0.2">
      <c r="A905" t="str">
        <f>raw_data!A905</f>
        <v>2022Q2</v>
      </c>
      <c r="B905" t="str">
        <f>raw_data!B905</f>
        <v>New South Wales</v>
      </c>
      <c r="C905" t="str">
        <f>raw_data!C905</f>
        <v>Health Care and Social Assistance</v>
      </c>
      <c r="D905">
        <f>raw_data!G905</f>
        <v>32.46</v>
      </c>
      <c r="E905">
        <f>raw_data!H905</f>
        <v>12.37</v>
      </c>
      <c r="F905">
        <f>raw_data!I905</f>
        <v>11.54</v>
      </c>
      <c r="G905">
        <f>raw_data!J905</f>
        <v>8.5500000000000007</v>
      </c>
      <c r="H905" t="str">
        <f t="shared" si="14"/>
        <v>Vacancy Intensity</v>
      </c>
    </row>
    <row r="906" spans="1:8" x14ac:dyDescent="0.2">
      <c r="A906" t="str">
        <f>raw_data!A906</f>
        <v>2022Q2</v>
      </c>
      <c r="B906" t="str">
        <f>raw_data!B906</f>
        <v>New South Wales</v>
      </c>
      <c r="C906" t="str">
        <f>raw_data!C906</f>
        <v>Manufacturing</v>
      </c>
      <c r="D906">
        <f>raw_data!G906</f>
        <v>34.520000000000003</v>
      </c>
      <c r="E906">
        <f>raw_data!H906</f>
        <v>12.91</v>
      </c>
      <c r="F906">
        <f>raw_data!I906</f>
        <v>16.149999999999999</v>
      </c>
      <c r="G906">
        <f>raw_data!J906</f>
        <v>5.46</v>
      </c>
      <c r="H906" t="str">
        <f t="shared" si="14"/>
        <v>Wage Pressure</v>
      </c>
    </row>
    <row r="907" spans="1:8" x14ac:dyDescent="0.2">
      <c r="A907" t="str">
        <f>raw_data!A907</f>
        <v>2022Q2</v>
      </c>
      <c r="B907" t="str">
        <f>raw_data!B907</f>
        <v>New South Wales</v>
      </c>
      <c r="C907" t="str">
        <f>raw_data!C907</f>
        <v>Professional, Scientific and Technical Services</v>
      </c>
      <c r="D907">
        <f>raw_data!G907</f>
        <v>33.39</v>
      </c>
      <c r="E907">
        <f>raw_data!H907</f>
        <v>10.31</v>
      </c>
      <c r="F907">
        <f>raw_data!I907</f>
        <v>15</v>
      </c>
      <c r="G907">
        <f>raw_data!J907</f>
        <v>8.07</v>
      </c>
      <c r="H907" t="str">
        <f t="shared" si="14"/>
        <v>Wage Pressure</v>
      </c>
    </row>
    <row r="908" spans="1:8" x14ac:dyDescent="0.2">
      <c r="A908" t="str">
        <f>raw_data!A908</f>
        <v>2022Q2</v>
      </c>
      <c r="B908" t="str">
        <f>raw_data!B908</f>
        <v>Queensland</v>
      </c>
      <c r="C908" t="str">
        <f>raw_data!C908</f>
        <v>Accommodation and Food Services</v>
      </c>
      <c r="D908">
        <f>raw_data!G908</f>
        <v>50.07</v>
      </c>
      <c r="E908">
        <f>raw_data!H908</f>
        <v>32.630000000000003</v>
      </c>
      <c r="F908">
        <f>raw_data!I908</f>
        <v>12.12</v>
      </c>
      <c r="G908">
        <f>raw_data!J908</f>
        <v>5.33</v>
      </c>
      <c r="H908" t="str">
        <f t="shared" si="14"/>
        <v>Vacancy Intensity</v>
      </c>
    </row>
    <row r="909" spans="1:8" x14ac:dyDescent="0.2">
      <c r="A909" t="str">
        <f>raw_data!A909</f>
        <v>2022Q2</v>
      </c>
      <c r="B909" t="str">
        <f>raw_data!B909</f>
        <v>Queensland</v>
      </c>
      <c r="C909" t="str">
        <f>raw_data!C909</f>
        <v>Construction</v>
      </c>
      <c r="D909">
        <f>raw_data!G909</f>
        <v>45.64</v>
      </c>
      <c r="E909">
        <f>raw_data!H909</f>
        <v>18.579999999999998</v>
      </c>
      <c r="F909">
        <f>raw_data!I909</f>
        <v>17.88</v>
      </c>
      <c r="G909">
        <f>raw_data!J909</f>
        <v>9.17</v>
      </c>
      <c r="H909" t="str">
        <f t="shared" si="14"/>
        <v>Vacancy Intensity</v>
      </c>
    </row>
    <row r="910" spans="1:8" x14ac:dyDescent="0.2">
      <c r="A910" t="str">
        <f>raw_data!A910</f>
        <v>2022Q2</v>
      </c>
      <c r="B910" t="str">
        <f>raw_data!B910</f>
        <v>Queensland</v>
      </c>
      <c r="C910" t="str">
        <f>raw_data!C910</f>
        <v>Education and Training</v>
      </c>
      <c r="D910">
        <f>raw_data!G910</f>
        <v>21.66</v>
      </c>
      <c r="E910">
        <f>raw_data!H910</f>
        <v>4.99</v>
      </c>
      <c r="F910">
        <f>raw_data!I910</f>
        <v>11.54</v>
      </c>
      <c r="G910">
        <f>raw_data!J910</f>
        <v>5.13</v>
      </c>
      <c r="H910" t="str">
        <f t="shared" si="14"/>
        <v>Wage Pressure</v>
      </c>
    </row>
    <row r="911" spans="1:8" x14ac:dyDescent="0.2">
      <c r="A911" t="str">
        <f>raw_data!A911</f>
        <v>2022Q2</v>
      </c>
      <c r="B911" t="str">
        <f>raw_data!B911</f>
        <v>Queensland</v>
      </c>
      <c r="C911" t="str">
        <f>raw_data!C911</f>
        <v>Health Care and Social Assistance</v>
      </c>
      <c r="D911">
        <f>raw_data!G911</f>
        <v>45.59</v>
      </c>
      <c r="E911">
        <f>raw_data!H911</f>
        <v>15.77</v>
      </c>
      <c r="F911">
        <f>raw_data!I911</f>
        <v>11.54</v>
      </c>
      <c r="G911">
        <f>raw_data!J911</f>
        <v>18.28</v>
      </c>
      <c r="H911" t="str">
        <f t="shared" si="14"/>
        <v>Labour Tightness</v>
      </c>
    </row>
    <row r="912" spans="1:8" x14ac:dyDescent="0.2">
      <c r="A912" t="str">
        <f>raw_data!A912</f>
        <v>2022Q2</v>
      </c>
      <c r="B912" t="str">
        <f>raw_data!B912</f>
        <v>Queensland</v>
      </c>
      <c r="C912" t="str">
        <f>raw_data!C912</f>
        <v>Manufacturing</v>
      </c>
      <c r="D912">
        <f>raw_data!G912</f>
        <v>41.27</v>
      </c>
      <c r="E912">
        <f>raw_data!H912</f>
        <v>18.61</v>
      </c>
      <c r="F912">
        <f>raw_data!I912</f>
        <v>16.149999999999999</v>
      </c>
      <c r="G912">
        <f>raw_data!J912</f>
        <v>6.51</v>
      </c>
      <c r="H912" t="str">
        <f t="shared" si="14"/>
        <v>Vacancy Intensity</v>
      </c>
    </row>
    <row r="913" spans="1:8" x14ac:dyDescent="0.2">
      <c r="A913" t="str">
        <f>raw_data!A913</f>
        <v>2022Q2</v>
      </c>
      <c r="B913" t="str">
        <f>raw_data!B913</f>
        <v>Queensland</v>
      </c>
      <c r="C913" t="str">
        <f>raw_data!C913</f>
        <v>Professional, Scientific and Technical Services</v>
      </c>
      <c r="D913">
        <f>raw_data!G913</f>
        <v>57.75</v>
      </c>
      <c r="E913">
        <f>raw_data!H913</f>
        <v>21.77</v>
      </c>
      <c r="F913">
        <f>raw_data!I913</f>
        <v>15</v>
      </c>
      <c r="G913">
        <f>raw_data!J913</f>
        <v>20.98</v>
      </c>
      <c r="H913" t="str">
        <f t="shared" si="14"/>
        <v>Vacancy Intensity</v>
      </c>
    </row>
    <row r="914" spans="1:8" x14ac:dyDescent="0.2">
      <c r="A914" t="str">
        <f>raw_data!A914</f>
        <v>2022Q2</v>
      </c>
      <c r="B914" t="str">
        <f>raw_data!B914</f>
        <v>Victoria</v>
      </c>
      <c r="C914" t="str">
        <f>raw_data!C914</f>
        <v>Accommodation and Food Services</v>
      </c>
      <c r="D914">
        <f>raw_data!G914</f>
        <v>50.89</v>
      </c>
      <c r="E914">
        <f>raw_data!H914</f>
        <v>30.92</v>
      </c>
      <c r="F914">
        <f>raw_data!I914</f>
        <v>12.12</v>
      </c>
      <c r="G914">
        <f>raw_data!J914</f>
        <v>7.85</v>
      </c>
      <c r="H914" t="str">
        <f t="shared" si="14"/>
        <v>Vacancy Intensity</v>
      </c>
    </row>
    <row r="915" spans="1:8" x14ac:dyDescent="0.2">
      <c r="A915" t="str">
        <f>raw_data!A915</f>
        <v>2022Q2</v>
      </c>
      <c r="B915" t="str">
        <f>raw_data!B915</f>
        <v>Victoria</v>
      </c>
      <c r="C915" t="str">
        <f>raw_data!C915</f>
        <v>Construction</v>
      </c>
      <c r="D915">
        <f>raw_data!G915</f>
        <v>41.78</v>
      </c>
      <c r="E915">
        <f>raw_data!H915</f>
        <v>13.13</v>
      </c>
      <c r="F915">
        <f>raw_data!I915</f>
        <v>17.88</v>
      </c>
      <c r="G915">
        <f>raw_data!J915</f>
        <v>10.77</v>
      </c>
      <c r="H915" t="str">
        <f t="shared" si="14"/>
        <v>Wage Pressure</v>
      </c>
    </row>
    <row r="916" spans="1:8" x14ac:dyDescent="0.2">
      <c r="A916" t="str">
        <f>raw_data!A916</f>
        <v>2022Q2</v>
      </c>
      <c r="B916" t="str">
        <f>raw_data!B916</f>
        <v>Victoria</v>
      </c>
      <c r="C916" t="str">
        <f>raw_data!C916</f>
        <v>Education and Training</v>
      </c>
      <c r="D916">
        <f>raw_data!G916</f>
        <v>23.2</v>
      </c>
      <c r="E916">
        <f>raw_data!H916</f>
        <v>3.99</v>
      </c>
      <c r="F916">
        <f>raw_data!I916</f>
        <v>11.54</v>
      </c>
      <c r="G916">
        <f>raw_data!J916</f>
        <v>7.67</v>
      </c>
      <c r="H916" t="str">
        <f t="shared" si="14"/>
        <v>Wage Pressure</v>
      </c>
    </row>
    <row r="917" spans="1:8" x14ac:dyDescent="0.2">
      <c r="A917" t="str">
        <f>raw_data!A917</f>
        <v>2022Q2</v>
      </c>
      <c r="B917" t="str">
        <f>raw_data!B917</f>
        <v>Victoria</v>
      </c>
      <c r="C917" t="str">
        <f>raw_data!C917</f>
        <v>Health Care and Social Assistance</v>
      </c>
      <c r="D917">
        <f>raw_data!G917</f>
        <v>34.11</v>
      </c>
      <c r="E917">
        <f>raw_data!H917</f>
        <v>14.6</v>
      </c>
      <c r="F917">
        <f>raw_data!I917</f>
        <v>11.54</v>
      </c>
      <c r="G917">
        <f>raw_data!J917</f>
        <v>7.97</v>
      </c>
      <c r="H917" t="str">
        <f t="shared" si="14"/>
        <v>Vacancy Intensity</v>
      </c>
    </row>
    <row r="918" spans="1:8" x14ac:dyDescent="0.2">
      <c r="A918" t="str">
        <f>raw_data!A918</f>
        <v>2022Q2</v>
      </c>
      <c r="B918" t="str">
        <f>raw_data!B918</f>
        <v>Victoria</v>
      </c>
      <c r="C918" t="str">
        <f>raw_data!C918</f>
        <v>Manufacturing</v>
      </c>
      <c r="D918">
        <f>raw_data!G918</f>
        <v>34.76</v>
      </c>
      <c r="E918">
        <f>raw_data!H918</f>
        <v>12.72</v>
      </c>
      <c r="F918">
        <f>raw_data!I918</f>
        <v>16.149999999999999</v>
      </c>
      <c r="G918">
        <f>raw_data!J918</f>
        <v>5.89</v>
      </c>
      <c r="H918" t="str">
        <f t="shared" si="14"/>
        <v>Wage Pressure</v>
      </c>
    </row>
    <row r="919" spans="1:8" x14ac:dyDescent="0.2">
      <c r="A919" t="str">
        <f>raw_data!A919</f>
        <v>2022Q2</v>
      </c>
      <c r="B919" t="str">
        <f>raw_data!B919</f>
        <v>Victoria</v>
      </c>
      <c r="C919" t="str">
        <f>raw_data!C919</f>
        <v>Professional, Scientific and Technical Services</v>
      </c>
      <c r="D919">
        <f>raw_data!G919</f>
        <v>44.61</v>
      </c>
      <c r="E919">
        <f>raw_data!H919</f>
        <v>12.72</v>
      </c>
      <c r="F919">
        <f>raw_data!I919</f>
        <v>15</v>
      </c>
      <c r="G919">
        <f>raw_data!J919</f>
        <v>16.88</v>
      </c>
      <c r="H919" t="str">
        <f t="shared" si="14"/>
        <v>Labour Tightness</v>
      </c>
    </row>
    <row r="920" spans="1:8" x14ac:dyDescent="0.2">
      <c r="A920" t="str">
        <f>raw_data!A920</f>
        <v>2022Q3</v>
      </c>
      <c r="B920" t="str">
        <f>raw_data!B920</f>
        <v>New South Wales</v>
      </c>
      <c r="C920" t="str">
        <f>raw_data!C920</f>
        <v>Accommodation and Food Services</v>
      </c>
      <c r="D920">
        <f>raw_data!G920</f>
        <v>47.86</v>
      </c>
      <c r="E920">
        <f>raw_data!H920</f>
        <v>29.56</v>
      </c>
      <c r="F920">
        <f>raw_data!I920</f>
        <v>13.85</v>
      </c>
      <c r="G920">
        <f>raw_data!J920</f>
        <v>4.45</v>
      </c>
      <c r="H920" t="str">
        <f t="shared" si="14"/>
        <v>Vacancy Intensity</v>
      </c>
    </row>
    <row r="921" spans="1:8" x14ac:dyDescent="0.2">
      <c r="A921" t="str">
        <f>raw_data!A921</f>
        <v>2022Q3</v>
      </c>
      <c r="B921" t="str">
        <f>raw_data!B921</f>
        <v>New South Wales</v>
      </c>
      <c r="C921" t="str">
        <f>raw_data!C921</f>
        <v>Construction</v>
      </c>
      <c r="D921">
        <f>raw_data!G921</f>
        <v>32.159999999999997</v>
      </c>
      <c r="E921">
        <f>raw_data!H921</f>
        <v>9.08</v>
      </c>
      <c r="F921">
        <f>raw_data!I921</f>
        <v>17.88</v>
      </c>
      <c r="G921">
        <f>raw_data!J921</f>
        <v>5.19</v>
      </c>
      <c r="H921" t="str">
        <f t="shared" si="14"/>
        <v>Wage Pressure</v>
      </c>
    </row>
    <row r="922" spans="1:8" x14ac:dyDescent="0.2">
      <c r="A922" t="str">
        <f>raw_data!A922</f>
        <v>2022Q3</v>
      </c>
      <c r="B922" t="str">
        <f>raw_data!B922</f>
        <v>New South Wales</v>
      </c>
      <c r="C922" t="str">
        <f>raw_data!C922</f>
        <v>Education and Training</v>
      </c>
      <c r="D922">
        <f>raw_data!G922</f>
        <v>19.45</v>
      </c>
      <c r="E922">
        <f>raw_data!H922</f>
        <v>2.87</v>
      </c>
      <c r="F922">
        <f>raw_data!I922</f>
        <v>10.96</v>
      </c>
      <c r="G922">
        <f>raw_data!J922</f>
        <v>5.63</v>
      </c>
      <c r="H922" t="str">
        <f t="shared" si="14"/>
        <v>Wage Pressure</v>
      </c>
    </row>
    <row r="923" spans="1:8" x14ac:dyDescent="0.2">
      <c r="A923" t="str">
        <f>raw_data!A923</f>
        <v>2022Q3</v>
      </c>
      <c r="B923" t="str">
        <f>raw_data!B923</f>
        <v>New South Wales</v>
      </c>
      <c r="C923" t="str">
        <f>raw_data!C923</f>
        <v>Health Care and Social Assistance</v>
      </c>
      <c r="D923">
        <f>raw_data!G923</f>
        <v>37.89</v>
      </c>
      <c r="E923">
        <f>raw_data!H923</f>
        <v>12.9</v>
      </c>
      <c r="F923">
        <f>raw_data!I923</f>
        <v>15</v>
      </c>
      <c r="G923">
        <f>raw_data!J923</f>
        <v>9.99</v>
      </c>
      <c r="H923" t="str">
        <f t="shared" si="14"/>
        <v>Wage Pressure</v>
      </c>
    </row>
    <row r="924" spans="1:8" x14ac:dyDescent="0.2">
      <c r="A924" t="str">
        <f>raw_data!A924</f>
        <v>2022Q3</v>
      </c>
      <c r="B924" t="str">
        <f>raw_data!B924</f>
        <v>New South Wales</v>
      </c>
      <c r="C924" t="str">
        <f>raw_data!C924</f>
        <v>Manufacturing</v>
      </c>
      <c r="D924">
        <f>raw_data!G924</f>
        <v>42.83</v>
      </c>
      <c r="E924">
        <f>raw_data!H924</f>
        <v>12.9</v>
      </c>
      <c r="F924">
        <f>raw_data!I924</f>
        <v>19.04</v>
      </c>
      <c r="G924">
        <f>raw_data!J924</f>
        <v>10.89</v>
      </c>
      <c r="H924" t="str">
        <f t="shared" si="14"/>
        <v>Wage Pressure</v>
      </c>
    </row>
    <row r="925" spans="1:8" x14ac:dyDescent="0.2">
      <c r="A925" t="str">
        <f>raw_data!A925</f>
        <v>2022Q3</v>
      </c>
      <c r="B925" t="str">
        <f>raw_data!B925</f>
        <v>New South Wales</v>
      </c>
      <c r="C925" t="str">
        <f>raw_data!C925</f>
        <v>Professional, Scientific and Technical Services</v>
      </c>
      <c r="D925">
        <f>raw_data!G925</f>
        <v>38.479999999999997</v>
      </c>
      <c r="E925">
        <f>raw_data!H925</f>
        <v>10.63</v>
      </c>
      <c r="F925">
        <f>raw_data!I925</f>
        <v>17.309999999999999</v>
      </c>
      <c r="G925">
        <f>raw_data!J925</f>
        <v>10.54</v>
      </c>
      <c r="H925" t="str">
        <f t="shared" si="14"/>
        <v>Wage Pressure</v>
      </c>
    </row>
    <row r="926" spans="1:8" x14ac:dyDescent="0.2">
      <c r="A926" t="str">
        <f>raw_data!A926</f>
        <v>2022Q3</v>
      </c>
      <c r="B926" t="str">
        <f>raw_data!B926</f>
        <v>Queensland</v>
      </c>
      <c r="C926" t="str">
        <f>raw_data!C926</f>
        <v>Accommodation and Food Services</v>
      </c>
      <c r="D926">
        <f>raw_data!G926</f>
        <v>59.88</v>
      </c>
      <c r="E926">
        <f>raw_data!H926</f>
        <v>37.020000000000003</v>
      </c>
      <c r="F926">
        <f>raw_data!I926</f>
        <v>13.85</v>
      </c>
      <c r="G926">
        <f>raw_data!J926</f>
        <v>9.02</v>
      </c>
      <c r="H926" t="str">
        <f t="shared" si="14"/>
        <v>Vacancy Intensity</v>
      </c>
    </row>
    <row r="927" spans="1:8" x14ac:dyDescent="0.2">
      <c r="A927" t="str">
        <f>raw_data!A927</f>
        <v>2022Q3</v>
      </c>
      <c r="B927" t="str">
        <f>raw_data!B927</f>
        <v>Queensland</v>
      </c>
      <c r="C927" t="str">
        <f>raw_data!C927</f>
        <v>Construction</v>
      </c>
      <c r="D927">
        <f>raw_data!G927</f>
        <v>41.6</v>
      </c>
      <c r="E927">
        <f>raw_data!H927</f>
        <v>14.03</v>
      </c>
      <c r="F927">
        <f>raw_data!I927</f>
        <v>17.88</v>
      </c>
      <c r="G927">
        <f>raw_data!J927</f>
        <v>9.68</v>
      </c>
      <c r="H927" t="str">
        <f t="shared" si="14"/>
        <v>Wage Pressure</v>
      </c>
    </row>
    <row r="928" spans="1:8" x14ac:dyDescent="0.2">
      <c r="A928" t="str">
        <f>raw_data!A928</f>
        <v>2022Q3</v>
      </c>
      <c r="B928" t="str">
        <f>raw_data!B928</f>
        <v>Queensland</v>
      </c>
      <c r="C928" t="str">
        <f>raw_data!C928</f>
        <v>Education and Training</v>
      </c>
      <c r="D928">
        <f>raw_data!G928</f>
        <v>24.14</v>
      </c>
      <c r="E928">
        <f>raw_data!H928</f>
        <v>4.38</v>
      </c>
      <c r="F928">
        <f>raw_data!I928</f>
        <v>10.96</v>
      </c>
      <c r="G928">
        <f>raw_data!J928</f>
        <v>8.8000000000000007</v>
      </c>
      <c r="H928" t="str">
        <f t="shared" si="14"/>
        <v>Wage Pressure</v>
      </c>
    </row>
    <row r="929" spans="1:8" x14ac:dyDescent="0.2">
      <c r="A929" t="str">
        <f>raw_data!A929</f>
        <v>2022Q3</v>
      </c>
      <c r="B929" t="str">
        <f>raw_data!B929</f>
        <v>Queensland</v>
      </c>
      <c r="C929" t="str">
        <f>raw_data!C929</f>
        <v>Health Care and Social Assistance</v>
      </c>
      <c r="D929">
        <f>raw_data!G929</f>
        <v>50.07</v>
      </c>
      <c r="E929">
        <f>raw_data!H929</f>
        <v>17.55</v>
      </c>
      <c r="F929">
        <f>raw_data!I929</f>
        <v>15</v>
      </c>
      <c r="G929">
        <f>raw_data!J929</f>
        <v>17.510000000000002</v>
      </c>
      <c r="H929" t="str">
        <f t="shared" si="14"/>
        <v>Vacancy Intensity</v>
      </c>
    </row>
    <row r="930" spans="1:8" x14ac:dyDescent="0.2">
      <c r="A930" t="str">
        <f>raw_data!A930</f>
        <v>2022Q3</v>
      </c>
      <c r="B930" t="str">
        <f>raw_data!B930</f>
        <v>Queensland</v>
      </c>
      <c r="C930" t="str">
        <f>raw_data!C930</f>
        <v>Manufacturing</v>
      </c>
      <c r="D930">
        <f>raw_data!G930</f>
        <v>48.02</v>
      </c>
      <c r="E930">
        <f>raw_data!H930</f>
        <v>18.52</v>
      </c>
      <c r="F930">
        <f>raw_data!I930</f>
        <v>19.04</v>
      </c>
      <c r="G930">
        <f>raw_data!J930</f>
        <v>10.47</v>
      </c>
      <c r="H930" t="str">
        <f t="shared" si="14"/>
        <v>Wage Pressure</v>
      </c>
    </row>
    <row r="931" spans="1:8" x14ac:dyDescent="0.2">
      <c r="A931" t="str">
        <f>raw_data!A931</f>
        <v>2022Q3</v>
      </c>
      <c r="B931" t="str">
        <f>raw_data!B931</f>
        <v>Victoria</v>
      </c>
      <c r="C931" t="str">
        <f>raw_data!C931</f>
        <v>Accommodation and Food Services</v>
      </c>
      <c r="D931">
        <f>raw_data!G931</f>
        <v>57.01</v>
      </c>
      <c r="E931">
        <f>raw_data!H931</f>
        <v>35.74</v>
      </c>
      <c r="F931">
        <f>raw_data!I931</f>
        <v>13.85</v>
      </c>
      <c r="G931">
        <f>raw_data!J931</f>
        <v>7.43</v>
      </c>
      <c r="H931" t="str">
        <f t="shared" si="14"/>
        <v>Vacancy Intensity</v>
      </c>
    </row>
    <row r="932" spans="1:8" x14ac:dyDescent="0.2">
      <c r="A932" t="str">
        <f>raw_data!A932</f>
        <v>2022Q3</v>
      </c>
      <c r="B932" t="str">
        <f>raw_data!B932</f>
        <v>Victoria</v>
      </c>
      <c r="C932" t="str">
        <f>raw_data!C932</f>
        <v>Construction</v>
      </c>
      <c r="D932">
        <f>raw_data!G932</f>
        <v>38.06</v>
      </c>
      <c r="E932">
        <f>raw_data!H932</f>
        <v>10.54</v>
      </c>
      <c r="F932">
        <f>raw_data!I932</f>
        <v>17.88</v>
      </c>
      <c r="G932">
        <f>raw_data!J932</f>
        <v>9.64</v>
      </c>
      <c r="H932" t="str">
        <f t="shared" si="14"/>
        <v>Wage Pressure</v>
      </c>
    </row>
    <row r="933" spans="1:8" x14ac:dyDescent="0.2">
      <c r="A933" t="str">
        <f>raw_data!A933</f>
        <v>2022Q3</v>
      </c>
      <c r="B933" t="str">
        <f>raw_data!B933</f>
        <v>Victoria</v>
      </c>
      <c r="C933" t="str">
        <f>raw_data!C933</f>
        <v>Education and Training</v>
      </c>
      <c r="D933">
        <f>raw_data!G933</f>
        <v>19.97</v>
      </c>
      <c r="E933">
        <f>raw_data!H933</f>
        <v>3.42</v>
      </c>
      <c r="F933">
        <f>raw_data!I933</f>
        <v>10.96</v>
      </c>
      <c r="G933">
        <f>raw_data!J933</f>
        <v>5.58</v>
      </c>
      <c r="H933" t="str">
        <f t="shared" si="14"/>
        <v>Wage Pressure</v>
      </c>
    </row>
    <row r="934" spans="1:8" x14ac:dyDescent="0.2">
      <c r="A934" t="str">
        <f>raw_data!A934</f>
        <v>2022Q3</v>
      </c>
      <c r="B934" t="str">
        <f>raw_data!B934</f>
        <v>Victoria</v>
      </c>
      <c r="C934" t="str">
        <f>raw_data!C934</f>
        <v>Health Care and Social Assistance</v>
      </c>
      <c r="D934">
        <f>raw_data!G934</f>
        <v>40.19</v>
      </c>
      <c r="E934">
        <f>raw_data!H934</f>
        <v>14.77</v>
      </c>
      <c r="F934">
        <f>raw_data!I934</f>
        <v>15</v>
      </c>
      <c r="G934">
        <f>raw_data!J934</f>
        <v>10.41</v>
      </c>
      <c r="H934" t="str">
        <f t="shared" si="14"/>
        <v>Wage Pressure</v>
      </c>
    </row>
    <row r="935" spans="1:8" x14ac:dyDescent="0.2">
      <c r="A935" t="str">
        <f>raw_data!A935</f>
        <v>2022Q3</v>
      </c>
      <c r="B935" t="str">
        <f>raw_data!B935</f>
        <v>Victoria</v>
      </c>
      <c r="C935" t="str">
        <f>raw_data!C935</f>
        <v>Manufacturing</v>
      </c>
      <c r="D935">
        <f>raw_data!G935</f>
        <v>36.21</v>
      </c>
      <c r="E935">
        <f>raw_data!H935</f>
        <v>11.84</v>
      </c>
      <c r="F935">
        <f>raw_data!I935</f>
        <v>19.04</v>
      </c>
      <c r="G935">
        <f>raw_data!J935</f>
        <v>5.33</v>
      </c>
      <c r="H935" t="str">
        <f t="shared" si="14"/>
        <v>Wage Pressure</v>
      </c>
    </row>
    <row r="936" spans="1:8" x14ac:dyDescent="0.2">
      <c r="A936" t="str">
        <f>raw_data!A936</f>
        <v>2022Q3</v>
      </c>
      <c r="B936" t="str">
        <f>raw_data!B936</f>
        <v>Victoria</v>
      </c>
      <c r="C936" t="str">
        <f>raw_data!C936</f>
        <v>Professional, Scientific and Technical Services</v>
      </c>
      <c r="D936">
        <f>raw_data!G936</f>
        <v>44.47</v>
      </c>
      <c r="E936">
        <f>raw_data!H936</f>
        <v>13.57</v>
      </c>
      <c r="F936">
        <f>raw_data!I936</f>
        <v>17.309999999999999</v>
      </c>
      <c r="G936">
        <f>raw_data!J936</f>
        <v>13.59</v>
      </c>
      <c r="H936" t="str">
        <f t="shared" si="14"/>
        <v>Wage Pressure</v>
      </c>
    </row>
    <row r="937" spans="1:8" x14ac:dyDescent="0.2">
      <c r="A937" t="str">
        <f>raw_data!A937</f>
        <v>2022Q4</v>
      </c>
      <c r="B937" t="str">
        <f>raw_data!B937</f>
        <v>New South Wales</v>
      </c>
      <c r="C937" t="str">
        <f>raw_data!C937</f>
        <v>Accommodation and Food Services</v>
      </c>
      <c r="D937">
        <f>raw_data!G937</f>
        <v>51.55</v>
      </c>
      <c r="E937">
        <f>raw_data!H937</f>
        <v>25.64</v>
      </c>
      <c r="F937">
        <f>raw_data!I937</f>
        <v>18.46</v>
      </c>
      <c r="G937">
        <f>raw_data!J937</f>
        <v>7.45</v>
      </c>
      <c r="H937" t="str">
        <f t="shared" si="14"/>
        <v>Vacancy Intensity</v>
      </c>
    </row>
    <row r="938" spans="1:8" x14ac:dyDescent="0.2">
      <c r="A938" t="str">
        <f>raw_data!A938</f>
        <v>2022Q4</v>
      </c>
      <c r="B938" t="str">
        <f>raw_data!B938</f>
        <v>New South Wales</v>
      </c>
      <c r="C938" t="str">
        <f>raw_data!C938</f>
        <v>Construction</v>
      </c>
      <c r="D938">
        <f>raw_data!G938</f>
        <v>33.72</v>
      </c>
      <c r="E938">
        <f>raw_data!H938</f>
        <v>7.79</v>
      </c>
      <c r="F938">
        <f>raw_data!I938</f>
        <v>20.190000000000001</v>
      </c>
      <c r="G938">
        <f>raw_data!J938</f>
        <v>5.74</v>
      </c>
      <c r="H938" t="str">
        <f t="shared" si="14"/>
        <v>Wage Pressure</v>
      </c>
    </row>
    <row r="939" spans="1:8" x14ac:dyDescent="0.2">
      <c r="A939" t="str">
        <f>raw_data!A939</f>
        <v>2022Q4</v>
      </c>
      <c r="B939" t="str">
        <f>raw_data!B939</f>
        <v>New South Wales</v>
      </c>
      <c r="C939" t="str">
        <f>raw_data!C939</f>
        <v>Education and Training</v>
      </c>
      <c r="D939">
        <f>raw_data!G939</f>
        <v>20.420000000000002</v>
      </c>
      <c r="E939">
        <f>raw_data!H939</f>
        <v>2.7</v>
      </c>
      <c r="F939">
        <f>raw_data!I939</f>
        <v>12.12</v>
      </c>
      <c r="G939">
        <f>raw_data!J939</f>
        <v>5.6</v>
      </c>
      <c r="H939" t="str">
        <f t="shared" si="14"/>
        <v>Wage Pressure</v>
      </c>
    </row>
    <row r="940" spans="1:8" x14ac:dyDescent="0.2">
      <c r="A940" t="str">
        <f>raw_data!A940</f>
        <v>2022Q4</v>
      </c>
      <c r="B940" t="str">
        <f>raw_data!B940</f>
        <v>New South Wales</v>
      </c>
      <c r="C940" t="str">
        <f>raw_data!C940</f>
        <v>Health Care and Social Assistance</v>
      </c>
      <c r="D940">
        <f>raw_data!G940</f>
        <v>39.729999999999997</v>
      </c>
      <c r="E940">
        <f>raw_data!H940</f>
        <v>10.34</v>
      </c>
      <c r="F940">
        <f>raw_data!I940</f>
        <v>15.58</v>
      </c>
      <c r="G940">
        <f>raw_data!J940</f>
        <v>13.81</v>
      </c>
      <c r="H940" t="str">
        <f t="shared" si="14"/>
        <v>Wage Pressure</v>
      </c>
    </row>
    <row r="941" spans="1:8" x14ac:dyDescent="0.2">
      <c r="A941" t="str">
        <f>raw_data!A941</f>
        <v>2022Q4</v>
      </c>
      <c r="B941" t="str">
        <f>raw_data!B941</f>
        <v>New South Wales</v>
      </c>
      <c r="C941" t="str">
        <f>raw_data!C941</f>
        <v>Manufacturing</v>
      </c>
      <c r="D941">
        <f>raw_data!G941</f>
        <v>40.15</v>
      </c>
      <c r="E941">
        <f>raw_data!H941</f>
        <v>10.55</v>
      </c>
      <c r="F941">
        <f>raw_data!I941</f>
        <v>21.35</v>
      </c>
      <c r="G941">
        <f>raw_data!J941</f>
        <v>8.26</v>
      </c>
      <c r="H941" t="str">
        <f t="shared" si="14"/>
        <v>Wage Pressure</v>
      </c>
    </row>
    <row r="942" spans="1:8" x14ac:dyDescent="0.2">
      <c r="A942" t="str">
        <f>raw_data!A942</f>
        <v>2022Q4</v>
      </c>
      <c r="B942" t="str">
        <f>raw_data!B942</f>
        <v>New South Wales</v>
      </c>
      <c r="C942" t="str">
        <f>raw_data!C942</f>
        <v>Professional, Scientific and Technical Services</v>
      </c>
      <c r="D942">
        <f>raw_data!G942</f>
        <v>40.69</v>
      </c>
      <c r="E942">
        <f>raw_data!H942</f>
        <v>9.57</v>
      </c>
      <c r="F942">
        <f>raw_data!I942</f>
        <v>19.04</v>
      </c>
      <c r="G942">
        <f>raw_data!J942</f>
        <v>12.08</v>
      </c>
      <c r="H942" t="str">
        <f t="shared" si="14"/>
        <v>Wage Pressure</v>
      </c>
    </row>
    <row r="943" spans="1:8" x14ac:dyDescent="0.2">
      <c r="A943" t="str">
        <f>raw_data!A943</f>
        <v>2022Q4</v>
      </c>
      <c r="B943" t="str">
        <f>raw_data!B943</f>
        <v>Queensland</v>
      </c>
      <c r="C943" t="str">
        <f>raw_data!C943</f>
        <v>Accommodation and Food Services</v>
      </c>
      <c r="D943">
        <f>raw_data!G943</f>
        <v>61.69</v>
      </c>
      <c r="E943">
        <f>raw_data!H943</f>
        <v>35.130000000000003</v>
      </c>
      <c r="F943">
        <f>raw_data!I943</f>
        <v>18.46</v>
      </c>
      <c r="G943">
        <f>raw_data!J943</f>
        <v>8.09</v>
      </c>
      <c r="H943" t="str">
        <f t="shared" si="14"/>
        <v>Vacancy Intensity</v>
      </c>
    </row>
    <row r="944" spans="1:8" x14ac:dyDescent="0.2">
      <c r="A944" t="str">
        <f>raw_data!A944</f>
        <v>2022Q4</v>
      </c>
      <c r="B944" t="str">
        <f>raw_data!B944</f>
        <v>Queensland</v>
      </c>
      <c r="C944" t="str">
        <f>raw_data!C944</f>
        <v>Construction</v>
      </c>
      <c r="D944">
        <f>raw_data!G944</f>
        <v>47.18</v>
      </c>
      <c r="E944">
        <f>raw_data!H944</f>
        <v>12.37</v>
      </c>
      <c r="F944">
        <f>raw_data!I944</f>
        <v>20.190000000000001</v>
      </c>
      <c r="G944">
        <f>raw_data!J944</f>
        <v>14.63</v>
      </c>
      <c r="H944" t="str">
        <f t="shared" si="14"/>
        <v>Wage Pressure</v>
      </c>
    </row>
    <row r="945" spans="1:8" x14ac:dyDescent="0.2">
      <c r="A945" t="str">
        <f>raw_data!A945</f>
        <v>2022Q4</v>
      </c>
      <c r="B945" t="str">
        <f>raw_data!B945</f>
        <v>Queensland</v>
      </c>
      <c r="C945" t="str">
        <f>raw_data!C945</f>
        <v>Education and Training</v>
      </c>
      <c r="D945">
        <f>raw_data!G945</f>
        <v>20.29</v>
      </c>
      <c r="E945">
        <f>raw_data!H945</f>
        <v>4.43</v>
      </c>
      <c r="F945">
        <f>raw_data!I945</f>
        <v>12.12</v>
      </c>
      <c r="G945">
        <f>raw_data!J945</f>
        <v>3.74</v>
      </c>
      <c r="H945" t="str">
        <f t="shared" si="14"/>
        <v>Wage Pressure</v>
      </c>
    </row>
    <row r="946" spans="1:8" x14ac:dyDescent="0.2">
      <c r="A946" t="str">
        <f>raw_data!A946</f>
        <v>2022Q4</v>
      </c>
      <c r="B946" t="str">
        <f>raw_data!B946</f>
        <v>Queensland</v>
      </c>
      <c r="C946" t="str">
        <f>raw_data!C946</f>
        <v>Health Care and Social Assistance</v>
      </c>
      <c r="D946">
        <f>raw_data!G946</f>
        <v>54.99</v>
      </c>
      <c r="E946">
        <f>raw_data!H946</f>
        <v>15.06</v>
      </c>
      <c r="F946">
        <f>raw_data!I946</f>
        <v>15.58</v>
      </c>
      <c r="G946">
        <f>raw_data!J946</f>
        <v>24.35</v>
      </c>
      <c r="H946" t="str">
        <f t="shared" si="14"/>
        <v>Labour Tightness</v>
      </c>
    </row>
    <row r="947" spans="1:8" x14ac:dyDescent="0.2">
      <c r="A947" t="str">
        <f>raw_data!A947</f>
        <v>2022Q4</v>
      </c>
      <c r="B947" t="str">
        <f>raw_data!B947</f>
        <v>Queensland</v>
      </c>
      <c r="C947" t="str">
        <f>raw_data!C947</f>
        <v>Manufacturing</v>
      </c>
      <c r="D947">
        <f>raw_data!G947</f>
        <v>58.95</v>
      </c>
      <c r="E947">
        <f>raw_data!H947</f>
        <v>16.059999999999999</v>
      </c>
      <c r="F947">
        <f>raw_data!I947</f>
        <v>21.35</v>
      </c>
      <c r="G947">
        <f>raw_data!J947</f>
        <v>21.55</v>
      </c>
      <c r="H947" t="str">
        <f t="shared" si="14"/>
        <v>Labour Tightness</v>
      </c>
    </row>
    <row r="948" spans="1:8" x14ac:dyDescent="0.2">
      <c r="A948" t="str">
        <f>raw_data!A948</f>
        <v>2022Q4</v>
      </c>
      <c r="B948" t="str">
        <f>raw_data!B948</f>
        <v>Queensland</v>
      </c>
      <c r="C948" t="str">
        <f>raw_data!C948</f>
        <v>Professional, Scientific and Technical Services</v>
      </c>
      <c r="D948">
        <f>raw_data!G948</f>
        <v>64.400000000000006</v>
      </c>
      <c r="E948">
        <f>raw_data!H948</f>
        <v>20.47</v>
      </c>
      <c r="F948">
        <f>raw_data!I948</f>
        <v>19.04</v>
      </c>
      <c r="G948">
        <f>raw_data!J948</f>
        <v>24.89</v>
      </c>
      <c r="H948" t="str">
        <f t="shared" si="14"/>
        <v>Labour Tightness</v>
      </c>
    </row>
    <row r="949" spans="1:8" x14ac:dyDescent="0.2">
      <c r="A949" t="str">
        <f>raw_data!A949</f>
        <v>2022Q4</v>
      </c>
      <c r="B949" t="str">
        <f>raw_data!B949</f>
        <v>Victoria</v>
      </c>
      <c r="C949" t="str">
        <f>raw_data!C949</f>
        <v>Accommodation and Food Services</v>
      </c>
      <c r="D949">
        <f>raw_data!G949</f>
        <v>62.09</v>
      </c>
      <c r="E949">
        <f>raw_data!H949</f>
        <v>34.19</v>
      </c>
      <c r="F949">
        <f>raw_data!I949</f>
        <v>18.46</v>
      </c>
      <c r="G949">
        <f>raw_data!J949</f>
        <v>9.44</v>
      </c>
      <c r="H949" t="str">
        <f t="shared" si="14"/>
        <v>Vacancy Intensity</v>
      </c>
    </row>
    <row r="950" spans="1:8" x14ac:dyDescent="0.2">
      <c r="A950" t="str">
        <f>raw_data!A950</f>
        <v>2022Q4</v>
      </c>
      <c r="B950" t="str">
        <f>raw_data!B950</f>
        <v>Victoria</v>
      </c>
      <c r="C950" t="str">
        <f>raw_data!C950</f>
        <v>Construction</v>
      </c>
      <c r="D950">
        <f>raw_data!G950</f>
        <v>38.04</v>
      </c>
      <c r="E950">
        <f>raw_data!H950</f>
        <v>8.7799999999999994</v>
      </c>
      <c r="F950">
        <f>raw_data!I950</f>
        <v>20.190000000000001</v>
      </c>
      <c r="G950">
        <f>raw_data!J950</f>
        <v>9.06</v>
      </c>
      <c r="H950" t="str">
        <f t="shared" si="14"/>
        <v>Wage Pressure</v>
      </c>
    </row>
    <row r="951" spans="1:8" x14ac:dyDescent="0.2">
      <c r="A951" t="str">
        <f>raw_data!A951</f>
        <v>2022Q4</v>
      </c>
      <c r="B951" t="str">
        <f>raw_data!B951</f>
        <v>Victoria</v>
      </c>
      <c r="C951" t="str">
        <f>raw_data!C951</f>
        <v>Education and Training</v>
      </c>
      <c r="D951">
        <f>raw_data!G951</f>
        <v>30.7</v>
      </c>
      <c r="E951">
        <f>raw_data!H951</f>
        <v>3.16</v>
      </c>
      <c r="F951">
        <f>raw_data!I951</f>
        <v>12.12</v>
      </c>
      <c r="G951">
        <f>raw_data!J951</f>
        <v>15.42</v>
      </c>
      <c r="H951" t="str">
        <f t="shared" si="14"/>
        <v>Labour Tightness</v>
      </c>
    </row>
    <row r="952" spans="1:8" x14ac:dyDescent="0.2">
      <c r="A952" t="str">
        <f>raw_data!A952</f>
        <v>2022Q4</v>
      </c>
      <c r="B952" t="str">
        <f>raw_data!B952</f>
        <v>Victoria</v>
      </c>
      <c r="C952" t="str">
        <f>raw_data!C952</f>
        <v>Health Care and Social Assistance</v>
      </c>
      <c r="D952">
        <f>raw_data!G952</f>
        <v>42.01</v>
      </c>
      <c r="E952">
        <f>raw_data!H952</f>
        <v>12.31</v>
      </c>
      <c r="F952">
        <f>raw_data!I952</f>
        <v>15.58</v>
      </c>
      <c r="G952">
        <f>raw_data!J952</f>
        <v>14.13</v>
      </c>
      <c r="H952" t="str">
        <f t="shared" si="14"/>
        <v>Wage Pressure</v>
      </c>
    </row>
    <row r="953" spans="1:8" x14ac:dyDescent="0.2">
      <c r="A953" t="str">
        <f>raw_data!A953</f>
        <v>2022Q4</v>
      </c>
      <c r="B953" t="str">
        <f>raw_data!B953</f>
        <v>Victoria</v>
      </c>
      <c r="C953" t="str">
        <f>raw_data!C953</f>
        <v>Manufacturing</v>
      </c>
      <c r="D953">
        <f>raw_data!G953</f>
        <v>38.9</v>
      </c>
      <c r="E953">
        <f>raw_data!H953</f>
        <v>10.57</v>
      </c>
      <c r="F953">
        <f>raw_data!I953</f>
        <v>21.35</v>
      </c>
      <c r="G953">
        <f>raw_data!J953</f>
        <v>6.98</v>
      </c>
      <c r="H953" t="str">
        <f t="shared" si="14"/>
        <v>Wage Pressure</v>
      </c>
    </row>
    <row r="954" spans="1:8" x14ac:dyDescent="0.2">
      <c r="A954" t="str">
        <f>raw_data!A954</f>
        <v>2022Q4</v>
      </c>
      <c r="B954" t="str">
        <f>raw_data!B954</f>
        <v>Victoria</v>
      </c>
      <c r="C954" t="str">
        <f>raw_data!C954</f>
        <v>Professional, Scientific and Technical Services</v>
      </c>
      <c r="D954">
        <f>raw_data!G954</f>
        <v>42.45</v>
      </c>
      <c r="E954">
        <f>raw_data!H954</f>
        <v>12.68</v>
      </c>
      <c r="F954">
        <f>raw_data!I954</f>
        <v>19.04</v>
      </c>
      <c r="G954">
        <f>raw_data!J954</f>
        <v>10.74</v>
      </c>
      <c r="H954" t="str">
        <f t="shared" si="14"/>
        <v>Wage Pressure</v>
      </c>
    </row>
    <row r="955" spans="1:8" x14ac:dyDescent="0.2">
      <c r="A955" t="str">
        <f>raw_data!A955</f>
        <v>2023Q1</v>
      </c>
      <c r="B955" t="str">
        <f>raw_data!B955</f>
        <v>New South Wales</v>
      </c>
      <c r="C955" t="str">
        <f>raw_data!C955</f>
        <v>Accommodation and Food Services</v>
      </c>
      <c r="D955">
        <f>raw_data!G955</f>
        <v>51.28</v>
      </c>
      <c r="E955">
        <f>raw_data!H955</f>
        <v>25.91</v>
      </c>
      <c r="F955">
        <f>raw_data!I955</f>
        <v>17.309999999999999</v>
      </c>
      <c r="G955">
        <f>raw_data!J955</f>
        <v>8.07</v>
      </c>
      <c r="H955" t="str">
        <f t="shared" si="14"/>
        <v>Vacancy Intensity</v>
      </c>
    </row>
    <row r="956" spans="1:8" x14ac:dyDescent="0.2">
      <c r="A956" t="str">
        <f>raw_data!A956</f>
        <v>2023Q1</v>
      </c>
      <c r="B956" t="str">
        <f>raw_data!B956</f>
        <v>New South Wales</v>
      </c>
      <c r="C956" t="str">
        <f>raw_data!C956</f>
        <v>Construction</v>
      </c>
      <c r="D956">
        <f>raw_data!G956</f>
        <v>33.159999999999997</v>
      </c>
      <c r="E956">
        <f>raw_data!H956</f>
        <v>8.06</v>
      </c>
      <c r="F956">
        <f>raw_data!I956</f>
        <v>20.77</v>
      </c>
      <c r="G956">
        <f>raw_data!J956</f>
        <v>4.33</v>
      </c>
      <c r="H956" t="str">
        <f t="shared" si="14"/>
        <v>Wage Pressure</v>
      </c>
    </row>
    <row r="957" spans="1:8" x14ac:dyDescent="0.2">
      <c r="A957" t="str">
        <f>raw_data!A957</f>
        <v>2023Q1</v>
      </c>
      <c r="B957" t="str">
        <f>raw_data!B957</f>
        <v>New South Wales</v>
      </c>
      <c r="C957" t="str">
        <f>raw_data!C957</f>
        <v>Education and Training</v>
      </c>
      <c r="D957">
        <f>raw_data!G957</f>
        <v>23.58</v>
      </c>
      <c r="E957">
        <f>raw_data!H957</f>
        <v>3.61</v>
      </c>
      <c r="F957">
        <f>raw_data!I957</f>
        <v>16.149999999999999</v>
      </c>
      <c r="G957">
        <f>raw_data!J957</f>
        <v>3.82</v>
      </c>
      <c r="H957" t="str">
        <f t="shared" si="14"/>
        <v>Wage Pressure</v>
      </c>
    </row>
    <row r="958" spans="1:8" x14ac:dyDescent="0.2">
      <c r="A958" t="str">
        <f>raw_data!A958</f>
        <v>2023Q1</v>
      </c>
      <c r="B958" t="str">
        <f>raw_data!B958</f>
        <v>New South Wales</v>
      </c>
      <c r="C958" t="str">
        <f>raw_data!C958</f>
        <v>Health Care and Social Assistance</v>
      </c>
      <c r="D958">
        <f>raw_data!G958</f>
        <v>42.68</v>
      </c>
      <c r="E958">
        <f>raw_data!H958</f>
        <v>11.89</v>
      </c>
      <c r="F958">
        <f>raw_data!I958</f>
        <v>16.73</v>
      </c>
      <c r="G958">
        <f>raw_data!J958</f>
        <v>14.06</v>
      </c>
      <c r="H958" t="str">
        <f t="shared" si="14"/>
        <v>Wage Pressure</v>
      </c>
    </row>
    <row r="959" spans="1:8" x14ac:dyDescent="0.2">
      <c r="A959" t="str">
        <f>raw_data!A959</f>
        <v>2023Q1</v>
      </c>
      <c r="B959" t="str">
        <f>raw_data!B959</f>
        <v>New South Wales</v>
      </c>
      <c r="C959" t="str">
        <f>raw_data!C959</f>
        <v>Manufacturing</v>
      </c>
      <c r="D959">
        <f>raw_data!G959</f>
        <v>43.85</v>
      </c>
      <c r="E959">
        <f>raw_data!H959</f>
        <v>11.3</v>
      </c>
      <c r="F959">
        <f>raw_data!I959</f>
        <v>22.5</v>
      </c>
      <c r="G959">
        <f>raw_data!J959</f>
        <v>10.050000000000001</v>
      </c>
      <c r="H959" t="str">
        <f t="shared" si="14"/>
        <v>Wage Pressure</v>
      </c>
    </row>
    <row r="960" spans="1:8" x14ac:dyDescent="0.2">
      <c r="A960" t="str">
        <f>raw_data!A960</f>
        <v>2023Q1</v>
      </c>
      <c r="B960" t="str">
        <f>raw_data!B960</f>
        <v>New South Wales</v>
      </c>
      <c r="C960" t="str">
        <f>raw_data!C960</f>
        <v>Professional, Scientific and Technical Services</v>
      </c>
      <c r="D960">
        <f>raw_data!G960</f>
        <v>39.68</v>
      </c>
      <c r="E960">
        <f>raw_data!H960</f>
        <v>11.22</v>
      </c>
      <c r="F960">
        <f>raw_data!I960</f>
        <v>20.77</v>
      </c>
      <c r="G960">
        <f>raw_data!J960</f>
        <v>7.69</v>
      </c>
      <c r="H960" t="str">
        <f t="shared" si="14"/>
        <v>Wage Pressure</v>
      </c>
    </row>
    <row r="961" spans="1:8" x14ac:dyDescent="0.2">
      <c r="A961" t="str">
        <f>raw_data!A961</f>
        <v>2023Q1</v>
      </c>
      <c r="B961" t="str">
        <f>raw_data!B961</f>
        <v>Queensland</v>
      </c>
      <c r="C961" t="str">
        <f>raw_data!C961</f>
        <v>Accommodation and Food Services</v>
      </c>
      <c r="D961">
        <f>raw_data!G961</f>
        <v>65.02</v>
      </c>
      <c r="E961">
        <f>raw_data!H961</f>
        <v>40</v>
      </c>
      <c r="F961">
        <f>raw_data!I961</f>
        <v>17.309999999999999</v>
      </c>
      <c r="G961">
        <f>raw_data!J961</f>
        <v>7.72</v>
      </c>
      <c r="H961" t="str">
        <f t="shared" si="14"/>
        <v>Vacancy Intensity</v>
      </c>
    </row>
    <row r="962" spans="1:8" x14ac:dyDescent="0.2">
      <c r="A962" t="str">
        <f>raw_data!A962</f>
        <v>2023Q1</v>
      </c>
      <c r="B962" t="str">
        <f>raw_data!B962</f>
        <v>Queensland</v>
      </c>
      <c r="C962" t="str">
        <f>raw_data!C962</f>
        <v>Construction</v>
      </c>
      <c r="D962">
        <f>raw_data!G962</f>
        <v>42.35</v>
      </c>
      <c r="E962">
        <f>raw_data!H962</f>
        <v>12.82</v>
      </c>
      <c r="F962">
        <f>raw_data!I962</f>
        <v>20.77</v>
      </c>
      <c r="G962">
        <f>raw_data!J962</f>
        <v>8.76</v>
      </c>
      <c r="H962" t="str">
        <f t="shared" si="14"/>
        <v>Wage Pressure</v>
      </c>
    </row>
    <row r="963" spans="1:8" x14ac:dyDescent="0.2">
      <c r="A963" t="str">
        <f>raw_data!A963</f>
        <v>2023Q1</v>
      </c>
      <c r="B963" t="str">
        <f>raw_data!B963</f>
        <v>Queensland</v>
      </c>
      <c r="C963" t="str">
        <f>raw_data!C963</f>
        <v>Education and Training</v>
      </c>
      <c r="D963">
        <f>raw_data!G963</f>
        <v>24.96</v>
      </c>
      <c r="E963">
        <f>raw_data!H963</f>
        <v>5.42</v>
      </c>
      <c r="F963">
        <f>raw_data!I963</f>
        <v>16.149999999999999</v>
      </c>
      <c r="G963">
        <f>raw_data!J963</f>
        <v>3.38</v>
      </c>
      <c r="H963" t="str">
        <f t="shared" ref="H963:H1026" si="15">IF(AND(E963&gt;=F963,E963&gt;=G963),"Vacancy Intensity",IF(F963&gt;=G963,"Wage Pressure","Labour Tightness"))</f>
        <v>Wage Pressure</v>
      </c>
    </row>
    <row r="964" spans="1:8" x14ac:dyDescent="0.2">
      <c r="A964" t="str">
        <f>raw_data!A964</f>
        <v>2023Q1</v>
      </c>
      <c r="B964" t="str">
        <f>raw_data!B964</f>
        <v>Queensland</v>
      </c>
      <c r="C964" t="str">
        <f>raw_data!C964</f>
        <v>Health Care and Social Assistance</v>
      </c>
      <c r="D964">
        <f>raw_data!G964</f>
        <v>50.72</v>
      </c>
      <c r="E964">
        <f>raw_data!H964</f>
        <v>17.059999999999999</v>
      </c>
      <c r="F964">
        <f>raw_data!I964</f>
        <v>16.73</v>
      </c>
      <c r="G964">
        <f>raw_data!J964</f>
        <v>16.93</v>
      </c>
      <c r="H964" t="str">
        <f t="shared" si="15"/>
        <v>Vacancy Intensity</v>
      </c>
    </row>
    <row r="965" spans="1:8" x14ac:dyDescent="0.2">
      <c r="A965" t="str">
        <f>raw_data!A965</f>
        <v>2023Q1</v>
      </c>
      <c r="B965" t="str">
        <f>raw_data!B965</f>
        <v>Queensland</v>
      </c>
      <c r="C965" t="str">
        <f>raw_data!C965</f>
        <v>Manufacturing</v>
      </c>
      <c r="D965">
        <f>raw_data!G965</f>
        <v>45.6</v>
      </c>
      <c r="E965">
        <f>raw_data!H965</f>
        <v>14.97</v>
      </c>
      <c r="F965">
        <f>raw_data!I965</f>
        <v>22.5</v>
      </c>
      <c r="G965">
        <f>raw_data!J965</f>
        <v>8.1300000000000008</v>
      </c>
      <c r="H965" t="str">
        <f t="shared" si="15"/>
        <v>Wage Pressure</v>
      </c>
    </row>
    <row r="966" spans="1:8" x14ac:dyDescent="0.2">
      <c r="A966" t="str">
        <f>raw_data!A966</f>
        <v>2023Q1</v>
      </c>
      <c r="B966" t="str">
        <f>raw_data!B966</f>
        <v>Queensland</v>
      </c>
      <c r="C966" t="str">
        <f>raw_data!C966</f>
        <v>Professional, Scientific and Technical Services</v>
      </c>
      <c r="D966">
        <f>raw_data!G966</f>
        <v>65.84</v>
      </c>
      <c r="E966">
        <f>raw_data!H966</f>
        <v>25.03</v>
      </c>
      <c r="F966">
        <f>raw_data!I966</f>
        <v>20.77</v>
      </c>
      <c r="G966">
        <f>raw_data!J966</f>
        <v>20.04</v>
      </c>
      <c r="H966" t="str">
        <f t="shared" si="15"/>
        <v>Vacancy Intensity</v>
      </c>
    </row>
    <row r="967" spans="1:8" x14ac:dyDescent="0.2">
      <c r="A967" t="str">
        <f>raw_data!A967</f>
        <v>2023Q1</v>
      </c>
      <c r="B967" t="str">
        <f>raw_data!B967</f>
        <v>Victoria</v>
      </c>
      <c r="C967" t="str">
        <f>raw_data!C967</f>
        <v>Accommodation and Food Services</v>
      </c>
      <c r="D967">
        <f>raw_data!G967</f>
        <v>56.09</v>
      </c>
      <c r="E967">
        <f>raw_data!H967</f>
        <v>32.31</v>
      </c>
      <c r="F967">
        <f>raw_data!I967</f>
        <v>17.309999999999999</v>
      </c>
      <c r="G967">
        <f>raw_data!J967</f>
        <v>6.46</v>
      </c>
      <c r="H967" t="str">
        <f t="shared" si="15"/>
        <v>Vacancy Intensity</v>
      </c>
    </row>
    <row r="968" spans="1:8" x14ac:dyDescent="0.2">
      <c r="A968" t="str">
        <f>raw_data!A968</f>
        <v>2023Q1</v>
      </c>
      <c r="B968" t="str">
        <f>raw_data!B968</f>
        <v>Victoria</v>
      </c>
      <c r="C968" t="str">
        <f>raw_data!C968</f>
        <v>Construction</v>
      </c>
      <c r="D968">
        <f>raw_data!G968</f>
        <v>37.700000000000003</v>
      </c>
      <c r="E968">
        <f>raw_data!H968</f>
        <v>8.82</v>
      </c>
      <c r="F968">
        <f>raw_data!I968</f>
        <v>20.77</v>
      </c>
      <c r="G968">
        <f>raw_data!J968</f>
        <v>8.11</v>
      </c>
      <c r="H968" t="str">
        <f t="shared" si="15"/>
        <v>Wage Pressure</v>
      </c>
    </row>
    <row r="969" spans="1:8" x14ac:dyDescent="0.2">
      <c r="A969" t="str">
        <f>raw_data!A969</f>
        <v>2023Q1</v>
      </c>
      <c r="B969" t="str">
        <f>raw_data!B969</f>
        <v>Victoria</v>
      </c>
      <c r="C969" t="str">
        <f>raw_data!C969</f>
        <v>Education and Training</v>
      </c>
      <c r="D969">
        <f>raw_data!G969</f>
        <v>23.12</v>
      </c>
      <c r="E969">
        <f>raw_data!H969</f>
        <v>4.3899999999999997</v>
      </c>
      <c r="F969">
        <f>raw_data!I969</f>
        <v>16.149999999999999</v>
      </c>
      <c r="G969">
        <f>raw_data!J969</f>
        <v>2.58</v>
      </c>
      <c r="H969" t="str">
        <f t="shared" si="15"/>
        <v>Wage Pressure</v>
      </c>
    </row>
    <row r="970" spans="1:8" x14ac:dyDescent="0.2">
      <c r="A970" t="str">
        <f>raw_data!A970</f>
        <v>2023Q1</v>
      </c>
      <c r="B970" t="str">
        <f>raw_data!B970</f>
        <v>Victoria</v>
      </c>
      <c r="C970" t="str">
        <f>raw_data!C970</f>
        <v>Health Care and Social Assistance</v>
      </c>
      <c r="D970">
        <f>raw_data!G970</f>
        <v>43.32</v>
      </c>
      <c r="E970">
        <f>raw_data!H970</f>
        <v>13.88</v>
      </c>
      <c r="F970">
        <f>raw_data!I970</f>
        <v>16.73</v>
      </c>
      <c r="G970">
        <f>raw_data!J970</f>
        <v>12.71</v>
      </c>
      <c r="H970" t="str">
        <f t="shared" si="15"/>
        <v>Wage Pressure</v>
      </c>
    </row>
    <row r="971" spans="1:8" x14ac:dyDescent="0.2">
      <c r="A971" t="str">
        <f>raw_data!A971</f>
        <v>2023Q1</v>
      </c>
      <c r="B971" t="str">
        <f>raw_data!B971</f>
        <v>Victoria</v>
      </c>
      <c r="C971" t="str">
        <f>raw_data!C971</f>
        <v>Manufacturing</v>
      </c>
      <c r="D971">
        <f>raw_data!G971</f>
        <v>39.43</v>
      </c>
      <c r="E971">
        <f>raw_data!H971</f>
        <v>10.37</v>
      </c>
      <c r="F971">
        <f>raw_data!I971</f>
        <v>22.5</v>
      </c>
      <c r="G971">
        <f>raw_data!J971</f>
        <v>6.56</v>
      </c>
      <c r="H971" t="str">
        <f t="shared" si="15"/>
        <v>Wage Pressure</v>
      </c>
    </row>
    <row r="972" spans="1:8" x14ac:dyDescent="0.2">
      <c r="A972" t="str">
        <f>raw_data!A972</f>
        <v>2023Q1</v>
      </c>
      <c r="B972" t="str">
        <f>raw_data!B972</f>
        <v>Victoria</v>
      </c>
      <c r="C972" t="str">
        <f>raw_data!C972</f>
        <v>Professional, Scientific and Technical Services</v>
      </c>
      <c r="D972">
        <f>raw_data!G972</f>
        <v>43.97</v>
      </c>
      <c r="E972">
        <f>raw_data!H972</f>
        <v>14.13</v>
      </c>
      <c r="F972">
        <f>raw_data!I972</f>
        <v>20.77</v>
      </c>
      <c r="G972">
        <f>raw_data!J972</f>
        <v>9.08</v>
      </c>
      <c r="H972" t="str">
        <f t="shared" si="15"/>
        <v>Wage Pressure</v>
      </c>
    </row>
    <row r="973" spans="1:8" x14ac:dyDescent="0.2">
      <c r="A973" t="str">
        <f>raw_data!A973</f>
        <v>2023Q2</v>
      </c>
      <c r="B973" t="str">
        <f>raw_data!B973</f>
        <v>New South Wales</v>
      </c>
      <c r="C973" t="str">
        <f>raw_data!C973</f>
        <v>Accommodation and Food Services</v>
      </c>
      <c r="D973">
        <f>raw_data!G973</f>
        <v>42</v>
      </c>
      <c r="E973">
        <f>raw_data!H973</f>
        <v>18.21</v>
      </c>
      <c r="F973">
        <f>raw_data!I973</f>
        <v>19.04</v>
      </c>
      <c r="G973">
        <f>raw_data!J973</f>
        <v>4.75</v>
      </c>
      <c r="H973" t="str">
        <f t="shared" si="15"/>
        <v>Wage Pressure</v>
      </c>
    </row>
    <row r="974" spans="1:8" x14ac:dyDescent="0.2">
      <c r="A974" t="str">
        <f>raw_data!A974</f>
        <v>2023Q2</v>
      </c>
      <c r="B974" t="str">
        <f>raw_data!B974</f>
        <v>New South Wales</v>
      </c>
      <c r="C974" t="str">
        <f>raw_data!C974</f>
        <v>Construction</v>
      </c>
      <c r="D974">
        <f>raw_data!G974</f>
        <v>38.28</v>
      </c>
      <c r="E974">
        <f>raw_data!H974</f>
        <v>8.0399999999999991</v>
      </c>
      <c r="F974">
        <f>raw_data!I974</f>
        <v>20.77</v>
      </c>
      <c r="G974">
        <f>raw_data!J974</f>
        <v>9.48</v>
      </c>
      <c r="H974" t="str">
        <f t="shared" si="15"/>
        <v>Wage Pressure</v>
      </c>
    </row>
    <row r="975" spans="1:8" x14ac:dyDescent="0.2">
      <c r="A975" t="str">
        <f>raw_data!A975</f>
        <v>2023Q2</v>
      </c>
      <c r="B975" t="str">
        <f>raw_data!B975</f>
        <v>New South Wales</v>
      </c>
      <c r="C975" t="str">
        <f>raw_data!C975</f>
        <v>Education and Training</v>
      </c>
      <c r="D975">
        <f>raw_data!G975</f>
        <v>26.3</v>
      </c>
      <c r="E975">
        <f>raw_data!H975</f>
        <v>4.43</v>
      </c>
      <c r="F975">
        <f>raw_data!I975</f>
        <v>16.73</v>
      </c>
      <c r="G975">
        <f>raw_data!J975</f>
        <v>5.14</v>
      </c>
      <c r="H975" t="str">
        <f t="shared" si="15"/>
        <v>Wage Pressure</v>
      </c>
    </row>
    <row r="976" spans="1:8" x14ac:dyDescent="0.2">
      <c r="A976" t="str">
        <f>raw_data!A976</f>
        <v>2023Q2</v>
      </c>
      <c r="B976" t="str">
        <f>raw_data!B976</f>
        <v>New South Wales</v>
      </c>
      <c r="C976" t="str">
        <f>raw_data!C976</f>
        <v>Health Care and Social Assistance</v>
      </c>
      <c r="D976">
        <f>raw_data!G976</f>
        <v>39.35</v>
      </c>
      <c r="E976">
        <f>raw_data!H976</f>
        <v>11.84</v>
      </c>
      <c r="F976">
        <f>raw_data!I976</f>
        <v>17.309999999999999</v>
      </c>
      <c r="G976">
        <f>raw_data!J976</f>
        <v>10.210000000000001</v>
      </c>
      <c r="H976" t="str">
        <f t="shared" si="15"/>
        <v>Wage Pressure</v>
      </c>
    </row>
    <row r="977" spans="1:8" x14ac:dyDescent="0.2">
      <c r="A977" t="str">
        <f>raw_data!A977</f>
        <v>2023Q2</v>
      </c>
      <c r="B977" t="str">
        <f>raw_data!B977</f>
        <v>New South Wales</v>
      </c>
      <c r="C977" t="str">
        <f>raw_data!C977</f>
        <v>Manufacturing</v>
      </c>
      <c r="D977">
        <f>raw_data!G977</f>
        <v>46.3</v>
      </c>
      <c r="E977">
        <f>raw_data!H977</f>
        <v>9.4700000000000006</v>
      </c>
      <c r="F977">
        <f>raw_data!I977</f>
        <v>21.92</v>
      </c>
      <c r="G977">
        <f>raw_data!J977</f>
        <v>14.9</v>
      </c>
      <c r="H977" t="str">
        <f t="shared" si="15"/>
        <v>Wage Pressure</v>
      </c>
    </row>
    <row r="978" spans="1:8" x14ac:dyDescent="0.2">
      <c r="A978" t="str">
        <f>raw_data!A978</f>
        <v>2023Q2</v>
      </c>
      <c r="B978" t="str">
        <f>raw_data!B978</f>
        <v>New South Wales</v>
      </c>
      <c r="C978" t="str">
        <f>raw_data!C978</f>
        <v>Professional, Scientific and Technical Services</v>
      </c>
      <c r="D978">
        <f>raw_data!G978</f>
        <v>40.659999999999997</v>
      </c>
      <c r="E978">
        <f>raw_data!H978</f>
        <v>10.36</v>
      </c>
      <c r="F978">
        <f>raw_data!I978</f>
        <v>21.35</v>
      </c>
      <c r="G978">
        <f>raw_data!J978</f>
        <v>8.9600000000000009</v>
      </c>
      <c r="H978" t="str">
        <f t="shared" si="15"/>
        <v>Wage Pressure</v>
      </c>
    </row>
    <row r="979" spans="1:8" x14ac:dyDescent="0.2">
      <c r="A979" t="str">
        <f>raw_data!A979</f>
        <v>2023Q2</v>
      </c>
      <c r="B979" t="str">
        <f>raw_data!B979</f>
        <v>Queensland</v>
      </c>
      <c r="C979" t="str">
        <f>raw_data!C979</f>
        <v>Accommodation and Food Services</v>
      </c>
      <c r="D979">
        <f>raw_data!G979</f>
        <v>48.69</v>
      </c>
      <c r="E979">
        <f>raw_data!H979</f>
        <v>26.61</v>
      </c>
      <c r="F979">
        <f>raw_data!I979</f>
        <v>19.04</v>
      </c>
      <c r="G979">
        <f>raw_data!J979</f>
        <v>3.04</v>
      </c>
      <c r="H979" t="str">
        <f t="shared" si="15"/>
        <v>Vacancy Intensity</v>
      </c>
    </row>
    <row r="980" spans="1:8" x14ac:dyDescent="0.2">
      <c r="A980" t="str">
        <f>raw_data!A980</f>
        <v>2023Q2</v>
      </c>
      <c r="B980" t="str">
        <f>raw_data!B980</f>
        <v>Queensland</v>
      </c>
      <c r="C980" t="str">
        <f>raw_data!C980</f>
        <v>Construction</v>
      </c>
      <c r="D980">
        <f>raw_data!G980</f>
        <v>40.520000000000003</v>
      </c>
      <c r="E980">
        <f>raw_data!H980</f>
        <v>12.91</v>
      </c>
      <c r="F980">
        <f>raw_data!I980</f>
        <v>20.77</v>
      </c>
      <c r="G980">
        <f>raw_data!J980</f>
        <v>6.85</v>
      </c>
      <c r="H980" t="str">
        <f t="shared" si="15"/>
        <v>Wage Pressure</v>
      </c>
    </row>
    <row r="981" spans="1:8" x14ac:dyDescent="0.2">
      <c r="A981" t="str">
        <f>raw_data!A981</f>
        <v>2023Q2</v>
      </c>
      <c r="B981" t="str">
        <f>raw_data!B981</f>
        <v>Queensland</v>
      </c>
      <c r="C981" t="str">
        <f>raw_data!C981</f>
        <v>Education and Training</v>
      </c>
      <c r="D981">
        <f>raw_data!G981</f>
        <v>27.77</v>
      </c>
      <c r="E981">
        <f>raw_data!H981</f>
        <v>5.74</v>
      </c>
      <c r="F981">
        <f>raw_data!I981</f>
        <v>16.73</v>
      </c>
      <c r="G981">
        <f>raw_data!J981</f>
        <v>5.3</v>
      </c>
      <c r="H981" t="str">
        <f t="shared" si="15"/>
        <v>Wage Pressure</v>
      </c>
    </row>
    <row r="982" spans="1:8" x14ac:dyDescent="0.2">
      <c r="A982" t="str">
        <f>raw_data!A982</f>
        <v>2023Q2</v>
      </c>
      <c r="B982" t="str">
        <f>raw_data!B982</f>
        <v>Queensland</v>
      </c>
      <c r="C982" t="str">
        <f>raw_data!C982</f>
        <v>Health Care and Social Assistance</v>
      </c>
      <c r="D982">
        <f>raw_data!G982</f>
        <v>51.48</v>
      </c>
      <c r="E982">
        <f>raw_data!H982</f>
        <v>16.850000000000001</v>
      </c>
      <c r="F982">
        <f>raw_data!I982</f>
        <v>17.309999999999999</v>
      </c>
      <c r="G982">
        <f>raw_data!J982</f>
        <v>17.309999999999999</v>
      </c>
      <c r="H982" t="str">
        <f t="shared" si="15"/>
        <v>Wage Pressure</v>
      </c>
    </row>
    <row r="983" spans="1:8" x14ac:dyDescent="0.2">
      <c r="A983" t="str">
        <f>raw_data!A983</f>
        <v>2023Q2</v>
      </c>
      <c r="B983" t="str">
        <f>raw_data!B983</f>
        <v>Queensland</v>
      </c>
      <c r="C983" t="str">
        <f>raw_data!C983</f>
        <v>Manufacturing</v>
      </c>
      <c r="D983">
        <f>raw_data!G983</f>
        <v>41.33</v>
      </c>
      <c r="E983">
        <f>raw_data!H983</f>
        <v>13.6</v>
      </c>
      <c r="F983">
        <f>raw_data!I983</f>
        <v>21.92</v>
      </c>
      <c r="G983">
        <f>raw_data!J983</f>
        <v>5.8</v>
      </c>
      <c r="H983" t="str">
        <f t="shared" si="15"/>
        <v>Wage Pressure</v>
      </c>
    </row>
    <row r="984" spans="1:8" x14ac:dyDescent="0.2">
      <c r="A984" t="str">
        <f>raw_data!A984</f>
        <v>2023Q2</v>
      </c>
      <c r="B984" t="str">
        <f>raw_data!B984</f>
        <v>Queensland</v>
      </c>
      <c r="C984" t="str">
        <f>raw_data!C984</f>
        <v>Professional, Scientific and Technical Services</v>
      </c>
      <c r="D984">
        <f>raw_data!G984</f>
        <v>57.26</v>
      </c>
      <c r="E984">
        <f>raw_data!H984</f>
        <v>21.28</v>
      </c>
      <c r="F984">
        <f>raw_data!I984</f>
        <v>21.35</v>
      </c>
      <c r="G984">
        <f>raw_data!J984</f>
        <v>14.64</v>
      </c>
      <c r="H984" t="str">
        <f t="shared" si="15"/>
        <v>Wage Pressure</v>
      </c>
    </row>
    <row r="985" spans="1:8" x14ac:dyDescent="0.2">
      <c r="A985" t="str">
        <f>raw_data!A985</f>
        <v>2023Q2</v>
      </c>
      <c r="B985" t="str">
        <f>raw_data!B985</f>
        <v>Victoria</v>
      </c>
      <c r="C985" t="str">
        <f>raw_data!C985</f>
        <v>Accommodation and Food Services</v>
      </c>
      <c r="D985">
        <f>raw_data!G985</f>
        <v>47.1</v>
      </c>
      <c r="E985">
        <f>raw_data!H985</f>
        <v>23.22</v>
      </c>
      <c r="F985">
        <f>raw_data!I985</f>
        <v>19.04</v>
      </c>
      <c r="G985">
        <f>raw_data!J985</f>
        <v>4.84</v>
      </c>
      <c r="H985" t="str">
        <f t="shared" si="15"/>
        <v>Vacancy Intensity</v>
      </c>
    </row>
    <row r="986" spans="1:8" x14ac:dyDescent="0.2">
      <c r="A986" t="str">
        <f>raw_data!A986</f>
        <v>2023Q2</v>
      </c>
      <c r="B986" t="str">
        <f>raw_data!B986</f>
        <v>Victoria</v>
      </c>
      <c r="C986" t="str">
        <f>raw_data!C986</f>
        <v>Construction</v>
      </c>
      <c r="D986">
        <f>raw_data!G986</f>
        <v>37.89</v>
      </c>
      <c r="E986">
        <f>raw_data!H986</f>
        <v>10.08</v>
      </c>
      <c r="F986">
        <f>raw_data!I986</f>
        <v>20.77</v>
      </c>
      <c r="G986">
        <f>raw_data!J986</f>
        <v>7.04</v>
      </c>
      <c r="H986" t="str">
        <f t="shared" si="15"/>
        <v>Wage Pressure</v>
      </c>
    </row>
    <row r="987" spans="1:8" x14ac:dyDescent="0.2">
      <c r="A987" t="str">
        <f>raw_data!A987</f>
        <v>2023Q2</v>
      </c>
      <c r="B987" t="str">
        <f>raw_data!B987</f>
        <v>Victoria</v>
      </c>
      <c r="C987" t="str">
        <f>raw_data!C987</f>
        <v>Education and Training</v>
      </c>
      <c r="D987">
        <f>raw_data!G987</f>
        <v>25.41</v>
      </c>
      <c r="E987">
        <f>raw_data!H987</f>
        <v>5.29</v>
      </c>
      <c r="F987">
        <f>raw_data!I987</f>
        <v>16.73</v>
      </c>
      <c r="G987">
        <f>raw_data!J987</f>
        <v>3.39</v>
      </c>
      <c r="H987" t="str">
        <f t="shared" si="15"/>
        <v>Wage Pressure</v>
      </c>
    </row>
    <row r="988" spans="1:8" x14ac:dyDescent="0.2">
      <c r="A988" t="str">
        <f>raw_data!A988</f>
        <v>2023Q2</v>
      </c>
      <c r="B988" t="str">
        <f>raw_data!B988</f>
        <v>Victoria</v>
      </c>
      <c r="C988" t="str">
        <f>raw_data!C988</f>
        <v>Health Care and Social Assistance</v>
      </c>
      <c r="D988">
        <f>raw_data!G988</f>
        <v>46.08</v>
      </c>
      <c r="E988">
        <f>raw_data!H988</f>
        <v>13.94</v>
      </c>
      <c r="F988">
        <f>raw_data!I988</f>
        <v>17.309999999999999</v>
      </c>
      <c r="G988">
        <f>raw_data!J988</f>
        <v>14.84</v>
      </c>
      <c r="H988" t="str">
        <f t="shared" si="15"/>
        <v>Wage Pressure</v>
      </c>
    </row>
    <row r="989" spans="1:8" x14ac:dyDescent="0.2">
      <c r="A989" t="str">
        <f>raw_data!A989</f>
        <v>2023Q2</v>
      </c>
      <c r="B989" t="str">
        <f>raw_data!B989</f>
        <v>Victoria</v>
      </c>
      <c r="C989" t="str">
        <f>raw_data!C989</f>
        <v>Manufacturing</v>
      </c>
      <c r="D989">
        <f>raw_data!G989</f>
        <v>32.96</v>
      </c>
      <c r="E989">
        <f>raw_data!H989</f>
        <v>8.2899999999999991</v>
      </c>
      <c r="F989">
        <f>raw_data!I989</f>
        <v>21.92</v>
      </c>
      <c r="G989">
        <f>raw_data!J989</f>
        <v>2.75</v>
      </c>
      <c r="H989" t="str">
        <f t="shared" si="15"/>
        <v>Wage Pressure</v>
      </c>
    </row>
    <row r="990" spans="1:8" x14ac:dyDescent="0.2">
      <c r="A990" t="str">
        <f>raw_data!A990</f>
        <v>2023Q2</v>
      </c>
      <c r="B990" t="str">
        <f>raw_data!B990</f>
        <v>Victoria</v>
      </c>
      <c r="C990" t="str">
        <f>raw_data!C990</f>
        <v>Professional, Scientific and Technical Services</v>
      </c>
      <c r="D990">
        <f>raw_data!G990</f>
        <v>48.7</v>
      </c>
      <c r="E990">
        <f>raw_data!H990</f>
        <v>11.71</v>
      </c>
      <c r="F990">
        <f>raw_data!I990</f>
        <v>21.35</v>
      </c>
      <c r="G990">
        <f>raw_data!J990</f>
        <v>15.64</v>
      </c>
      <c r="H990" t="str">
        <f t="shared" si="15"/>
        <v>Wage Pressure</v>
      </c>
    </row>
    <row r="991" spans="1:8" x14ac:dyDescent="0.2">
      <c r="A991" t="str">
        <f>raw_data!A991</f>
        <v>2023Q3</v>
      </c>
      <c r="B991" t="str">
        <f>raw_data!B991</f>
        <v>New South Wales</v>
      </c>
      <c r="C991" t="str">
        <f>raw_data!C991</f>
        <v>Accommodation and Food Services</v>
      </c>
      <c r="D991">
        <f>raw_data!G991</f>
        <v>55.84</v>
      </c>
      <c r="E991">
        <f>raw_data!H991</f>
        <v>19.66</v>
      </c>
      <c r="F991">
        <f>raw_data!I991</f>
        <v>30</v>
      </c>
      <c r="G991">
        <f>raw_data!J991</f>
        <v>6.18</v>
      </c>
      <c r="H991" t="str">
        <f t="shared" si="15"/>
        <v>Wage Pressure</v>
      </c>
    </row>
    <row r="992" spans="1:8" x14ac:dyDescent="0.2">
      <c r="A992" t="str">
        <f>raw_data!A992</f>
        <v>2023Q3</v>
      </c>
      <c r="B992" t="str">
        <f>raw_data!B992</f>
        <v>New South Wales</v>
      </c>
      <c r="C992" t="str">
        <f>raw_data!C992</f>
        <v>Construction</v>
      </c>
      <c r="D992">
        <f>raw_data!G992</f>
        <v>36.24</v>
      </c>
      <c r="E992">
        <f>raw_data!H992</f>
        <v>7.34</v>
      </c>
      <c r="F992">
        <f>raw_data!I992</f>
        <v>23.08</v>
      </c>
      <c r="G992">
        <f>raw_data!J992</f>
        <v>5.82</v>
      </c>
      <c r="H992" t="str">
        <f t="shared" si="15"/>
        <v>Wage Pressure</v>
      </c>
    </row>
    <row r="993" spans="1:8" x14ac:dyDescent="0.2">
      <c r="A993" t="str">
        <f>raw_data!A993</f>
        <v>2023Q3</v>
      </c>
      <c r="B993" t="str">
        <f>raw_data!B993</f>
        <v>New South Wales</v>
      </c>
      <c r="C993" t="str">
        <f>raw_data!C993</f>
        <v>Education and Training</v>
      </c>
      <c r="D993">
        <f>raw_data!G993</f>
        <v>29.48</v>
      </c>
      <c r="E993">
        <f>raw_data!H993</f>
        <v>4.17</v>
      </c>
      <c r="F993">
        <f>raw_data!I993</f>
        <v>19.04</v>
      </c>
      <c r="G993">
        <f>raw_data!J993</f>
        <v>6.27</v>
      </c>
      <c r="H993" t="str">
        <f t="shared" si="15"/>
        <v>Wage Pressure</v>
      </c>
    </row>
    <row r="994" spans="1:8" x14ac:dyDescent="0.2">
      <c r="A994" t="str">
        <f>raw_data!A994</f>
        <v>2023Q3</v>
      </c>
      <c r="B994" t="str">
        <f>raw_data!B994</f>
        <v>New South Wales</v>
      </c>
      <c r="C994" t="str">
        <f>raw_data!C994</f>
        <v>Health Care and Social Assistance</v>
      </c>
      <c r="D994">
        <f>raw_data!G994</f>
        <v>47.16</v>
      </c>
      <c r="E994">
        <f>raw_data!H994</f>
        <v>11.31</v>
      </c>
      <c r="F994">
        <f>raw_data!I994</f>
        <v>26.54</v>
      </c>
      <c r="G994">
        <f>raw_data!J994</f>
        <v>9.31</v>
      </c>
      <c r="H994" t="str">
        <f t="shared" si="15"/>
        <v>Wage Pressure</v>
      </c>
    </row>
    <row r="995" spans="1:8" x14ac:dyDescent="0.2">
      <c r="A995" t="str">
        <f>raw_data!A995</f>
        <v>2023Q3</v>
      </c>
      <c r="B995" t="str">
        <f>raw_data!B995</f>
        <v>New South Wales</v>
      </c>
      <c r="C995" t="str">
        <f>raw_data!C995</f>
        <v>Manufacturing</v>
      </c>
      <c r="D995">
        <f>raw_data!G995</f>
        <v>45.81</v>
      </c>
      <c r="E995">
        <f>raw_data!H995</f>
        <v>9.89</v>
      </c>
      <c r="F995">
        <f>raw_data!I995</f>
        <v>23.65</v>
      </c>
      <c r="G995">
        <f>raw_data!J995</f>
        <v>12.26</v>
      </c>
      <c r="H995" t="str">
        <f t="shared" si="15"/>
        <v>Wage Pressure</v>
      </c>
    </row>
    <row r="996" spans="1:8" x14ac:dyDescent="0.2">
      <c r="A996" t="str">
        <f>raw_data!A996</f>
        <v>2023Q3</v>
      </c>
      <c r="B996" t="str">
        <f>raw_data!B996</f>
        <v>New South Wales</v>
      </c>
      <c r="C996" t="str">
        <f>raw_data!C996</f>
        <v>Professional, Scientific and Technical Services</v>
      </c>
      <c r="D996">
        <f>raw_data!G996</f>
        <v>35.69</v>
      </c>
      <c r="E996">
        <f>raw_data!H996</f>
        <v>9.92</v>
      </c>
      <c r="F996">
        <f>raw_data!I996</f>
        <v>20.190000000000001</v>
      </c>
      <c r="G996">
        <f>raw_data!J996</f>
        <v>5.58</v>
      </c>
      <c r="H996" t="str">
        <f t="shared" si="15"/>
        <v>Wage Pressure</v>
      </c>
    </row>
    <row r="997" spans="1:8" x14ac:dyDescent="0.2">
      <c r="A997" t="str">
        <f>raw_data!A997</f>
        <v>2023Q3</v>
      </c>
      <c r="B997" t="str">
        <f>raw_data!B997</f>
        <v>Queensland</v>
      </c>
      <c r="C997" t="str">
        <f>raw_data!C997</f>
        <v>Accommodation and Food Services</v>
      </c>
      <c r="D997">
        <f>raw_data!G997</f>
        <v>63.19</v>
      </c>
      <c r="E997">
        <f>raw_data!H997</f>
        <v>27.87</v>
      </c>
      <c r="F997">
        <f>raw_data!I997</f>
        <v>30</v>
      </c>
      <c r="G997">
        <f>raw_data!J997</f>
        <v>5.32</v>
      </c>
      <c r="H997" t="str">
        <f t="shared" si="15"/>
        <v>Wage Pressure</v>
      </c>
    </row>
    <row r="998" spans="1:8" x14ac:dyDescent="0.2">
      <c r="A998" t="str">
        <f>raw_data!A998</f>
        <v>2023Q3</v>
      </c>
      <c r="B998" t="str">
        <f>raw_data!B998</f>
        <v>Queensland</v>
      </c>
      <c r="C998" t="str">
        <f>raw_data!C998</f>
        <v>Construction</v>
      </c>
      <c r="D998">
        <f>raw_data!G998</f>
        <v>39.29</v>
      </c>
      <c r="E998">
        <f>raw_data!H998</f>
        <v>10.6</v>
      </c>
      <c r="F998">
        <f>raw_data!I998</f>
        <v>23.08</v>
      </c>
      <c r="G998">
        <f>raw_data!J998</f>
        <v>5.62</v>
      </c>
      <c r="H998" t="str">
        <f t="shared" si="15"/>
        <v>Wage Pressure</v>
      </c>
    </row>
    <row r="999" spans="1:8" x14ac:dyDescent="0.2">
      <c r="A999" t="str">
        <f>raw_data!A999</f>
        <v>2023Q3</v>
      </c>
      <c r="B999" t="str">
        <f>raw_data!B999</f>
        <v>Queensland</v>
      </c>
      <c r="C999" t="str">
        <f>raw_data!C999</f>
        <v>Education and Training</v>
      </c>
      <c r="D999">
        <f>raw_data!G999</f>
        <v>32.5</v>
      </c>
      <c r="E999">
        <f>raw_data!H999</f>
        <v>6.46</v>
      </c>
      <c r="F999">
        <f>raw_data!I999</f>
        <v>19.04</v>
      </c>
      <c r="G999">
        <f>raw_data!J999</f>
        <v>7</v>
      </c>
      <c r="H999" t="str">
        <f t="shared" si="15"/>
        <v>Wage Pressure</v>
      </c>
    </row>
    <row r="1000" spans="1:8" x14ac:dyDescent="0.2">
      <c r="A1000" t="str">
        <f>raw_data!A1000</f>
        <v>2023Q3</v>
      </c>
      <c r="B1000" t="str">
        <f>raw_data!B1000</f>
        <v>Queensland</v>
      </c>
      <c r="C1000" t="str">
        <f>raw_data!C1000</f>
        <v>Health Care and Social Assistance</v>
      </c>
      <c r="D1000">
        <f>raw_data!G1000</f>
        <v>53.72</v>
      </c>
      <c r="E1000">
        <f>raw_data!H1000</f>
        <v>16.309999999999999</v>
      </c>
      <c r="F1000">
        <f>raw_data!I1000</f>
        <v>26.54</v>
      </c>
      <c r="G1000">
        <f>raw_data!J1000</f>
        <v>10.88</v>
      </c>
      <c r="H1000" t="str">
        <f t="shared" si="15"/>
        <v>Wage Pressure</v>
      </c>
    </row>
    <row r="1001" spans="1:8" x14ac:dyDescent="0.2">
      <c r="A1001" t="str">
        <f>raw_data!A1001</f>
        <v>2023Q3</v>
      </c>
      <c r="B1001" t="str">
        <f>raw_data!B1001</f>
        <v>Queensland</v>
      </c>
      <c r="C1001" t="str">
        <f>raw_data!C1001</f>
        <v>Manufacturing</v>
      </c>
      <c r="D1001">
        <f>raw_data!G1001</f>
        <v>51.92</v>
      </c>
      <c r="E1001">
        <f>raw_data!H1001</f>
        <v>17.04</v>
      </c>
      <c r="F1001">
        <f>raw_data!I1001</f>
        <v>23.65</v>
      </c>
      <c r="G1001">
        <f>raw_data!J1001</f>
        <v>11.23</v>
      </c>
      <c r="H1001" t="str">
        <f t="shared" si="15"/>
        <v>Wage Pressure</v>
      </c>
    </row>
    <row r="1002" spans="1:8" x14ac:dyDescent="0.2">
      <c r="A1002" t="str">
        <f>raw_data!A1002</f>
        <v>2023Q3</v>
      </c>
      <c r="B1002" t="str">
        <f>raw_data!B1002</f>
        <v>Queensland</v>
      </c>
      <c r="C1002" t="str">
        <f>raw_data!C1002</f>
        <v>Professional, Scientific and Technical Services</v>
      </c>
      <c r="D1002">
        <f>raw_data!G1002</f>
        <v>50.24</v>
      </c>
      <c r="E1002">
        <f>raw_data!H1002</f>
        <v>21.5</v>
      </c>
      <c r="F1002">
        <f>raw_data!I1002</f>
        <v>20.190000000000001</v>
      </c>
      <c r="G1002">
        <f>raw_data!J1002</f>
        <v>8.5500000000000007</v>
      </c>
      <c r="H1002" t="str">
        <f t="shared" si="15"/>
        <v>Vacancy Intensity</v>
      </c>
    </row>
    <row r="1003" spans="1:8" x14ac:dyDescent="0.2">
      <c r="A1003" t="str">
        <f>raw_data!A1003</f>
        <v>2023Q3</v>
      </c>
      <c r="B1003" t="str">
        <f>raw_data!B1003</f>
        <v>Victoria</v>
      </c>
      <c r="C1003" t="str">
        <f>raw_data!C1003</f>
        <v>Accommodation and Food Services</v>
      </c>
      <c r="D1003">
        <f>raw_data!G1003</f>
        <v>57.43</v>
      </c>
      <c r="E1003">
        <f>raw_data!H1003</f>
        <v>23.38</v>
      </c>
      <c r="F1003">
        <f>raw_data!I1003</f>
        <v>30</v>
      </c>
      <c r="G1003">
        <f>raw_data!J1003</f>
        <v>4.05</v>
      </c>
      <c r="H1003" t="str">
        <f t="shared" si="15"/>
        <v>Wage Pressure</v>
      </c>
    </row>
    <row r="1004" spans="1:8" x14ac:dyDescent="0.2">
      <c r="A1004" t="str">
        <f>raw_data!A1004</f>
        <v>2023Q3</v>
      </c>
      <c r="B1004" t="str">
        <f>raw_data!B1004</f>
        <v>Victoria</v>
      </c>
      <c r="C1004" t="str">
        <f>raw_data!C1004</f>
        <v>Construction</v>
      </c>
      <c r="D1004">
        <f>raw_data!G1004</f>
        <v>38.46</v>
      </c>
      <c r="E1004">
        <f>raw_data!H1004</f>
        <v>9.3000000000000007</v>
      </c>
      <c r="F1004">
        <f>raw_data!I1004</f>
        <v>23.08</v>
      </c>
      <c r="G1004">
        <f>raw_data!J1004</f>
        <v>6.08</v>
      </c>
      <c r="H1004" t="str">
        <f t="shared" si="15"/>
        <v>Wage Pressure</v>
      </c>
    </row>
    <row r="1005" spans="1:8" x14ac:dyDescent="0.2">
      <c r="A1005" t="str">
        <f>raw_data!A1005</f>
        <v>2023Q3</v>
      </c>
      <c r="B1005" t="str">
        <f>raw_data!B1005</f>
        <v>Victoria</v>
      </c>
      <c r="C1005" t="str">
        <f>raw_data!C1005</f>
        <v>Education and Training</v>
      </c>
      <c r="D1005">
        <f>raw_data!G1005</f>
        <v>28.75</v>
      </c>
      <c r="E1005">
        <f>raw_data!H1005</f>
        <v>5.15</v>
      </c>
      <c r="F1005">
        <f>raw_data!I1005</f>
        <v>19.04</v>
      </c>
      <c r="G1005">
        <f>raw_data!J1005</f>
        <v>4.5599999999999996</v>
      </c>
      <c r="H1005" t="str">
        <f t="shared" si="15"/>
        <v>Wage Pressure</v>
      </c>
    </row>
    <row r="1006" spans="1:8" x14ac:dyDescent="0.2">
      <c r="A1006" t="str">
        <f>raw_data!A1006</f>
        <v>2023Q3</v>
      </c>
      <c r="B1006" t="str">
        <f>raw_data!B1006</f>
        <v>Victoria</v>
      </c>
      <c r="C1006" t="str">
        <f>raw_data!C1006</f>
        <v>Health Care and Social Assistance</v>
      </c>
      <c r="D1006">
        <f>raw_data!G1006</f>
        <v>56.75</v>
      </c>
      <c r="E1006">
        <f>raw_data!H1006</f>
        <v>12.43</v>
      </c>
      <c r="F1006">
        <f>raw_data!I1006</f>
        <v>26.54</v>
      </c>
      <c r="G1006">
        <f>raw_data!J1006</f>
        <v>17.78</v>
      </c>
      <c r="H1006" t="str">
        <f t="shared" si="15"/>
        <v>Wage Pressure</v>
      </c>
    </row>
    <row r="1007" spans="1:8" x14ac:dyDescent="0.2">
      <c r="A1007" t="str">
        <f>raw_data!A1007</f>
        <v>2023Q3</v>
      </c>
      <c r="B1007" t="str">
        <f>raw_data!B1007</f>
        <v>Victoria</v>
      </c>
      <c r="C1007" t="str">
        <f>raw_data!C1007</f>
        <v>Manufacturing</v>
      </c>
      <c r="D1007">
        <f>raw_data!G1007</f>
        <v>43.98</v>
      </c>
      <c r="E1007">
        <f>raw_data!H1007</f>
        <v>8.84</v>
      </c>
      <c r="F1007">
        <f>raw_data!I1007</f>
        <v>23.65</v>
      </c>
      <c r="G1007">
        <f>raw_data!J1007</f>
        <v>11.49</v>
      </c>
      <c r="H1007" t="str">
        <f t="shared" si="15"/>
        <v>Wage Pressure</v>
      </c>
    </row>
    <row r="1008" spans="1:8" x14ac:dyDescent="0.2">
      <c r="A1008" t="str">
        <f>raw_data!A1008</f>
        <v>2023Q3</v>
      </c>
      <c r="B1008" t="str">
        <f>raw_data!B1008</f>
        <v>Victoria</v>
      </c>
      <c r="C1008" t="str">
        <f>raw_data!C1008</f>
        <v>Professional, Scientific and Technical Services</v>
      </c>
      <c r="D1008">
        <f>raw_data!G1008</f>
        <v>39.380000000000003</v>
      </c>
      <c r="E1008">
        <f>raw_data!H1008</f>
        <v>12.18</v>
      </c>
      <c r="F1008">
        <f>raw_data!I1008</f>
        <v>20.190000000000001</v>
      </c>
      <c r="G1008">
        <f>raw_data!J1008</f>
        <v>7</v>
      </c>
      <c r="H1008" t="str">
        <f t="shared" si="15"/>
        <v>Wage Pressure</v>
      </c>
    </row>
    <row r="1009" spans="1:8" x14ac:dyDescent="0.2">
      <c r="A1009" t="str">
        <f>raw_data!A1009</f>
        <v>2023Q4</v>
      </c>
      <c r="B1009" t="str">
        <f>raw_data!B1009</f>
        <v>New South Wales</v>
      </c>
      <c r="C1009" t="str">
        <f>raw_data!C1009</f>
        <v>Accommodation and Food Services</v>
      </c>
      <c r="D1009">
        <f>raw_data!G1009</f>
        <v>43.77</v>
      </c>
      <c r="E1009">
        <f>raw_data!H1009</f>
        <v>18.79</v>
      </c>
      <c r="F1009">
        <f>raw_data!I1009</f>
        <v>21.35</v>
      </c>
      <c r="G1009">
        <f>raw_data!J1009</f>
        <v>3.63</v>
      </c>
      <c r="H1009" t="str">
        <f t="shared" si="15"/>
        <v>Wage Pressure</v>
      </c>
    </row>
    <row r="1010" spans="1:8" x14ac:dyDescent="0.2">
      <c r="A1010" t="str">
        <f>raw_data!A1010</f>
        <v>2023Q4</v>
      </c>
      <c r="B1010" t="str">
        <f>raw_data!B1010</f>
        <v>New South Wales</v>
      </c>
      <c r="C1010" t="str">
        <f>raw_data!C1010</f>
        <v>Construction</v>
      </c>
      <c r="D1010">
        <f>raw_data!G1010</f>
        <v>33.299999999999997</v>
      </c>
      <c r="E1010">
        <f>raw_data!H1010</f>
        <v>6.93</v>
      </c>
      <c r="F1010">
        <f>raw_data!I1010</f>
        <v>21.92</v>
      </c>
      <c r="G1010">
        <f>raw_data!J1010</f>
        <v>4.4400000000000004</v>
      </c>
      <c r="H1010" t="str">
        <f t="shared" si="15"/>
        <v>Wage Pressure</v>
      </c>
    </row>
    <row r="1011" spans="1:8" x14ac:dyDescent="0.2">
      <c r="A1011" t="str">
        <f>raw_data!A1011</f>
        <v>2023Q4</v>
      </c>
      <c r="B1011" t="str">
        <f>raw_data!B1011</f>
        <v>New South Wales</v>
      </c>
      <c r="C1011" t="str">
        <f>raw_data!C1011</f>
        <v>Education and Training</v>
      </c>
      <c r="D1011">
        <f>raw_data!G1011</f>
        <v>32.43</v>
      </c>
      <c r="E1011">
        <f>raw_data!H1011</f>
        <v>3.24</v>
      </c>
      <c r="F1011">
        <f>raw_data!I1011</f>
        <v>25.96</v>
      </c>
      <c r="G1011">
        <f>raw_data!J1011</f>
        <v>3.22</v>
      </c>
      <c r="H1011" t="str">
        <f t="shared" si="15"/>
        <v>Wage Pressure</v>
      </c>
    </row>
    <row r="1012" spans="1:8" x14ac:dyDescent="0.2">
      <c r="A1012" t="str">
        <f>raw_data!A1012</f>
        <v>2023Q4</v>
      </c>
      <c r="B1012" t="str">
        <f>raw_data!B1012</f>
        <v>New South Wales</v>
      </c>
      <c r="C1012" t="str">
        <f>raw_data!C1012</f>
        <v>Health Care and Social Assistance</v>
      </c>
      <c r="D1012">
        <f>raw_data!G1012</f>
        <v>51.08</v>
      </c>
      <c r="E1012">
        <f>raw_data!H1012</f>
        <v>10.52</v>
      </c>
      <c r="F1012">
        <f>raw_data!I1012</f>
        <v>30</v>
      </c>
      <c r="G1012">
        <f>raw_data!J1012</f>
        <v>10.56</v>
      </c>
      <c r="H1012" t="str">
        <f t="shared" si="15"/>
        <v>Wage Pressure</v>
      </c>
    </row>
    <row r="1013" spans="1:8" x14ac:dyDescent="0.2">
      <c r="A1013" t="str">
        <f>raw_data!A1013</f>
        <v>2023Q4</v>
      </c>
      <c r="B1013" t="str">
        <f>raw_data!B1013</f>
        <v>New South Wales</v>
      </c>
      <c r="C1013" t="str">
        <f>raw_data!C1013</f>
        <v>Manufacturing</v>
      </c>
      <c r="D1013">
        <f>raw_data!G1013</f>
        <v>35.79</v>
      </c>
      <c r="E1013">
        <f>raw_data!H1013</f>
        <v>8.31</v>
      </c>
      <c r="F1013">
        <f>raw_data!I1013</f>
        <v>22.5</v>
      </c>
      <c r="G1013">
        <f>raw_data!J1013</f>
        <v>4.9800000000000004</v>
      </c>
      <c r="H1013" t="str">
        <f t="shared" si="15"/>
        <v>Wage Pressure</v>
      </c>
    </row>
    <row r="1014" spans="1:8" x14ac:dyDescent="0.2">
      <c r="A1014" t="str">
        <f>raw_data!A1014</f>
        <v>2023Q4</v>
      </c>
      <c r="B1014" t="str">
        <f>raw_data!B1014</f>
        <v>New South Wales</v>
      </c>
      <c r="C1014" t="str">
        <f>raw_data!C1014</f>
        <v>Professional, Scientific and Technical Services</v>
      </c>
      <c r="D1014">
        <f>raw_data!G1014</f>
        <v>36.64</v>
      </c>
      <c r="E1014">
        <f>raw_data!H1014</f>
        <v>9.74</v>
      </c>
      <c r="F1014">
        <f>raw_data!I1014</f>
        <v>20.190000000000001</v>
      </c>
      <c r="G1014">
        <f>raw_data!J1014</f>
        <v>6.7</v>
      </c>
      <c r="H1014" t="str">
        <f t="shared" si="15"/>
        <v>Wage Pressure</v>
      </c>
    </row>
    <row r="1015" spans="1:8" x14ac:dyDescent="0.2">
      <c r="A1015" t="str">
        <f>raw_data!A1015</f>
        <v>2023Q4</v>
      </c>
      <c r="B1015" t="str">
        <f>raw_data!B1015</f>
        <v>Queensland</v>
      </c>
      <c r="C1015" t="str">
        <f>raw_data!C1015</f>
        <v>Accommodation and Food Services</v>
      </c>
      <c r="D1015">
        <f>raw_data!G1015</f>
        <v>55.42</v>
      </c>
      <c r="E1015">
        <f>raw_data!H1015</f>
        <v>26.54</v>
      </c>
      <c r="F1015">
        <f>raw_data!I1015</f>
        <v>21.35</v>
      </c>
      <c r="G1015">
        <f>raw_data!J1015</f>
        <v>7.54</v>
      </c>
      <c r="H1015" t="str">
        <f t="shared" si="15"/>
        <v>Vacancy Intensity</v>
      </c>
    </row>
    <row r="1016" spans="1:8" x14ac:dyDescent="0.2">
      <c r="A1016" t="str">
        <f>raw_data!A1016</f>
        <v>2023Q4</v>
      </c>
      <c r="B1016" t="str">
        <f>raw_data!B1016</f>
        <v>Queensland</v>
      </c>
      <c r="C1016" t="str">
        <f>raw_data!C1016</f>
        <v>Construction</v>
      </c>
      <c r="D1016">
        <f>raw_data!G1016</f>
        <v>39.119999999999997</v>
      </c>
      <c r="E1016">
        <f>raw_data!H1016</f>
        <v>10.77</v>
      </c>
      <c r="F1016">
        <f>raw_data!I1016</f>
        <v>21.92</v>
      </c>
      <c r="G1016">
        <f>raw_data!J1016</f>
        <v>6.43</v>
      </c>
      <c r="H1016" t="str">
        <f t="shared" si="15"/>
        <v>Wage Pressure</v>
      </c>
    </row>
    <row r="1017" spans="1:8" x14ac:dyDescent="0.2">
      <c r="A1017" t="str">
        <f>raw_data!A1017</f>
        <v>2023Q4</v>
      </c>
      <c r="B1017" t="str">
        <f>raw_data!B1017</f>
        <v>Queensland</v>
      </c>
      <c r="C1017" t="str">
        <f>raw_data!C1017</f>
        <v>Education and Training</v>
      </c>
      <c r="D1017">
        <f>raw_data!G1017</f>
        <v>40.590000000000003</v>
      </c>
      <c r="E1017">
        <f>raw_data!H1017</f>
        <v>5.63</v>
      </c>
      <c r="F1017">
        <f>raw_data!I1017</f>
        <v>25.96</v>
      </c>
      <c r="G1017">
        <f>raw_data!J1017</f>
        <v>9</v>
      </c>
      <c r="H1017" t="str">
        <f t="shared" si="15"/>
        <v>Wage Pressure</v>
      </c>
    </row>
    <row r="1018" spans="1:8" x14ac:dyDescent="0.2">
      <c r="A1018" t="str">
        <f>raw_data!A1018</f>
        <v>2023Q4</v>
      </c>
      <c r="B1018" t="str">
        <f>raw_data!B1018</f>
        <v>Queensland</v>
      </c>
      <c r="C1018" t="str">
        <f>raw_data!C1018</f>
        <v>Health Care and Social Assistance</v>
      </c>
      <c r="D1018">
        <f>raw_data!G1018</f>
        <v>58.26</v>
      </c>
      <c r="E1018">
        <f>raw_data!H1018</f>
        <v>15.93</v>
      </c>
      <c r="F1018">
        <f>raw_data!I1018</f>
        <v>30</v>
      </c>
      <c r="G1018">
        <f>raw_data!J1018</f>
        <v>12.32</v>
      </c>
      <c r="H1018" t="str">
        <f t="shared" si="15"/>
        <v>Wage Pressure</v>
      </c>
    </row>
    <row r="1019" spans="1:8" x14ac:dyDescent="0.2">
      <c r="A1019" t="str">
        <f>raw_data!A1019</f>
        <v>2023Q4</v>
      </c>
      <c r="B1019" t="str">
        <f>raw_data!B1019</f>
        <v>Queensland</v>
      </c>
      <c r="C1019" t="str">
        <f>raw_data!C1019</f>
        <v>Manufacturing</v>
      </c>
      <c r="D1019">
        <f>raw_data!G1019</f>
        <v>45.19</v>
      </c>
      <c r="E1019">
        <f>raw_data!H1019</f>
        <v>13.61</v>
      </c>
      <c r="F1019">
        <f>raw_data!I1019</f>
        <v>22.5</v>
      </c>
      <c r="G1019">
        <f>raw_data!J1019</f>
        <v>9.08</v>
      </c>
      <c r="H1019" t="str">
        <f t="shared" si="15"/>
        <v>Wage Pressure</v>
      </c>
    </row>
    <row r="1020" spans="1:8" x14ac:dyDescent="0.2">
      <c r="A1020" t="str">
        <f>raw_data!A1020</f>
        <v>2023Q4</v>
      </c>
      <c r="B1020" t="str">
        <f>raw_data!B1020</f>
        <v>Queensland</v>
      </c>
      <c r="C1020" t="str">
        <f>raw_data!C1020</f>
        <v>Professional, Scientific and Technical Services</v>
      </c>
      <c r="D1020">
        <f>raw_data!G1020</f>
        <v>45.65</v>
      </c>
      <c r="E1020">
        <f>raw_data!H1020</f>
        <v>19.149999999999999</v>
      </c>
      <c r="F1020">
        <f>raw_data!I1020</f>
        <v>20.190000000000001</v>
      </c>
      <c r="G1020">
        <f>raw_data!J1020</f>
        <v>6.31</v>
      </c>
      <c r="H1020" t="str">
        <f t="shared" si="15"/>
        <v>Wage Pressure</v>
      </c>
    </row>
    <row r="1021" spans="1:8" x14ac:dyDescent="0.2">
      <c r="A1021" t="str">
        <f>raw_data!A1021</f>
        <v>2023Q4</v>
      </c>
      <c r="B1021" t="str">
        <f>raw_data!B1021</f>
        <v>Victoria</v>
      </c>
      <c r="C1021" t="str">
        <f>raw_data!C1021</f>
        <v>Accommodation and Food Services</v>
      </c>
      <c r="D1021">
        <f>raw_data!G1021</f>
        <v>49.52</v>
      </c>
      <c r="E1021">
        <f>raw_data!H1021</f>
        <v>23.75</v>
      </c>
      <c r="F1021">
        <f>raw_data!I1021</f>
        <v>21.35</v>
      </c>
      <c r="G1021">
        <f>raw_data!J1021</f>
        <v>4.42</v>
      </c>
      <c r="H1021" t="str">
        <f t="shared" si="15"/>
        <v>Vacancy Intensity</v>
      </c>
    </row>
    <row r="1022" spans="1:8" x14ac:dyDescent="0.2">
      <c r="A1022" t="str">
        <f>raw_data!A1022</f>
        <v>2023Q4</v>
      </c>
      <c r="B1022" t="str">
        <f>raw_data!B1022</f>
        <v>Victoria</v>
      </c>
      <c r="C1022" t="str">
        <f>raw_data!C1022</f>
        <v>Construction</v>
      </c>
      <c r="D1022">
        <f>raw_data!G1022</f>
        <v>38.26</v>
      </c>
      <c r="E1022">
        <f>raw_data!H1022</f>
        <v>8.32</v>
      </c>
      <c r="F1022">
        <f>raw_data!I1022</f>
        <v>21.92</v>
      </c>
      <c r="G1022">
        <f>raw_data!J1022</f>
        <v>8.02</v>
      </c>
      <c r="H1022" t="str">
        <f t="shared" si="15"/>
        <v>Wage Pressure</v>
      </c>
    </row>
    <row r="1023" spans="1:8" x14ac:dyDescent="0.2">
      <c r="A1023" t="str">
        <f>raw_data!A1023</f>
        <v>2023Q4</v>
      </c>
      <c r="B1023" t="str">
        <f>raw_data!B1023</f>
        <v>Victoria</v>
      </c>
      <c r="C1023" t="str">
        <f>raw_data!C1023</f>
        <v>Education and Training</v>
      </c>
      <c r="D1023">
        <f>raw_data!G1023</f>
        <v>36.01</v>
      </c>
      <c r="E1023">
        <f>raw_data!H1023</f>
        <v>3.66</v>
      </c>
      <c r="F1023">
        <f>raw_data!I1023</f>
        <v>25.96</v>
      </c>
      <c r="G1023">
        <f>raw_data!J1023</f>
        <v>6.39</v>
      </c>
      <c r="H1023" t="str">
        <f t="shared" si="15"/>
        <v>Wage Pressure</v>
      </c>
    </row>
    <row r="1024" spans="1:8" x14ac:dyDescent="0.2">
      <c r="A1024" t="str">
        <f>raw_data!A1024</f>
        <v>2023Q4</v>
      </c>
      <c r="B1024" t="str">
        <f>raw_data!B1024</f>
        <v>Victoria</v>
      </c>
      <c r="C1024" t="str">
        <f>raw_data!C1024</f>
        <v>Health Care and Social Assistance</v>
      </c>
      <c r="D1024">
        <f>raw_data!G1024</f>
        <v>53.22</v>
      </c>
      <c r="E1024">
        <f>raw_data!H1024</f>
        <v>11.96</v>
      </c>
      <c r="F1024">
        <f>raw_data!I1024</f>
        <v>30</v>
      </c>
      <c r="G1024">
        <f>raw_data!J1024</f>
        <v>11.26</v>
      </c>
      <c r="H1024" t="str">
        <f t="shared" si="15"/>
        <v>Wage Pressure</v>
      </c>
    </row>
    <row r="1025" spans="1:8" x14ac:dyDescent="0.2">
      <c r="A1025" t="str">
        <f>raw_data!A1025</f>
        <v>2023Q4</v>
      </c>
      <c r="B1025" t="str">
        <f>raw_data!B1025</f>
        <v>Victoria</v>
      </c>
      <c r="C1025" t="str">
        <f>raw_data!C1025</f>
        <v>Manufacturing</v>
      </c>
      <c r="D1025">
        <f>raw_data!G1025</f>
        <v>39.14</v>
      </c>
      <c r="E1025">
        <f>raw_data!H1025</f>
        <v>9.3800000000000008</v>
      </c>
      <c r="F1025">
        <f>raw_data!I1025</f>
        <v>22.5</v>
      </c>
      <c r="G1025">
        <f>raw_data!J1025</f>
        <v>7.26</v>
      </c>
      <c r="H1025" t="str">
        <f t="shared" si="15"/>
        <v>Wage Pressure</v>
      </c>
    </row>
    <row r="1026" spans="1:8" x14ac:dyDescent="0.2">
      <c r="A1026" t="str">
        <f>raw_data!A1026</f>
        <v>2023Q4</v>
      </c>
      <c r="B1026" t="str">
        <f>raw_data!B1026</f>
        <v>Victoria</v>
      </c>
      <c r="C1026" t="str">
        <f>raw_data!C1026</f>
        <v>Professional, Scientific and Technical Services</v>
      </c>
      <c r="D1026">
        <f>raw_data!G1026</f>
        <v>41.69</v>
      </c>
      <c r="E1026">
        <f>raw_data!H1026</f>
        <v>11.95</v>
      </c>
      <c r="F1026">
        <f>raw_data!I1026</f>
        <v>20.190000000000001</v>
      </c>
      <c r="G1026">
        <f>raw_data!J1026</f>
        <v>9.5399999999999991</v>
      </c>
      <c r="H1026" t="str">
        <f t="shared" si="15"/>
        <v>Wage Pressure</v>
      </c>
    </row>
    <row r="1027" spans="1:8" x14ac:dyDescent="0.2">
      <c r="A1027" t="str">
        <f>raw_data!A1027</f>
        <v>2024Q1</v>
      </c>
      <c r="B1027" t="str">
        <f>raw_data!B1027</f>
        <v>New South Wales</v>
      </c>
      <c r="C1027" t="str">
        <f>raw_data!C1027</f>
        <v>Accommodation and Food Services</v>
      </c>
      <c r="D1027">
        <f>raw_data!G1027</f>
        <v>42.25</v>
      </c>
      <c r="E1027">
        <f>raw_data!H1027</f>
        <v>17.43</v>
      </c>
      <c r="F1027">
        <f>raw_data!I1027</f>
        <v>21.35</v>
      </c>
      <c r="G1027">
        <f>raw_data!J1027</f>
        <v>3.48</v>
      </c>
      <c r="H1027" t="str">
        <f t="shared" ref="H1027:H1090" si="16">IF(AND(E1027&gt;=F1027,E1027&gt;=G1027),"Vacancy Intensity",IF(F1027&gt;=G1027,"Wage Pressure","Labour Tightness"))</f>
        <v>Wage Pressure</v>
      </c>
    </row>
    <row r="1028" spans="1:8" x14ac:dyDescent="0.2">
      <c r="A1028" t="str">
        <f>raw_data!A1028</f>
        <v>2024Q1</v>
      </c>
      <c r="B1028" t="str">
        <f>raw_data!B1028</f>
        <v>New South Wales</v>
      </c>
      <c r="C1028" t="str">
        <f>raw_data!C1028</f>
        <v>Construction</v>
      </c>
      <c r="D1028">
        <f>raw_data!G1028</f>
        <v>32.450000000000003</v>
      </c>
      <c r="E1028">
        <f>raw_data!H1028</f>
        <v>6.97</v>
      </c>
      <c r="F1028">
        <f>raw_data!I1028</f>
        <v>22.5</v>
      </c>
      <c r="G1028">
        <f>raw_data!J1028</f>
        <v>2.98</v>
      </c>
      <c r="H1028" t="str">
        <f t="shared" si="16"/>
        <v>Wage Pressure</v>
      </c>
    </row>
    <row r="1029" spans="1:8" x14ac:dyDescent="0.2">
      <c r="A1029" t="str">
        <f>raw_data!A1029</f>
        <v>2024Q1</v>
      </c>
      <c r="B1029" t="str">
        <f>raw_data!B1029</f>
        <v>New South Wales</v>
      </c>
      <c r="C1029" t="str">
        <f>raw_data!C1029</f>
        <v>Education and Training</v>
      </c>
      <c r="D1029">
        <f>raw_data!G1029</f>
        <v>28.27</v>
      </c>
      <c r="E1029">
        <f>raw_data!H1029</f>
        <v>4.05</v>
      </c>
      <c r="F1029">
        <f>raw_data!I1029</f>
        <v>21.92</v>
      </c>
      <c r="G1029">
        <f>raw_data!J1029</f>
        <v>2.2999999999999998</v>
      </c>
      <c r="H1029" t="str">
        <f t="shared" si="16"/>
        <v>Wage Pressure</v>
      </c>
    </row>
    <row r="1030" spans="1:8" x14ac:dyDescent="0.2">
      <c r="A1030" t="str">
        <f>raw_data!A1030</f>
        <v>2024Q1</v>
      </c>
      <c r="B1030" t="str">
        <f>raw_data!B1030</f>
        <v>New South Wales</v>
      </c>
      <c r="C1030" t="str">
        <f>raw_data!C1030</f>
        <v>Health Care and Social Assistance</v>
      </c>
      <c r="D1030">
        <f>raw_data!G1030</f>
        <v>51.35</v>
      </c>
      <c r="E1030">
        <f>raw_data!H1030</f>
        <v>10.050000000000001</v>
      </c>
      <c r="F1030">
        <f>raw_data!I1030</f>
        <v>28.85</v>
      </c>
      <c r="G1030">
        <f>raw_data!J1030</f>
        <v>12.45</v>
      </c>
      <c r="H1030" t="str">
        <f t="shared" si="16"/>
        <v>Wage Pressure</v>
      </c>
    </row>
    <row r="1031" spans="1:8" x14ac:dyDescent="0.2">
      <c r="A1031" t="str">
        <f>raw_data!A1031</f>
        <v>2024Q1</v>
      </c>
      <c r="B1031" t="str">
        <f>raw_data!B1031</f>
        <v>New South Wales</v>
      </c>
      <c r="C1031" t="str">
        <f>raw_data!C1031</f>
        <v>Manufacturing</v>
      </c>
      <c r="D1031">
        <f>raw_data!G1031</f>
        <v>34.96</v>
      </c>
      <c r="E1031">
        <f>raw_data!H1031</f>
        <v>8.4600000000000009</v>
      </c>
      <c r="F1031">
        <f>raw_data!I1031</f>
        <v>21.35</v>
      </c>
      <c r="G1031">
        <f>raw_data!J1031</f>
        <v>5.15</v>
      </c>
      <c r="H1031" t="str">
        <f t="shared" si="16"/>
        <v>Wage Pressure</v>
      </c>
    </row>
    <row r="1032" spans="1:8" x14ac:dyDescent="0.2">
      <c r="A1032" t="str">
        <f>raw_data!A1032</f>
        <v>2024Q1</v>
      </c>
      <c r="B1032" t="str">
        <f>raw_data!B1032</f>
        <v>New South Wales</v>
      </c>
      <c r="C1032" t="str">
        <f>raw_data!C1032</f>
        <v>Professional, Scientific and Technical Services</v>
      </c>
      <c r="D1032">
        <f>raw_data!G1032</f>
        <v>31.05</v>
      </c>
      <c r="E1032">
        <f>raw_data!H1032</f>
        <v>7.69</v>
      </c>
      <c r="F1032">
        <f>raw_data!I1032</f>
        <v>19.04</v>
      </c>
      <c r="G1032">
        <f>raw_data!J1032</f>
        <v>4.32</v>
      </c>
      <c r="H1032" t="str">
        <f t="shared" si="16"/>
        <v>Wage Pressure</v>
      </c>
    </row>
    <row r="1033" spans="1:8" x14ac:dyDescent="0.2">
      <c r="A1033" t="str">
        <f>raw_data!A1033</f>
        <v>2024Q1</v>
      </c>
      <c r="B1033" t="str">
        <f>raw_data!B1033</f>
        <v>Queensland</v>
      </c>
      <c r="C1033" t="str">
        <f>raw_data!C1033</f>
        <v>Accommodation and Food Services</v>
      </c>
      <c r="D1033">
        <f>raw_data!G1033</f>
        <v>47.92</v>
      </c>
      <c r="E1033">
        <f>raw_data!H1033</f>
        <v>22.54</v>
      </c>
      <c r="F1033">
        <f>raw_data!I1033</f>
        <v>21.35</v>
      </c>
      <c r="G1033">
        <f>raw_data!J1033</f>
        <v>4.03</v>
      </c>
      <c r="H1033" t="str">
        <f t="shared" si="16"/>
        <v>Vacancy Intensity</v>
      </c>
    </row>
    <row r="1034" spans="1:8" x14ac:dyDescent="0.2">
      <c r="A1034" t="str">
        <f>raw_data!A1034</f>
        <v>2024Q1</v>
      </c>
      <c r="B1034" t="str">
        <f>raw_data!B1034</f>
        <v>Queensland</v>
      </c>
      <c r="C1034" t="str">
        <f>raw_data!C1034</f>
        <v>Construction</v>
      </c>
      <c r="D1034">
        <f>raw_data!G1034</f>
        <v>38.18</v>
      </c>
      <c r="E1034">
        <f>raw_data!H1034</f>
        <v>10.99</v>
      </c>
      <c r="F1034">
        <f>raw_data!I1034</f>
        <v>22.5</v>
      </c>
      <c r="G1034">
        <f>raw_data!J1034</f>
        <v>4.6900000000000004</v>
      </c>
      <c r="H1034" t="str">
        <f t="shared" si="16"/>
        <v>Wage Pressure</v>
      </c>
    </row>
    <row r="1035" spans="1:8" x14ac:dyDescent="0.2">
      <c r="A1035" t="str">
        <f>raw_data!A1035</f>
        <v>2024Q1</v>
      </c>
      <c r="B1035" t="str">
        <f>raw_data!B1035</f>
        <v>Queensland</v>
      </c>
      <c r="C1035" t="str">
        <f>raw_data!C1035</f>
        <v>Education and Training</v>
      </c>
      <c r="D1035">
        <f>raw_data!G1035</f>
        <v>33.270000000000003</v>
      </c>
      <c r="E1035">
        <f>raw_data!H1035</f>
        <v>6.57</v>
      </c>
      <c r="F1035">
        <f>raw_data!I1035</f>
        <v>21.92</v>
      </c>
      <c r="G1035">
        <f>raw_data!J1035</f>
        <v>4.78</v>
      </c>
      <c r="H1035" t="str">
        <f t="shared" si="16"/>
        <v>Wage Pressure</v>
      </c>
    </row>
    <row r="1036" spans="1:8" x14ac:dyDescent="0.2">
      <c r="A1036" t="str">
        <f>raw_data!A1036</f>
        <v>2024Q1</v>
      </c>
      <c r="B1036" t="str">
        <f>raw_data!B1036</f>
        <v>Queensland</v>
      </c>
      <c r="C1036" t="str">
        <f>raw_data!C1036</f>
        <v>Health Care and Social Assistance</v>
      </c>
      <c r="D1036">
        <f>raw_data!G1036</f>
        <v>54.69</v>
      </c>
      <c r="E1036">
        <f>raw_data!H1036</f>
        <v>15.76</v>
      </c>
      <c r="F1036">
        <f>raw_data!I1036</f>
        <v>28.85</v>
      </c>
      <c r="G1036">
        <f>raw_data!J1036</f>
        <v>10.08</v>
      </c>
      <c r="H1036" t="str">
        <f t="shared" si="16"/>
        <v>Wage Pressure</v>
      </c>
    </row>
    <row r="1037" spans="1:8" x14ac:dyDescent="0.2">
      <c r="A1037" t="str">
        <f>raw_data!A1037</f>
        <v>2024Q1</v>
      </c>
      <c r="B1037" t="str">
        <f>raw_data!B1037</f>
        <v>Queensland</v>
      </c>
      <c r="C1037" t="str">
        <f>raw_data!C1037</f>
        <v>Manufacturing</v>
      </c>
      <c r="D1037">
        <f>raw_data!G1037</f>
        <v>39.9</v>
      </c>
      <c r="E1037">
        <f>raw_data!H1037</f>
        <v>13.68</v>
      </c>
      <c r="F1037">
        <f>raw_data!I1037</f>
        <v>21.35</v>
      </c>
      <c r="G1037">
        <f>raw_data!J1037</f>
        <v>4.87</v>
      </c>
      <c r="H1037" t="str">
        <f t="shared" si="16"/>
        <v>Wage Pressure</v>
      </c>
    </row>
    <row r="1038" spans="1:8" x14ac:dyDescent="0.2">
      <c r="A1038" t="str">
        <f>raw_data!A1038</f>
        <v>2024Q1</v>
      </c>
      <c r="B1038" t="str">
        <f>raw_data!B1038</f>
        <v>Queensland</v>
      </c>
      <c r="C1038" t="str">
        <f>raw_data!C1038</f>
        <v>Professional, Scientific and Technical Services</v>
      </c>
      <c r="D1038">
        <f>raw_data!G1038</f>
        <v>41.28</v>
      </c>
      <c r="E1038">
        <f>raw_data!H1038</f>
        <v>14.73</v>
      </c>
      <c r="F1038">
        <f>raw_data!I1038</f>
        <v>19.04</v>
      </c>
      <c r="G1038">
        <f>raw_data!J1038</f>
        <v>7.52</v>
      </c>
      <c r="H1038" t="str">
        <f t="shared" si="16"/>
        <v>Wage Pressure</v>
      </c>
    </row>
    <row r="1039" spans="1:8" x14ac:dyDescent="0.2">
      <c r="A1039" t="str">
        <f>raw_data!A1039</f>
        <v>2024Q1</v>
      </c>
      <c r="B1039" t="str">
        <f>raw_data!B1039</f>
        <v>Victoria</v>
      </c>
      <c r="C1039" t="str">
        <f>raw_data!C1039</f>
        <v>Accommodation and Food Services</v>
      </c>
      <c r="D1039">
        <f>raw_data!G1039</f>
        <v>44.31</v>
      </c>
      <c r="E1039">
        <f>raw_data!H1039</f>
        <v>20.23</v>
      </c>
      <c r="F1039">
        <f>raw_data!I1039</f>
        <v>21.35</v>
      </c>
      <c r="G1039">
        <f>raw_data!J1039</f>
        <v>2.73</v>
      </c>
      <c r="H1039" t="str">
        <f t="shared" si="16"/>
        <v>Wage Pressure</v>
      </c>
    </row>
    <row r="1040" spans="1:8" x14ac:dyDescent="0.2">
      <c r="A1040" t="str">
        <f>raw_data!A1040</f>
        <v>2024Q1</v>
      </c>
      <c r="B1040" t="str">
        <f>raw_data!B1040</f>
        <v>Victoria</v>
      </c>
      <c r="C1040" t="str">
        <f>raw_data!C1040</f>
        <v>Construction</v>
      </c>
      <c r="D1040">
        <f>raw_data!G1040</f>
        <v>35.020000000000003</v>
      </c>
      <c r="E1040">
        <f>raw_data!H1040</f>
        <v>8.18</v>
      </c>
      <c r="F1040">
        <f>raw_data!I1040</f>
        <v>22.5</v>
      </c>
      <c r="G1040">
        <f>raw_data!J1040</f>
        <v>4.34</v>
      </c>
      <c r="H1040" t="str">
        <f t="shared" si="16"/>
        <v>Wage Pressure</v>
      </c>
    </row>
    <row r="1041" spans="1:8" x14ac:dyDescent="0.2">
      <c r="A1041" t="str">
        <f>raw_data!A1041</f>
        <v>2024Q1</v>
      </c>
      <c r="B1041" t="str">
        <f>raw_data!B1041</f>
        <v>Victoria</v>
      </c>
      <c r="C1041" t="str">
        <f>raw_data!C1041</f>
        <v>Education and Training</v>
      </c>
      <c r="D1041">
        <f>raw_data!G1041</f>
        <v>29.34</v>
      </c>
      <c r="E1041">
        <f>raw_data!H1041</f>
        <v>4.78</v>
      </c>
      <c r="F1041">
        <f>raw_data!I1041</f>
        <v>21.92</v>
      </c>
      <c r="G1041">
        <f>raw_data!J1041</f>
        <v>2.64</v>
      </c>
      <c r="H1041" t="str">
        <f t="shared" si="16"/>
        <v>Wage Pressure</v>
      </c>
    </row>
    <row r="1042" spans="1:8" x14ac:dyDescent="0.2">
      <c r="A1042" t="str">
        <f>raw_data!A1042</f>
        <v>2024Q1</v>
      </c>
      <c r="B1042" t="str">
        <f>raw_data!B1042</f>
        <v>Victoria</v>
      </c>
      <c r="C1042" t="str">
        <f>raw_data!C1042</f>
        <v>Health Care and Social Assistance</v>
      </c>
      <c r="D1042">
        <f>raw_data!G1042</f>
        <v>49.98</v>
      </c>
      <c r="E1042">
        <f>raw_data!H1042</f>
        <v>11.88</v>
      </c>
      <c r="F1042">
        <f>raw_data!I1042</f>
        <v>28.85</v>
      </c>
      <c r="G1042">
        <f>raw_data!J1042</f>
        <v>9.25</v>
      </c>
      <c r="H1042" t="str">
        <f t="shared" si="16"/>
        <v>Wage Pressure</v>
      </c>
    </row>
    <row r="1043" spans="1:8" x14ac:dyDescent="0.2">
      <c r="A1043" t="str">
        <f>raw_data!A1043</f>
        <v>2024Q1</v>
      </c>
      <c r="B1043" t="str">
        <f>raw_data!B1043</f>
        <v>Victoria</v>
      </c>
      <c r="C1043" t="str">
        <f>raw_data!C1043</f>
        <v>Manufacturing</v>
      </c>
      <c r="D1043">
        <f>raw_data!G1043</f>
        <v>33.369999999999997</v>
      </c>
      <c r="E1043">
        <f>raw_data!H1043</f>
        <v>9.24</v>
      </c>
      <c r="F1043">
        <f>raw_data!I1043</f>
        <v>21.35</v>
      </c>
      <c r="G1043">
        <f>raw_data!J1043</f>
        <v>2.78</v>
      </c>
      <c r="H1043" t="str">
        <f t="shared" si="16"/>
        <v>Wage Pressure</v>
      </c>
    </row>
    <row r="1044" spans="1:8" x14ac:dyDescent="0.2">
      <c r="A1044" t="str">
        <f>raw_data!A1044</f>
        <v>2024Q1</v>
      </c>
      <c r="B1044" t="str">
        <f>raw_data!B1044</f>
        <v>Victoria</v>
      </c>
      <c r="C1044" t="str">
        <f>raw_data!C1044</f>
        <v>Professional, Scientific and Technical Services</v>
      </c>
      <c r="D1044">
        <f>raw_data!G1044</f>
        <v>33.94</v>
      </c>
      <c r="E1044">
        <f>raw_data!H1044</f>
        <v>10.27</v>
      </c>
      <c r="F1044">
        <f>raw_data!I1044</f>
        <v>19.04</v>
      </c>
      <c r="G1044">
        <f>raw_data!J1044</f>
        <v>4.63</v>
      </c>
      <c r="H1044" t="str">
        <f t="shared" si="16"/>
        <v>Wage Pressure</v>
      </c>
    </row>
    <row r="1045" spans="1:8" x14ac:dyDescent="0.2">
      <c r="A1045" t="str">
        <f>raw_data!A1045</f>
        <v>2024Q2</v>
      </c>
      <c r="B1045" t="str">
        <f>raw_data!B1045</f>
        <v>New South Wales</v>
      </c>
      <c r="C1045" t="str">
        <f>raw_data!C1045</f>
        <v>Accommodation and Food Services</v>
      </c>
      <c r="D1045">
        <f>raw_data!G1045</f>
        <v>44.05</v>
      </c>
      <c r="E1045">
        <f>raw_data!H1045</f>
        <v>17.079999999999998</v>
      </c>
      <c r="F1045">
        <f>raw_data!I1045</f>
        <v>22.5</v>
      </c>
      <c r="G1045">
        <f>raw_data!J1045</f>
        <v>4.4800000000000004</v>
      </c>
      <c r="H1045" t="str">
        <f t="shared" si="16"/>
        <v>Wage Pressure</v>
      </c>
    </row>
    <row r="1046" spans="1:8" x14ac:dyDescent="0.2">
      <c r="A1046" t="str">
        <f>raw_data!A1046</f>
        <v>2024Q2</v>
      </c>
      <c r="B1046" t="str">
        <f>raw_data!B1046</f>
        <v>New South Wales</v>
      </c>
      <c r="C1046" t="str">
        <f>raw_data!C1046</f>
        <v>Construction</v>
      </c>
      <c r="D1046">
        <f>raw_data!G1046</f>
        <v>29.44</v>
      </c>
      <c r="E1046">
        <f>raw_data!H1046</f>
        <v>5.96</v>
      </c>
      <c r="F1046">
        <f>raw_data!I1046</f>
        <v>20.190000000000001</v>
      </c>
      <c r="G1046">
        <f>raw_data!J1046</f>
        <v>3.28</v>
      </c>
      <c r="H1046" t="str">
        <f t="shared" si="16"/>
        <v>Wage Pressure</v>
      </c>
    </row>
    <row r="1047" spans="1:8" x14ac:dyDescent="0.2">
      <c r="A1047" t="str">
        <f>raw_data!A1047</f>
        <v>2024Q2</v>
      </c>
      <c r="B1047" t="str">
        <f>raw_data!B1047</f>
        <v>New South Wales</v>
      </c>
      <c r="C1047" t="str">
        <f>raw_data!C1047</f>
        <v>Education and Training</v>
      </c>
      <c r="D1047">
        <f>raw_data!G1047</f>
        <v>30.39</v>
      </c>
      <c r="E1047">
        <f>raw_data!H1047</f>
        <v>2.8</v>
      </c>
      <c r="F1047">
        <f>raw_data!I1047</f>
        <v>23.08</v>
      </c>
      <c r="G1047">
        <f>raw_data!J1047</f>
        <v>4.5199999999999996</v>
      </c>
      <c r="H1047" t="str">
        <f t="shared" si="16"/>
        <v>Wage Pressure</v>
      </c>
    </row>
    <row r="1048" spans="1:8" x14ac:dyDescent="0.2">
      <c r="A1048" t="str">
        <f>raw_data!A1048</f>
        <v>2024Q2</v>
      </c>
      <c r="B1048" t="str">
        <f>raw_data!B1048</f>
        <v>New South Wales</v>
      </c>
      <c r="C1048" t="str">
        <f>raw_data!C1048</f>
        <v>Health Care and Social Assistance</v>
      </c>
      <c r="D1048">
        <f>raw_data!G1048</f>
        <v>45.81</v>
      </c>
      <c r="E1048">
        <f>raw_data!H1048</f>
        <v>9.23</v>
      </c>
      <c r="F1048">
        <f>raw_data!I1048</f>
        <v>27.12</v>
      </c>
      <c r="G1048">
        <f>raw_data!J1048</f>
        <v>9.4700000000000006</v>
      </c>
      <c r="H1048" t="str">
        <f t="shared" si="16"/>
        <v>Wage Pressure</v>
      </c>
    </row>
    <row r="1049" spans="1:8" x14ac:dyDescent="0.2">
      <c r="A1049" t="str">
        <f>raw_data!A1049</f>
        <v>2024Q2</v>
      </c>
      <c r="B1049" t="str">
        <f>raw_data!B1049</f>
        <v>New South Wales</v>
      </c>
      <c r="C1049" t="str">
        <f>raw_data!C1049</f>
        <v>Manufacturing</v>
      </c>
      <c r="D1049">
        <f>raw_data!G1049</f>
        <v>31.01</v>
      </c>
      <c r="E1049">
        <f>raw_data!H1049</f>
        <v>6.7</v>
      </c>
      <c r="F1049">
        <f>raw_data!I1049</f>
        <v>20.77</v>
      </c>
      <c r="G1049">
        <f>raw_data!J1049</f>
        <v>3.54</v>
      </c>
      <c r="H1049" t="str">
        <f t="shared" si="16"/>
        <v>Wage Pressure</v>
      </c>
    </row>
    <row r="1050" spans="1:8" x14ac:dyDescent="0.2">
      <c r="A1050" t="str">
        <f>raw_data!A1050</f>
        <v>2024Q2</v>
      </c>
      <c r="B1050" t="str">
        <f>raw_data!B1050</f>
        <v>New South Wales</v>
      </c>
      <c r="C1050" t="str">
        <f>raw_data!C1050</f>
        <v>Professional, Scientific and Technical Services</v>
      </c>
      <c r="D1050">
        <f>raw_data!G1050</f>
        <v>32.99</v>
      </c>
      <c r="E1050">
        <f>raw_data!H1050</f>
        <v>8.41</v>
      </c>
      <c r="F1050">
        <f>raw_data!I1050</f>
        <v>19.62</v>
      </c>
      <c r="G1050">
        <f>raw_data!J1050</f>
        <v>4.97</v>
      </c>
      <c r="H1050" t="str">
        <f t="shared" si="16"/>
        <v>Wage Pressure</v>
      </c>
    </row>
    <row r="1051" spans="1:8" x14ac:dyDescent="0.2">
      <c r="A1051" t="str">
        <f>raw_data!A1051</f>
        <v>2024Q2</v>
      </c>
      <c r="B1051" t="str">
        <f>raw_data!B1051</f>
        <v>Queensland</v>
      </c>
      <c r="C1051" t="str">
        <f>raw_data!C1051</f>
        <v>Accommodation and Food Services</v>
      </c>
      <c r="D1051">
        <f>raw_data!G1051</f>
        <v>50.58</v>
      </c>
      <c r="E1051">
        <f>raw_data!H1051</f>
        <v>23.45</v>
      </c>
      <c r="F1051">
        <f>raw_data!I1051</f>
        <v>22.5</v>
      </c>
      <c r="G1051">
        <f>raw_data!J1051</f>
        <v>4.62</v>
      </c>
      <c r="H1051" t="str">
        <f t="shared" si="16"/>
        <v>Vacancy Intensity</v>
      </c>
    </row>
    <row r="1052" spans="1:8" x14ac:dyDescent="0.2">
      <c r="A1052" t="str">
        <f>raw_data!A1052</f>
        <v>2024Q2</v>
      </c>
      <c r="B1052" t="str">
        <f>raw_data!B1052</f>
        <v>Queensland</v>
      </c>
      <c r="C1052" t="str">
        <f>raw_data!C1052</f>
        <v>Construction</v>
      </c>
      <c r="D1052">
        <f>raw_data!G1052</f>
        <v>36.200000000000003</v>
      </c>
      <c r="E1052">
        <f>raw_data!H1052</f>
        <v>9.57</v>
      </c>
      <c r="F1052">
        <f>raw_data!I1052</f>
        <v>20.190000000000001</v>
      </c>
      <c r="G1052">
        <f>raw_data!J1052</f>
        <v>6.44</v>
      </c>
      <c r="H1052" t="str">
        <f t="shared" si="16"/>
        <v>Wage Pressure</v>
      </c>
    </row>
    <row r="1053" spans="1:8" x14ac:dyDescent="0.2">
      <c r="A1053" t="str">
        <f>raw_data!A1053</f>
        <v>2024Q2</v>
      </c>
      <c r="B1053" t="str">
        <f>raw_data!B1053</f>
        <v>Queensland</v>
      </c>
      <c r="C1053" t="str">
        <f>raw_data!C1053</f>
        <v>Education and Training</v>
      </c>
      <c r="D1053">
        <f>raw_data!G1053</f>
        <v>33.75</v>
      </c>
      <c r="E1053">
        <f>raw_data!H1053</f>
        <v>4.84</v>
      </c>
      <c r="F1053">
        <f>raw_data!I1053</f>
        <v>23.08</v>
      </c>
      <c r="G1053">
        <f>raw_data!J1053</f>
        <v>5.83</v>
      </c>
      <c r="H1053" t="str">
        <f t="shared" si="16"/>
        <v>Wage Pressure</v>
      </c>
    </row>
    <row r="1054" spans="1:8" x14ac:dyDescent="0.2">
      <c r="A1054" t="str">
        <f>raw_data!A1054</f>
        <v>2024Q2</v>
      </c>
      <c r="B1054" t="str">
        <f>raw_data!B1054</f>
        <v>Queensland</v>
      </c>
      <c r="C1054" t="str">
        <f>raw_data!C1054</f>
        <v>Health Care and Social Assistance</v>
      </c>
      <c r="D1054">
        <f>raw_data!G1054</f>
        <v>52.99</v>
      </c>
      <c r="E1054">
        <f>raw_data!H1054</f>
        <v>14.18</v>
      </c>
      <c r="F1054">
        <f>raw_data!I1054</f>
        <v>27.12</v>
      </c>
      <c r="G1054">
        <f>raw_data!J1054</f>
        <v>11.7</v>
      </c>
      <c r="H1054" t="str">
        <f t="shared" si="16"/>
        <v>Wage Pressure</v>
      </c>
    </row>
    <row r="1055" spans="1:8" x14ac:dyDescent="0.2">
      <c r="A1055" t="str">
        <f>raw_data!A1055</f>
        <v>2024Q2</v>
      </c>
      <c r="B1055" t="str">
        <f>raw_data!B1055</f>
        <v>Queensland</v>
      </c>
      <c r="C1055" t="str">
        <f>raw_data!C1055</f>
        <v>Manufacturing</v>
      </c>
      <c r="D1055">
        <f>raw_data!G1055</f>
        <v>33.57</v>
      </c>
      <c r="E1055">
        <f>raw_data!H1055</f>
        <v>9.02</v>
      </c>
      <c r="F1055">
        <f>raw_data!I1055</f>
        <v>20.77</v>
      </c>
      <c r="G1055">
        <f>raw_data!J1055</f>
        <v>3.78</v>
      </c>
      <c r="H1055" t="str">
        <f t="shared" si="16"/>
        <v>Wage Pressure</v>
      </c>
    </row>
    <row r="1056" spans="1:8" x14ac:dyDescent="0.2">
      <c r="A1056" t="str">
        <f>raw_data!A1056</f>
        <v>2024Q2</v>
      </c>
      <c r="B1056" t="str">
        <f>raw_data!B1056</f>
        <v>Queensland</v>
      </c>
      <c r="C1056" t="str">
        <f>raw_data!C1056</f>
        <v>Professional, Scientific and Technical Services</v>
      </c>
      <c r="D1056">
        <f>raw_data!G1056</f>
        <v>55.69</v>
      </c>
      <c r="E1056">
        <f>raw_data!H1056</f>
        <v>20.18</v>
      </c>
      <c r="F1056">
        <f>raw_data!I1056</f>
        <v>19.62</v>
      </c>
      <c r="G1056">
        <f>raw_data!J1056</f>
        <v>15.9</v>
      </c>
      <c r="H1056" t="str">
        <f t="shared" si="16"/>
        <v>Vacancy Intensity</v>
      </c>
    </row>
    <row r="1057" spans="1:8" x14ac:dyDescent="0.2">
      <c r="A1057" t="str">
        <f>raw_data!A1057</f>
        <v>2024Q2</v>
      </c>
      <c r="B1057" t="str">
        <f>raw_data!B1057</f>
        <v>Victoria</v>
      </c>
      <c r="C1057" t="str">
        <f>raw_data!C1057</f>
        <v>Accommodation and Food Services</v>
      </c>
      <c r="D1057">
        <f>raw_data!G1057</f>
        <v>49.76</v>
      </c>
      <c r="E1057">
        <f>raw_data!H1057</f>
        <v>22.76</v>
      </c>
      <c r="F1057">
        <f>raw_data!I1057</f>
        <v>22.5</v>
      </c>
      <c r="G1057">
        <f>raw_data!J1057</f>
        <v>4.49</v>
      </c>
      <c r="H1057" t="str">
        <f t="shared" si="16"/>
        <v>Vacancy Intensity</v>
      </c>
    </row>
    <row r="1058" spans="1:8" x14ac:dyDescent="0.2">
      <c r="A1058" t="str">
        <f>raw_data!A1058</f>
        <v>2024Q2</v>
      </c>
      <c r="B1058" t="str">
        <f>raw_data!B1058</f>
        <v>Victoria</v>
      </c>
      <c r="C1058" t="str">
        <f>raw_data!C1058</f>
        <v>Construction</v>
      </c>
      <c r="D1058">
        <f>raw_data!G1058</f>
        <v>32.71</v>
      </c>
      <c r="E1058">
        <f>raw_data!H1058</f>
        <v>6.92</v>
      </c>
      <c r="F1058">
        <f>raw_data!I1058</f>
        <v>20.190000000000001</v>
      </c>
      <c r="G1058">
        <f>raw_data!J1058</f>
        <v>5.59</v>
      </c>
      <c r="H1058" t="str">
        <f t="shared" si="16"/>
        <v>Wage Pressure</v>
      </c>
    </row>
    <row r="1059" spans="1:8" x14ac:dyDescent="0.2">
      <c r="A1059" t="str">
        <f>raw_data!A1059</f>
        <v>2024Q2</v>
      </c>
      <c r="B1059" t="str">
        <f>raw_data!B1059</f>
        <v>Victoria</v>
      </c>
      <c r="C1059" t="str">
        <f>raw_data!C1059</f>
        <v>Education and Training</v>
      </c>
      <c r="D1059">
        <f>raw_data!G1059</f>
        <v>31.64</v>
      </c>
      <c r="E1059">
        <f>raw_data!H1059</f>
        <v>3.58</v>
      </c>
      <c r="F1059">
        <f>raw_data!I1059</f>
        <v>23.08</v>
      </c>
      <c r="G1059">
        <f>raw_data!J1059</f>
        <v>4.99</v>
      </c>
      <c r="H1059" t="str">
        <f t="shared" si="16"/>
        <v>Wage Pressure</v>
      </c>
    </row>
    <row r="1060" spans="1:8" x14ac:dyDescent="0.2">
      <c r="A1060" t="str">
        <f>raw_data!A1060</f>
        <v>2024Q2</v>
      </c>
      <c r="B1060" t="str">
        <f>raw_data!B1060</f>
        <v>Victoria</v>
      </c>
      <c r="C1060" t="str">
        <f>raw_data!C1060</f>
        <v>Health Care and Social Assistance</v>
      </c>
      <c r="D1060">
        <f>raw_data!G1060</f>
        <v>50.92</v>
      </c>
      <c r="E1060">
        <f>raw_data!H1060</f>
        <v>11.21</v>
      </c>
      <c r="F1060">
        <f>raw_data!I1060</f>
        <v>27.12</v>
      </c>
      <c r="G1060">
        <f>raw_data!J1060</f>
        <v>12.6</v>
      </c>
      <c r="H1060" t="str">
        <f t="shared" si="16"/>
        <v>Wage Pressure</v>
      </c>
    </row>
    <row r="1061" spans="1:8" x14ac:dyDescent="0.2">
      <c r="A1061" t="str">
        <f>raw_data!A1061</f>
        <v>2024Q2</v>
      </c>
      <c r="B1061" t="str">
        <f>raw_data!B1061</f>
        <v>Victoria</v>
      </c>
      <c r="C1061" t="str">
        <f>raw_data!C1061</f>
        <v>Manufacturing</v>
      </c>
      <c r="D1061">
        <f>raw_data!G1061</f>
        <v>28.54</v>
      </c>
      <c r="E1061">
        <f>raw_data!H1061</f>
        <v>5.71</v>
      </c>
      <c r="F1061">
        <f>raw_data!I1061</f>
        <v>20.77</v>
      </c>
      <c r="G1061">
        <f>raw_data!J1061</f>
        <v>2.06</v>
      </c>
      <c r="H1061" t="str">
        <f t="shared" si="16"/>
        <v>Wage Pressure</v>
      </c>
    </row>
    <row r="1062" spans="1:8" x14ac:dyDescent="0.2">
      <c r="A1062" t="str">
        <f>raw_data!A1062</f>
        <v>2024Q2</v>
      </c>
      <c r="B1062" t="str">
        <f>raw_data!B1062</f>
        <v>Victoria</v>
      </c>
      <c r="C1062" t="str">
        <f>raw_data!C1062</f>
        <v>Professional, Scientific and Technical Services</v>
      </c>
      <c r="D1062">
        <f>raw_data!G1062</f>
        <v>37.85</v>
      </c>
      <c r="E1062">
        <f>raw_data!H1062</f>
        <v>12.64</v>
      </c>
      <c r="F1062">
        <f>raw_data!I1062</f>
        <v>19.62</v>
      </c>
      <c r="G1062">
        <f>raw_data!J1062</f>
        <v>5.59</v>
      </c>
      <c r="H1062" t="str">
        <f t="shared" si="16"/>
        <v>Wage Pressure</v>
      </c>
    </row>
    <row r="1063" spans="1:8" x14ac:dyDescent="0.2">
      <c r="A1063" t="str">
        <f>raw_data!A1063</f>
        <v>2024Q3</v>
      </c>
      <c r="B1063" t="str">
        <f>raw_data!B1063</f>
        <v>New South Wales</v>
      </c>
      <c r="C1063" t="str">
        <f>raw_data!C1063</f>
        <v>Accommodation and Food Services</v>
      </c>
      <c r="D1063">
        <f>raw_data!G1063</f>
        <v>34.5</v>
      </c>
      <c r="E1063">
        <f>raw_data!H1063</f>
        <v>13.82</v>
      </c>
      <c r="F1063">
        <f>raw_data!I1063</f>
        <v>18.46</v>
      </c>
      <c r="G1063">
        <f>raw_data!J1063</f>
        <v>2.2200000000000002</v>
      </c>
      <c r="H1063" t="str">
        <f t="shared" si="16"/>
        <v>Wage Pressure</v>
      </c>
    </row>
    <row r="1064" spans="1:8" x14ac:dyDescent="0.2">
      <c r="A1064" t="str">
        <f>raw_data!A1064</f>
        <v>2024Q3</v>
      </c>
      <c r="B1064" t="str">
        <f>raw_data!B1064</f>
        <v>New South Wales</v>
      </c>
      <c r="C1064" t="str">
        <f>raw_data!C1064</f>
        <v>Construction</v>
      </c>
      <c r="D1064">
        <f>raw_data!G1064</f>
        <v>28.22</v>
      </c>
      <c r="E1064">
        <f>raw_data!H1064</f>
        <v>6.63</v>
      </c>
      <c r="F1064">
        <f>raw_data!I1064</f>
        <v>18.46</v>
      </c>
      <c r="G1064">
        <f>raw_data!J1064</f>
        <v>3.12</v>
      </c>
      <c r="H1064" t="str">
        <f t="shared" si="16"/>
        <v>Wage Pressure</v>
      </c>
    </row>
    <row r="1065" spans="1:8" x14ac:dyDescent="0.2">
      <c r="A1065" t="str">
        <f>raw_data!A1065</f>
        <v>2024Q3</v>
      </c>
      <c r="B1065" t="str">
        <f>raw_data!B1065</f>
        <v>New South Wales</v>
      </c>
      <c r="C1065" t="str">
        <f>raw_data!C1065</f>
        <v>Education and Training</v>
      </c>
      <c r="D1065">
        <f>raw_data!G1065</f>
        <v>28.88</v>
      </c>
      <c r="E1065">
        <f>raw_data!H1065</f>
        <v>2.6</v>
      </c>
      <c r="F1065">
        <f>raw_data!I1065</f>
        <v>23.65</v>
      </c>
      <c r="G1065">
        <f>raw_data!J1065</f>
        <v>2.62</v>
      </c>
      <c r="H1065" t="str">
        <f t="shared" si="16"/>
        <v>Wage Pressure</v>
      </c>
    </row>
    <row r="1066" spans="1:8" x14ac:dyDescent="0.2">
      <c r="A1066" t="str">
        <f>raw_data!A1066</f>
        <v>2024Q3</v>
      </c>
      <c r="B1066" t="str">
        <f>raw_data!B1066</f>
        <v>New South Wales</v>
      </c>
      <c r="C1066" t="str">
        <f>raw_data!C1066</f>
        <v>Health Care and Social Assistance</v>
      </c>
      <c r="D1066">
        <f>raw_data!G1066</f>
        <v>40.1</v>
      </c>
      <c r="E1066">
        <f>raw_data!H1066</f>
        <v>9.2200000000000006</v>
      </c>
      <c r="F1066">
        <f>raw_data!I1066</f>
        <v>19.04</v>
      </c>
      <c r="G1066">
        <f>raw_data!J1066</f>
        <v>11.84</v>
      </c>
      <c r="H1066" t="str">
        <f t="shared" si="16"/>
        <v>Wage Pressure</v>
      </c>
    </row>
    <row r="1067" spans="1:8" x14ac:dyDescent="0.2">
      <c r="A1067" t="str">
        <f>raw_data!A1067</f>
        <v>2024Q3</v>
      </c>
      <c r="B1067" t="str">
        <f>raw_data!B1067</f>
        <v>New South Wales</v>
      </c>
      <c r="C1067" t="str">
        <f>raw_data!C1067</f>
        <v>Manufacturing</v>
      </c>
      <c r="D1067">
        <f>raw_data!G1067</f>
        <v>31.34</v>
      </c>
      <c r="E1067">
        <f>raw_data!H1067</f>
        <v>6.52</v>
      </c>
      <c r="F1067">
        <f>raw_data!I1067</f>
        <v>20.190000000000001</v>
      </c>
      <c r="G1067">
        <f>raw_data!J1067</f>
        <v>4.63</v>
      </c>
      <c r="H1067" t="str">
        <f t="shared" si="16"/>
        <v>Wage Pressure</v>
      </c>
    </row>
    <row r="1068" spans="1:8" x14ac:dyDescent="0.2">
      <c r="A1068" t="str">
        <f>raw_data!A1068</f>
        <v>2024Q3</v>
      </c>
      <c r="B1068" t="str">
        <f>raw_data!B1068</f>
        <v>New South Wales</v>
      </c>
      <c r="C1068" t="str">
        <f>raw_data!C1068</f>
        <v>Professional, Scientific and Technical Services</v>
      </c>
      <c r="D1068">
        <f>raw_data!G1068</f>
        <v>29.57</v>
      </c>
      <c r="E1068">
        <f>raw_data!H1068</f>
        <v>8.94</v>
      </c>
      <c r="F1068">
        <f>raw_data!I1068</f>
        <v>15.58</v>
      </c>
      <c r="G1068">
        <f>raw_data!J1068</f>
        <v>5.05</v>
      </c>
      <c r="H1068" t="str">
        <f t="shared" si="16"/>
        <v>Wage Pressure</v>
      </c>
    </row>
    <row r="1069" spans="1:8" x14ac:dyDescent="0.2">
      <c r="A1069" t="str">
        <f>raw_data!A1069</f>
        <v>2024Q3</v>
      </c>
      <c r="B1069" t="str">
        <f>raw_data!B1069</f>
        <v>Queensland</v>
      </c>
      <c r="C1069" t="str">
        <f>raw_data!C1069</f>
        <v>Accommodation and Food Services</v>
      </c>
      <c r="D1069">
        <f>raw_data!G1069</f>
        <v>43.07</v>
      </c>
      <c r="E1069">
        <f>raw_data!H1069</f>
        <v>17.97</v>
      </c>
      <c r="F1069">
        <f>raw_data!I1069</f>
        <v>18.46</v>
      </c>
      <c r="G1069">
        <f>raw_data!J1069</f>
        <v>6.64</v>
      </c>
      <c r="H1069" t="str">
        <f t="shared" si="16"/>
        <v>Wage Pressure</v>
      </c>
    </row>
    <row r="1070" spans="1:8" x14ac:dyDescent="0.2">
      <c r="A1070" t="str">
        <f>raw_data!A1070</f>
        <v>2024Q3</v>
      </c>
      <c r="B1070" t="str">
        <f>raw_data!B1070</f>
        <v>Queensland</v>
      </c>
      <c r="C1070" t="str">
        <f>raw_data!C1070</f>
        <v>Construction</v>
      </c>
      <c r="D1070">
        <f>raw_data!G1070</f>
        <v>31.67</v>
      </c>
      <c r="E1070">
        <f>raw_data!H1070</f>
        <v>9.85</v>
      </c>
      <c r="F1070">
        <f>raw_data!I1070</f>
        <v>18.46</v>
      </c>
      <c r="G1070">
        <f>raw_data!J1070</f>
        <v>3.35</v>
      </c>
      <c r="H1070" t="str">
        <f t="shared" si="16"/>
        <v>Wage Pressure</v>
      </c>
    </row>
    <row r="1071" spans="1:8" x14ac:dyDescent="0.2">
      <c r="A1071" t="str">
        <f>raw_data!A1071</f>
        <v>2024Q3</v>
      </c>
      <c r="B1071" t="str">
        <f>raw_data!B1071</f>
        <v>Queensland</v>
      </c>
      <c r="C1071" t="str">
        <f>raw_data!C1071</f>
        <v>Education and Training</v>
      </c>
      <c r="D1071">
        <f>raw_data!G1071</f>
        <v>32.130000000000003</v>
      </c>
      <c r="E1071">
        <f>raw_data!H1071</f>
        <v>4.72</v>
      </c>
      <c r="F1071">
        <f>raw_data!I1071</f>
        <v>23.65</v>
      </c>
      <c r="G1071">
        <f>raw_data!J1071</f>
        <v>3.76</v>
      </c>
      <c r="H1071" t="str">
        <f t="shared" si="16"/>
        <v>Wage Pressure</v>
      </c>
    </row>
    <row r="1072" spans="1:8" x14ac:dyDescent="0.2">
      <c r="A1072" t="str">
        <f>raw_data!A1072</f>
        <v>2024Q3</v>
      </c>
      <c r="B1072" t="str">
        <f>raw_data!B1072</f>
        <v>Queensland</v>
      </c>
      <c r="C1072" t="str">
        <f>raw_data!C1072</f>
        <v>Health Care and Social Assistance</v>
      </c>
      <c r="D1072">
        <f>raw_data!G1072</f>
        <v>42.07</v>
      </c>
      <c r="E1072">
        <f>raw_data!H1072</f>
        <v>14.84</v>
      </c>
      <c r="F1072">
        <f>raw_data!I1072</f>
        <v>19.04</v>
      </c>
      <c r="G1072">
        <f>raw_data!J1072</f>
        <v>8.19</v>
      </c>
      <c r="H1072" t="str">
        <f t="shared" si="16"/>
        <v>Wage Pressure</v>
      </c>
    </row>
    <row r="1073" spans="1:8" x14ac:dyDescent="0.2">
      <c r="A1073" t="str">
        <f>raw_data!A1073</f>
        <v>2024Q3</v>
      </c>
      <c r="B1073" t="str">
        <f>raw_data!B1073</f>
        <v>Queensland</v>
      </c>
      <c r="C1073" t="str">
        <f>raw_data!C1073</f>
        <v>Manufacturing</v>
      </c>
      <c r="D1073">
        <f>raw_data!G1073</f>
        <v>32.43</v>
      </c>
      <c r="E1073">
        <f>raw_data!H1073</f>
        <v>8.52</v>
      </c>
      <c r="F1073">
        <f>raw_data!I1073</f>
        <v>20.190000000000001</v>
      </c>
      <c r="G1073">
        <f>raw_data!J1073</f>
        <v>3.71</v>
      </c>
      <c r="H1073" t="str">
        <f t="shared" si="16"/>
        <v>Wage Pressure</v>
      </c>
    </row>
    <row r="1074" spans="1:8" x14ac:dyDescent="0.2">
      <c r="A1074" t="str">
        <f>raw_data!A1074</f>
        <v>2024Q3</v>
      </c>
      <c r="B1074" t="str">
        <f>raw_data!B1074</f>
        <v>Queensland</v>
      </c>
      <c r="C1074" t="str">
        <f>raw_data!C1074</f>
        <v>Professional, Scientific and Technical Services</v>
      </c>
      <c r="D1074">
        <f>raw_data!G1074</f>
        <v>45.79</v>
      </c>
      <c r="E1074">
        <f>raw_data!H1074</f>
        <v>19.48</v>
      </c>
      <c r="F1074">
        <f>raw_data!I1074</f>
        <v>15.58</v>
      </c>
      <c r="G1074">
        <f>raw_data!J1074</f>
        <v>10.73</v>
      </c>
      <c r="H1074" t="str">
        <f t="shared" si="16"/>
        <v>Vacancy Intensity</v>
      </c>
    </row>
    <row r="1075" spans="1:8" x14ac:dyDescent="0.2">
      <c r="A1075" t="str">
        <f>raw_data!A1075</f>
        <v>2024Q3</v>
      </c>
      <c r="B1075" t="str">
        <f>raw_data!B1075</f>
        <v>Victoria</v>
      </c>
      <c r="C1075" t="str">
        <f>raw_data!C1075</f>
        <v>Accommodation and Food Services</v>
      </c>
      <c r="D1075">
        <f>raw_data!G1075</f>
        <v>40.18</v>
      </c>
      <c r="E1075">
        <f>raw_data!H1075</f>
        <v>19.079999999999998</v>
      </c>
      <c r="F1075">
        <f>raw_data!I1075</f>
        <v>18.46</v>
      </c>
      <c r="G1075">
        <f>raw_data!J1075</f>
        <v>2.63</v>
      </c>
      <c r="H1075" t="str">
        <f t="shared" si="16"/>
        <v>Vacancy Intensity</v>
      </c>
    </row>
    <row r="1076" spans="1:8" x14ac:dyDescent="0.2">
      <c r="A1076" t="str">
        <f>raw_data!A1076</f>
        <v>2024Q3</v>
      </c>
      <c r="B1076" t="str">
        <f>raw_data!B1076</f>
        <v>Victoria</v>
      </c>
      <c r="C1076" t="str">
        <f>raw_data!C1076</f>
        <v>Construction</v>
      </c>
      <c r="D1076">
        <f>raw_data!G1076</f>
        <v>30.31</v>
      </c>
      <c r="E1076">
        <f>raw_data!H1076</f>
        <v>7.35</v>
      </c>
      <c r="F1076">
        <f>raw_data!I1076</f>
        <v>18.46</v>
      </c>
      <c r="G1076">
        <f>raw_data!J1076</f>
        <v>4.5</v>
      </c>
      <c r="H1076" t="str">
        <f t="shared" si="16"/>
        <v>Wage Pressure</v>
      </c>
    </row>
    <row r="1077" spans="1:8" x14ac:dyDescent="0.2">
      <c r="A1077" t="str">
        <f>raw_data!A1077</f>
        <v>2024Q3</v>
      </c>
      <c r="B1077" t="str">
        <f>raw_data!B1077</f>
        <v>Victoria</v>
      </c>
      <c r="C1077" t="str">
        <f>raw_data!C1077</f>
        <v>Education and Training</v>
      </c>
      <c r="D1077">
        <f>raw_data!G1077</f>
        <v>29.96</v>
      </c>
      <c r="E1077">
        <f>raw_data!H1077</f>
        <v>3.23</v>
      </c>
      <c r="F1077">
        <f>raw_data!I1077</f>
        <v>23.65</v>
      </c>
      <c r="G1077">
        <f>raw_data!J1077</f>
        <v>3.08</v>
      </c>
      <c r="H1077" t="str">
        <f t="shared" si="16"/>
        <v>Wage Pressure</v>
      </c>
    </row>
    <row r="1078" spans="1:8" x14ac:dyDescent="0.2">
      <c r="A1078" t="str">
        <f>raw_data!A1078</f>
        <v>2024Q3</v>
      </c>
      <c r="B1078" t="str">
        <f>raw_data!B1078</f>
        <v>Victoria</v>
      </c>
      <c r="C1078" t="str">
        <f>raw_data!C1078</f>
        <v>Health Care and Social Assistance</v>
      </c>
      <c r="D1078">
        <f>raw_data!G1078</f>
        <v>36.36</v>
      </c>
      <c r="E1078">
        <f>raw_data!H1078</f>
        <v>10.76</v>
      </c>
      <c r="F1078">
        <f>raw_data!I1078</f>
        <v>19.04</v>
      </c>
      <c r="G1078">
        <f>raw_data!J1078</f>
        <v>6.56</v>
      </c>
      <c r="H1078" t="str">
        <f t="shared" si="16"/>
        <v>Wage Pressure</v>
      </c>
    </row>
    <row r="1079" spans="1:8" x14ac:dyDescent="0.2">
      <c r="A1079" t="str">
        <f>raw_data!A1079</f>
        <v>2024Q3</v>
      </c>
      <c r="B1079" t="str">
        <f>raw_data!B1079</f>
        <v>Victoria</v>
      </c>
      <c r="C1079" t="str">
        <f>raw_data!C1079</f>
        <v>Manufacturing</v>
      </c>
      <c r="D1079">
        <f>raw_data!G1079</f>
        <v>28.03</v>
      </c>
      <c r="E1079">
        <f>raw_data!H1079</f>
        <v>4.93</v>
      </c>
      <c r="F1079">
        <f>raw_data!I1079</f>
        <v>20.190000000000001</v>
      </c>
      <c r="G1079">
        <f>raw_data!J1079</f>
        <v>2.91</v>
      </c>
      <c r="H1079" t="str">
        <f t="shared" si="16"/>
        <v>Wage Pressure</v>
      </c>
    </row>
    <row r="1080" spans="1:8" x14ac:dyDescent="0.2">
      <c r="A1080" t="str">
        <f>raw_data!A1080</f>
        <v>2024Q3</v>
      </c>
      <c r="B1080" t="str">
        <f>raw_data!B1080</f>
        <v>Victoria</v>
      </c>
      <c r="C1080" t="str">
        <f>raw_data!C1080</f>
        <v>Professional, Scientific and Technical Services</v>
      </c>
      <c r="D1080">
        <f>raw_data!G1080</f>
        <v>34.29</v>
      </c>
      <c r="E1080">
        <f>raw_data!H1080</f>
        <v>11.33</v>
      </c>
      <c r="F1080">
        <f>raw_data!I1080</f>
        <v>15.58</v>
      </c>
      <c r="G1080">
        <f>raw_data!J1080</f>
        <v>7.38</v>
      </c>
      <c r="H1080" t="str">
        <f t="shared" si="16"/>
        <v>Wage Pressure</v>
      </c>
    </row>
    <row r="1081" spans="1:8" x14ac:dyDescent="0.2">
      <c r="A1081" t="str">
        <f>raw_data!A1081</f>
        <v>2024Q4</v>
      </c>
      <c r="B1081" t="str">
        <f>raw_data!B1081</f>
        <v>New South Wales</v>
      </c>
      <c r="C1081" t="str">
        <f>raw_data!C1081</f>
        <v>Accommodation and Food Services</v>
      </c>
      <c r="D1081">
        <f>raw_data!G1081</f>
        <v>37.840000000000003</v>
      </c>
      <c r="E1081">
        <f>raw_data!H1081</f>
        <v>16.3</v>
      </c>
      <c r="F1081">
        <f>raw_data!I1081</f>
        <v>17.309999999999999</v>
      </c>
      <c r="G1081">
        <f>raw_data!J1081</f>
        <v>4.2300000000000004</v>
      </c>
      <c r="H1081" t="str">
        <f t="shared" si="16"/>
        <v>Wage Pressure</v>
      </c>
    </row>
    <row r="1082" spans="1:8" x14ac:dyDescent="0.2">
      <c r="A1082" t="str">
        <f>raw_data!A1082</f>
        <v>2024Q4</v>
      </c>
      <c r="B1082" t="str">
        <f>raw_data!B1082</f>
        <v>New South Wales</v>
      </c>
      <c r="C1082" t="str">
        <f>raw_data!C1082</f>
        <v>Construction</v>
      </c>
      <c r="D1082">
        <f>raw_data!G1082</f>
        <v>28.01</v>
      </c>
      <c r="E1082">
        <f>raw_data!H1082</f>
        <v>5.3</v>
      </c>
      <c r="F1082">
        <f>raw_data!I1082</f>
        <v>17.88</v>
      </c>
      <c r="G1082">
        <f>raw_data!J1082</f>
        <v>4.82</v>
      </c>
      <c r="H1082" t="str">
        <f t="shared" si="16"/>
        <v>Wage Pressure</v>
      </c>
    </row>
    <row r="1083" spans="1:8" x14ac:dyDescent="0.2">
      <c r="A1083" t="str">
        <f>raw_data!A1083</f>
        <v>2024Q4</v>
      </c>
      <c r="B1083" t="str">
        <f>raw_data!B1083</f>
        <v>New South Wales</v>
      </c>
      <c r="C1083" t="str">
        <f>raw_data!C1083</f>
        <v>Education and Training</v>
      </c>
      <c r="D1083">
        <f>raw_data!G1083</f>
        <v>21.91</v>
      </c>
      <c r="E1083">
        <f>raw_data!H1083</f>
        <v>2.2200000000000002</v>
      </c>
      <c r="F1083">
        <f>raw_data!I1083</f>
        <v>17.309999999999999</v>
      </c>
      <c r="G1083">
        <f>raw_data!J1083</f>
        <v>2.38</v>
      </c>
      <c r="H1083" t="str">
        <f t="shared" si="16"/>
        <v>Wage Pressure</v>
      </c>
    </row>
    <row r="1084" spans="1:8" x14ac:dyDescent="0.2">
      <c r="A1084" t="str">
        <f>raw_data!A1084</f>
        <v>2024Q4</v>
      </c>
      <c r="B1084" t="str">
        <f>raw_data!B1084</f>
        <v>New South Wales</v>
      </c>
      <c r="C1084" t="str">
        <f>raw_data!C1084</f>
        <v>Health Care and Social Assistance</v>
      </c>
      <c r="D1084">
        <f>raw_data!G1084</f>
        <v>31.76</v>
      </c>
      <c r="E1084">
        <f>raw_data!H1084</f>
        <v>9.51</v>
      </c>
      <c r="F1084">
        <f>raw_data!I1084</f>
        <v>14.42</v>
      </c>
      <c r="G1084">
        <f>raw_data!J1084</f>
        <v>7.82</v>
      </c>
      <c r="H1084" t="str">
        <f t="shared" si="16"/>
        <v>Wage Pressure</v>
      </c>
    </row>
    <row r="1085" spans="1:8" x14ac:dyDescent="0.2">
      <c r="A1085" t="str">
        <f>raw_data!A1085</f>
        <v>2024Q4</v>
      </c>
      <c r="B1085" t="str">
        <f>raw_data!B1085</f>
        <v>New South Wales</v>
      </c>
      <c r="C1085" t="str">
        <f>raw_data!C1085</f>
        <v>Manufacturing</v>
      </c>
      <c r="D1085">
        <f>raw_data!G1085</f>
        <v>28.7</v>
      </c>
      <c r="E1085">
        <f>raw_data!H1085</f>
        <v>5.9</v>
      </c>
      <c r="F1085">
        <f>raw_data!I1085</f>
        <v>19.62</v>
      </c>
      <c r="G1085">
        <f>raw_data!J1085</f>
        <v>3.18</v>
      </c>
      <c r="H1085" t="str">
        <f t="shared" si="16"/>
        <v>Wage Pressure</v>
      </c>
    </row>
    <row r="1086" spans="1:8" x14ac:dyDescent="0.2">
      <c r="A1086" t="str">
        <f>raw_data!A1086</f>
        <v>2024Q4</v>
      </c>
      <c r="B1086" t="str">
        <f>raw_data!B1086</f>
        <v>New South Wales</v>
      </c>
      <c r="C1086" t="str">
        <f>raw_data!C1086</f>
        <v>Professional, Scientific and Technical Services</v>
      </c>
      <c r="D1086">
        <f>raw_data!G1086</f>
        <v>30.75</v>
      </c>
      <c r="E1086">
        <f>raw_data!H1086</f>
        <v>9.8699999999999992</v>
      </c>
      <c r="F1086">
        <f>raw_data!I1086</f>
        <v>14.42</v>
      </c>
      <c r="G1086">
        <f>raw_data!J1086</f>
        <v>6.46</v>
      </c>
      <c r="H1086" t="str">
        <f t="shared" si="16"/>
        <v>Wage Pressure</v>
      </c>
    </row>
    <row r="1087" spans="1:8" x14ac:dyDescent="0.2">
      <c r="A1087" t="str">
        <f>raw_data!A1087</f>
        <v>2024Q4</v>
      </c>
      <c r="B1087" t="str">
        <f>raw_data!B1087</f>
        <v>Queensland</v>
      </c>
      <c r="C1087" t="str">
        <f>raw_data!C1087</f>
        <v>Accommodation and Food Services</v>
      </c>
      <c r="D1087">
        <f>raw_data!G1087</f>
        <v>46.96</v>
      </c>
      <c r="E1087">
        <f>raw_data!H1087</f>
        <v>23.45</v>
      </c>
      <c r="F1087">
        <f>raw_data!I1087</f>
        <v>17.309999999999999</v>
      </c>
      <c r="G1087">
        <f>raw_data!J1087</f>
        <v>6.2</v>
      </c>
      <c r="H1087" t="str">
        <f t="shared" si="16"/>
        <v>Vacancy Intensity</v>
      </c>
    </row>
    <row r="1088" spans="1:8" x14ac:dyDescent="0.2">
      <c r="A1088" t="str">
        <f>raw_data!A1088</f>
        <v>2024Q4</v>
      </c>
      <c r="B1088" t="str">
        <f>raw_data!B1088</f>
        <v>Queensland</v>
      </c>
      <c r="C1088" t="str">
        <f>raw_data!C1088</f>
        <v>Construction</v>
      </c>
      <c r="D1088">
        <f>raw_data!G1088</f>
        <v>32.21</v>
      </c>
      <c r="E1088">
        <f>raw_data!H1088</f>
        <v>7.84</v>
      </c>
      <c r="F1088">
        <f>raw_data!I1088</f>
        <v>17.88</v>
      </c>
      <c r="G1088">
        <f>raw_data!J1088</f>
        <v>6.48</v>
      </c>
      <c r="H1088" t="str">
        <f t="shared" si="16"/>
        <v>Wage Pressure</v>
      </c>
    </row>
    <row r="1089" spans="1:8" x14ac:dyDescent="0.2">
      <c r="A1089" t="str">
        <f>raw_data!A1089</f>
        <v>2024Q4</v>
      </c>
      <c r="B1089" t="str">
        <f>raw_data!B1089</f>
        <v>Queensland</v>
      </c>
      <c r="C1089" t="str">
        <f>raw_data!C1089</f>
        <v>Education and Training</v>
      </c>
      <c r="D1089">
        <f>raw_data!G1089</f>
        <v>27.31</v>
      </c>
      <c r="E1089">
        <f>raw_data!H1089</f>
        <v>4.0599999999999996</v>
      </c>
      <c r="F1089">
        <f>raw_data!I1089</f>
        <v>17.309999999999999</v>
      </c>
      <c r="G1089">
        <f>raw_data!J1089</f>
        <v>5.95</v>
      </c>
      <c r="H1089" t="str">
        <f t="shared" si="16"/>
        <v>Wage Pressure</v>
      </c>
    </row>
    <row r="1090" spans="1:8" x14ac:dyDescent="0.2">
      <c r="A1090" t="str">
        <f>raw_data!A1090</f>
        <v>2024Q4</v>
      </c>
      <c r="B1090" t="str">
        <f>raw_data!B1090</f>
        <v>Queensland</v>
      </c>
      <c r="C1090" t="str">
        <f>raw_data!C1090</f>
        <v>Health Care and Social Assistance</v>
      </c>
      <c r="D1090">
        <f>raw_data!G1090</f>
        <v>39.03</v>
      </c>
      <c r="E1090">
        <f>raw_data!H1090</f>
        <v>13.89</v>
      </c>
      <c r="F1090">
        <f>raw_data!I1090</f>
        <v>14.42</v>
      </c>
      <c r="G1090">
        <f>raw_data!J1090</f>
        <v>10.71</v>
      </c>
      <c r="H1090" t="str">
        <f t="shared" si="16"/>
        <v>Wage Pressure</v>
      </c>
    </row>
    <row r="1091" spans="1:8" x14ac:dyDescent="0.2">
      <c r="A1091" t="str">
        <f>raw_data!A1091</f>
        <v>2024Q4</v>
      </c>
      <c r="B1091" t="str">
        <f>raw_data!B1091</f>
        <v>Queensland</v>
      </c>
      <c r="C1091" t="str">
        <f>raw_data!C1091</f>
        <v>Manufacturing</v>
      </c>
      <c r="D1091">
        <f>raw_data!G1091</f>
        <v>35.049999999999997</v>
      </c>
      <c r="E1091">
        <f>raw_data!H1091</f>
        <v>9.2100000000000009</v>
      </c>
      <c r="F1091">
        <f>raw_data!I1091</f>
        <v>19.62</v>
      </c>
      <c r="G1091">
        <f>raw_data!J1091</f>
        <v>6.22</v>
      </c>
      <c r="H1091" t="str">
        <f t="shared" ref="H1091:H1154" si="17">IF(AND(E1091&gt;=F1091,E1091&gt;=G1091),"Vacancy Intensity",IF(F1091&gt;=G1091,"Wage Pressure","Labour Tightness"))</f>
        <v>Wage Pressure</v>
      </c>
    </row>
    <row r="1092" spans="1:8" x14ac:dyDescent="0.2">
      <c r="A1092" t="str">
        <f>raw_data!A1092</f>
        <v>2024Q4</v>
      </c>
      <c r="B1092" t="str">
        <f>raw_data!B1092</f>
        <v>Queensland</v>
      </c>
      <c r="C1092" t="str">
        <f>raw_data!C1092</f>
        <v>Professional, Scientific and Technical Services</v>
      </c>
      <c r="D1092">
        <f>raw_data!G1092</f>
        <v>50.02</v>
      </c>
      <c r="E1092">
        <f>raw_data!H1092</f>
        <v>20.8</v>
      </c>
      <c r="F1092">
        <f>raw_data!I1092</f>
        <v>14.42</v>
      </c>
      <c r="G1092">
        <f>raw_data!J1092</f>
        <v>14.8</v>
      </c>
      <c r="H1092" t="str">
        <f t="shared" si="17"/>
        <v>Vacancy Intensity</v>
      </c>
    </row>
    <row r="1093" spans="1:8" x14ac:dyDescent="0.2">
      <c r="A1093" t="str">
        <f>raw_data!A1093</f>
        <v>2024Q4</v>
      </c>
      <c r="B1093" t="str">
        <f>raw_data!B1093</f>
        <v>Victoria</v>
      </c>
      <c r="C1093" t="str">
        <f>raw_data!C1093</f>
        <v>Accommodation and Food Services</v>
      </c>
      <c r="D1093">
        <f>raw_data!G1093</f>
        <v>41.84</v>
      </c>
      <c r="E1093">
        <f>raw_data!H1093</f>
        <v>20.48</v>
      </c>
      <c r="F1093">
        <f>raw_data!I1093</f>
        <v>17.309999999999999</v>
      </c>
      <c r="G1093">
        <f>raw_data!J1093</f>
        <v>4.05</v>
      </c>
      <c r="H1093" t="str">
        <f t="shared" si="17"/>
        <v>Vacancy Intensity</v>
      </c>
    </row>
    <row r="1094" spans="1:8" x14ac:dyDescent="0.2">
      <c r="A1094" t="str">
        <f>raw_data!A1094</f>
        <v>2024Q4</v>
      </c>
      <c r="B1094" t="str">
        <f>raw_data!B1094</f>
        <v>Victoria</v>
      </c>
      <c r="C1094" t="str">
        <f>raw_data!C1094</f>
        <v>Construction</v>
      </c>
      <c r="D1094">
        <f>raw_data!G1094</f>
        <v>28.16</v>
      </c>
      <c r="E1094">
        <f>raw_data!H1094</f>
        <v>6.44</v>
      </c>
      <c r="F1094">
        <f>raw_data!I1094</f>
        <v>17.88</v>
      </c>
      <c r="G1094">
        <f>raw_data!J1094</f>
        <v>3.84</v>
      </c>
      <c r="H1094" t="str">
        <f t="shared" si="17"/>
        <v>Wage Pressure</v>
      </c>
    </row>
    <row r="1095" spans="1:8" x14ac:dyDescent="0.2">
      <c r="A1095" t="str">
        <f>raw_data!A1095</f>
        <v>2024Q4</v>
      </c>
      <c r="B1095" t="str">
        <f>raw_data!B1095</f>
        <v>Victoria</v>
      </c>
      <c r="C1095" t="str">
        <f>raw_data!C1095</f>
        <v>Education and Training</v>
      </c>
      <c r="D1095">
        <f>raw_data!G1095</f>
        <v>25.71</v>
      </c>
      <c r="E1095">
        <f>raw_data!H1095</f>
        <v>2.62</v>
      </c>
      <c r="F1095">
        <f>raw_data!I1095</f>
        <v>17.309999999999999</v>
      </c>
      <c r="G1095">
        <f>raw_data!J1095</f>
        <v>5.78</v>
      </c>
      <c r="H1095" t="str">
        <f t="shared" si="17"/>
        <v>Wage Pressure</v>
      </c>
    </row>
    <row r="1096" spans="1:8" x14ac:dyDescent="0.2">
      <c r="A1096" t="str">
        <f>raw_data!A1096</f>
        <v>2024Q4</v>
      </c>
      <c r="B1096" t="str">
        <f>raw_data!B1096</f>
        <v>Victoria</v>
      </c>
      <c r="C1096" t="str">
        <f>raw_data!C1096</f>
        <v>Health Care and Social Assistance</v>
      </c>
      <c r="D1096">
        <f>raw_data!G1096</f>
        <v>35.79</v>
      </c>
      <c r="E1096">
        <f>raw_data!H1096</f>
        <v>11.35</v>
      </c>
      <c r="F1096">
        <f>raw_data!I1096</f>
        <v>14.42</v>
      </c>
      <c r="G1096">
        <f>raw_data!J1096</f>
        <v>10.02</v>
      </c>
      <c r="H1096" t="str">
        <f t="shared" si="17"/>
        <v>Wage Pressure</v>
      </c>
    </row>
    <row r="1097" spans="1:8" x14ac:dyDescent="0.2">
      <c r="A1097" t="str">
        <f>raw_data!A1097</f>
        <v>2024Q4</v>
      </c>
      <c r="B1097" t="str">
        <f>raw_data!B1097</f>
        <v>Victoria</v>
      </c>
      <c r="C1097" t="str">
        <f>raw_data!C1097</f>
        <v>Manufacturing</v>
      </c>
      <c r="D1097">
        <f>raw_data!G1097</f>
        <v>27.61</v>
      </c>
      <c r="E1097">
        <f>raw_data!H1097</f>
        <v>5.03</v>
      </c>
      <c r="F1097">
        <f>raw_data!I1097</f>
        <v>19.62</v>
      </c>
      <c r="G1097">
        <f>raw_data!J1097</f>
        <v>2.97</v>
      </c>
      <c r="H1097" t="str">
        <f t="shared" si="17"/>
        <v>Wage Pressure</v>
      </c>
    </row>
    <row r="1098" spans="1:8" x14ac:dyDescent="0.2">
      <c r="A1098" t="str">
        <f>raw_data!A1098</f>
        <v>2024Q4</v>
      </c>
      <c r="B1098" t="str">
        <f>raw_data!B1098</f>
        <v>Victoria</v>
      </c>
      <c r="C1098" t="str">
        <f>raw_data!C1098</f>
        <v>Professional, Scientific and Technical Services</v>
      </c>
      <c r="D1098">
        <f>raw_data!G1098</f>
        <v>32.14</v>
      </c>
      <c r="E1098">
        <f>raw_data!H1098</f>
        <v>11.29</v>
      </c>
      <c r="F1098">
        <f>raw_data!I1098</f>
        <v>14.42</v>
      </c>
      <c r="G1098">
        <f>raw_data!J1098</f>
        <v>6.43</v>
      </c>
      <c r="H1098" t="str">
        <f t="shared" si="17"/>
        <v>Wage Pressure</v>
      </c>
    </row>
    <row r="1099" spans="1:8" x14ac:dyDescent="0.2">
      <c r="A1099" t="str">
        <f>raw_data!A1099</f>
        <v>2025Q1</v>
      </c>
      <c r="B1099" t="str">
        <f>raw_data!B1099</f>
        <v>New South Wales</v>
      </c>
      <c r="C1099" t="str">
        <f>raw_data!C1099</f>
        <v>Accommodation and Food Services</v>
      </c>
      <c r="D1099">
        <f>raw_data!G1099</f>
        <v>36.5</v>
      </c>
      <c r="E1099">
        <f>raw_data!H1099</f>
        <v>15.97</v>
      </c>
      <c r="F1099">
        <f>raw_data!I1099</f>
        <v>17.309999999999999</v>
      </c>
      <c r="G1099">
        <f>raw_data!J1099</f>
        <v>3.23</v>
      </c>
      <c r="H1099" t="str">
        <f t="shared" si="17"/>
        <v>Wage Pressure</v>
      </c>
    </row>
    <row r="1100" spans="1:8" x14ac:dyDescent="0.2">
      <c r="A1100" t="str">
        <f>raw_data!A1100</f>
        <v>2025Q1</v>
      </c>
      <c r="B1100" t="str">
        <f>raw_data!B1100</f>
        <v>New South Wales</v>
      </c>
      <c r="C1100" t="str">
        <f>raw_data!C1100</f>
        <v>Construction</v>
      </c>
      <c r="D1100">
        <f>raw_data!G1100</f>
        <v>25.16</v>
      </c>
      <c r="E1100">
        <f>raw_data!H1100</f>
        <v>3.84</v>
      </c>
      <c r="F1100">
        <f>raw_data!I1100</f>
        <v>18.46</v>
      </c>
      <c r="G1100">
        <f>raw_data!J1100</f>
        <v>2.86</v>
      </c>
      <c r="H1100" t="str">
        <f t="shared" si="17"/>
        <v>Wage Pressure</v>
      </c>
    </row>
    <row r="1101" spans="1:8" x14ac:dyDescent="0.2">
      <c r="A1101" t="str">
        <f>raw_data!A1101</f>
        <v>2025Q1</v>
      </c>
      <c r="B1101" t="str">
        <f>raw_data!B1101</f>
        <v>New South Wales</v>
      </c>
      <c r="C1101" t="str">
        <f>raw_data!C1101</f>
        <v>Education and Training</v>
      </c>
      <c r="D1101">
        <f>raw_data!G1101</f>
        <v>24.84</v>
      </c>
      <c r="E1101">
        <f>raw_data!H1101</f>
        <v>2.62</v>
      </c>
      <c r="F1101">
        <f>raw_data!I1101</f>
        <v>20.190000000000001</v>
      </c>
      <c r="G1101">
        <f>raw_data!J1101</f>
        <v>2.0299999999999998</v>
      </c>
      <c r="H1101" t="str">
        <f t="shared" si="17"/>
        <v>Wage Pressure</v>
      </c>
    </row>
    <row r="1102" spans="1:8" x14ac:dyDescent="0.2">
      <c r="A1102" t="str">
        <f>raw_data!A1102</f>
        <v>2025Q1</v>
      </c>
      <c r="B1102" t="str">
        <f>raw_data!B1102</f>
        <v>New South Wales</v>
      </c>
      <c r="C1102" t="str">
        <f>raw_data!C1102</f>
        <v>Health Care and Social Assistance</v>
      </c>
      <c r="D1102">
        <f>raw_data!G1102</f>
        <v>36.15</v>
      </c>
      <c r="E1102">
        <f>raw_data!H1102</f>
        <v>8.5500000000000007</v>
      </c>
      <c r="F1102">
        <f>raw_data!I1102</f>
        <v>20.190000000000001</v>
      </c>
      <c r="G1102">
        <f>raw_data!J1102</f>
        <v>7.4</v>
      </c>
      <c r="H1102" t="str">
        <f t="shared" si="17"/>
        <v>Wage Pressure</v>
      </c>
    </row>
    <row r="1103" spans="1:8" x14ac:dyDescent="0.2">
      <c r="A1103" t="str">
        <f>raw_data!A1103</f>
        <v>2025Q1</v>
      </c>
      <c r="B1103" t="str">
        <f>raw_data!B1103</f>
        <v>New South Wales</v>
      </c>
      <c r="C1103" t="str">
        <f>raw_data!C1103</f>
        <v>Manufacturing</v>
      </c>
      <c r="D1103">
        <f>raw_data!G1103</f>
        <v>28.49</v>
      </c>
      <c r="E1103">
        <f>raw_data!H1103</f>
        <v>7.25</v>
      </c>
      <c r="F1103">
        <f>raw_data!I1103</f>
        <v>18.46</v>
      </c>
      <c r="G1103">
        <f>raw_data!J1103</f>
        <v>2.78</v>
      </c>
      <c r="H1103" t="str">
        <f t="shared" si="17"/>
        <v>Wage Pressure</v>
      </c>
    </row>
    <row r="1104" spans="1:8" x14ac:dyDescent="0.2">
      <c r="A1104" t="str">
        <f>raw_data!A1104</f>
        <v>2025Q1</v>
      </c>
      <c r="B1104" t="str">
        <f>raw_data!B1104</f>
        <v>New South Wales</v>
      </c>
      <c r="C1104" t="str">
        <f>raw_data!C1104</f>
        <v>Professional, Scientific and Technical Services</v>
      </c>
      <c r="D1104">
        <f>raw_data!G1104</f>
        <v>26.73</v>
      </c>
      <c r="E1104">
        <f>raw_data!H1104</f>
        <v>8.59</v>
      </c>
      <c r="F1104">
        <f>raw_data!I1104</f>
        <v>15</v>
      </c>
      <c r="G1104">
        <f>raw_data!J1104</f>
        <v>3.14</v>
      </c>
      <c r="H1104" t="str">
        <f t="shared" si="17"/>
        <v>Wage Pressure</v>
      </c>
    </row>
    <row r="1105" spans="1:8" x14ac:dyDescent="0.2">
      <c r="A1105" t="str">
        <f>raw_data!A1105</f>
        <v>2025Q1</v>
      </c>
      <c r="B1105" t="str">
        <f>raw_data!B1105</f>
        <v>Queensland</v>
      </c>
      <c r="C1105" t="str">
        <f>raw_data!C1105</f>
        <v>Accommodation and Food Services</v>
      </c>
      <c r="D1105">
        <f>raw_data!G1105</f>
        <v>46.8</v>
      </c>
      <c r="E1105">
        <f>raw_data!H1105</f>
        <v>23.43</v>
      </c>
      <c r="F1105">
        <f>raw_data!I1105</f>
        <v>17.309999999999999</v>
      </c>
      <c r="G1105">
        <f>raw_data!J1105</f>
        <v>6.07</v>
      </c>
      <c r="H1105" t="str">
        <f t="shared" si="17"/>
        <v>Vacancy Intensity</v>
      </c>
    </row>
    <row r="1106" spans="1:8" x14ac:dyDescent="0.2">
      <c r="A1106" t="str">
        <f>raw_data!A1106</f>
        <v>2025Q1</v>
      </c>
      <c r="B1106" t="str">
        <f>raw_data!B1106</f>
        <v>Queensland</v>
      </c>
      <c r="C1106" t="str">
        <f>raw_data!C1106</f>
        <v>Construction</v>
      </c>
      <c r="D1106">
        <f>raw_data!G1106</f>
        <v>28.2</v>
      </c>
      <c r="E1106">
        <f>raw_data!H1106</f>
        <v>6.43</v>
      </c>
      <c r="F1106">
        <f>raw_data!I1106</f>
        <v>18.46</v>
      </c>
      <c r="G1106">
        <f>raw_data!J1106</f>
        <v>3.3</v>
      </c>
      <c r="H1106" t="str">
        <f t="shared" si="17"/>
        <v>Wage Pressure</v>
      </c>
    </row>
    <row r="1107" spans="1:8" x14ac:dyDescent="0.2">
      <c r="A1107" t="str">
        <f>raw_data!A1107</f>
        <v>2025Q1</v>
      </c>
      <c r="B1107" t="str">
        <f>raw_data!B1107</f>
        <v>Queensland</v>
      </c>
      <c r="C1107" t="str">
        <f>raw_data!C1107</f>
        <v>Education and Training</v>
      </c>
      <c r="D1107">
        <f>raw_data!G1107</f>
        <v>27.65</v>
      </c>
      <c r="E1107">
        <f>raw_data!H1107</f>
        <v>4.82</v>
      </c>
      <c r="F1107">
        <f>raw_data!I1107</f>
        <v>20.190000000000001</v>
      </c>
      <c r="G1107">
        <f>raw_data!J1107</f>
        <v>2.64</v>
      </c>
      <c r="H1107" t="str">
        <f t="shared" si="17"/>
        <v>Wage Pressure</v>
      </c>
    </row>
    <row r="1108" spans="1:8" x14ac:dyDescent="0.2">
      <c r="A1108" t="str">
        <f>raw_data!A1108</f>
        <v>2025Q1</v>
      </c>
      <c r="B1108" t="str">
        <f>raw_data!B1108</f>
        <v>Queensland</v>
      </c>
      <c r="C1108" t="str">
        <f>raw_data!C1108</f>
        <v>Health Care and Social Assistance</v>
      </c>
      <c r="D1108">
        <f>raw_data!G1108</f>
        <v>45.73</v>
      </c>
      <c r="E1108">
        <f>raw_data!H1108</f>
        <v>12.58</v>
      </c>
      <c r="F1108">
        <f>raw_data!I1108</f>
        <v>20.190000000000001</v>
      </c>
      <c r="G1108">
        <f>raw_data!J1108</f>
        <v>12.96</v>
      </c>
      <c r="H1108" t="str">
        <f t="shared" si="17"/>
        <v>Wage Pressure</v>
      </c>
    </row>
    <row r="1109" spans="1:8" x14ac:dyDescent="0.2">
      <c r="A1109" t="str">
        <f>raw_data!A1109</f>
        <v>2025Q1</v>
      </c>
      <c r="B1109" t="str">
        <f>raw_data!B1109</f>
        <v>Queensland</v>
      </c>
      <c r="C1109" t="str">
        <f>raw_data!C1109</f>
        <v>Manufacturing</v>
      </c>
      <c r="D1109">
        <f>raw_data!G1109</f>
        <v>33.64</v>
      </c>
      <c r="E1109">
        <f>raw_data!H1109</f>
        <v>11.26</v>
      </c>
      <c r="F1109">
        <f>raw_data!I1109</f>
        <v>18.46</v>
      </c>
      <c r="G1109">
        <f>raw_data!J1109</f>
        <v>3.91</v>
      </c>
      <c r="H1109" t="str">
        <f t="shared" si="17"/>
        <v>Wage Pressure</v>
      </c>
    </row>
    <row r="1110" spans="1:8" x14ac:dyDescent="0.2">
      <c r="A1110" t="str">
        <f>raw_data!A1110</f>
        <v>2025Q1</v>
      </c>
      <c r="B1110" t="str">
        <f>raw_data!B1110</f>
        <v>Queensland</v>
      </c>
      <c r="C1110" t="str">
        <f>raw_data!C1110</f>
        <v>Professional, Scientific and Technical Services</v>
      </c>
      <c r="D1110">
        <f>raw_data!G1110</f>
        <v>37.32</v>
      </c>
      <c r="E1110">
        <f>raw_data!H1110</f>
        <v>16.45</v>
      </c>
      <c r="F1110">
        <f>raw_data!I1110</f>
        <v>15</v>
      </c>
      <c r="G1110">
        <f>raw_data!J1110</f>
        <v>5.87</v>
      </c>
      <c r="H1110" t="str">
        <f t="shared" si="17"/>
        <v>Vacancy Intensity</v>
      </c>
    </row>
    <row r="1111" spans="1:8" x14ac:dyDescent="0.2">
      <c r="A1111" t="str">
        <f>raw_data!A1111</f>
        <v>2025Q1</v>
      </c>
      <c r="B1111" t="str">
        <f>raw_data!B1111</f>
        <v>Victoria</v>
      </c>
      <c r="C1111" t="str">
        <f>raw_data!C1111</f>
        <v>Accommodation and Food Services</v>
      </c>
      <c r="D1111">
        <f>raw_data!G1111</f>
        <v>41.91</v>
      </c>
      <c r="E1111">
        <f>raw_data!H1111</f>
        <v>21.81</v>
      </c>
      <c r="F1111">
        <f>raw_data!I1111</f>
        <v>17.309999999999999</v>
      </c>
      <c r="G1111">
        <f>raw_data!J1111</f>
        <v>2.8</v>
      </c>
      <c r="H1111" t="str">
        <f t="shared" si="17"/>
        <v>Vacancy Intensity</v>
      </c>
    </row>
    <row r="1112" spans="1:8" x14ac:dyDescent="0.2">
      <c r="A1112" t="str">
        <f>raw_data!A1112</f>
        <v>2025Q1</v>
      </c>
      <c r="B1112" t="str">
        <f>raw_data!B1112</f>
        <v>Victoria</v>
      </c>
      <c r="C1112" t="str">
        <f>raw_data!C1112</f>
        <v>Construction</v>
      </c>
      <c r="D1112">
        <f>raw_data!G1112</f>
        <v>26.35</v>
      </c>
      <c r="E1112">
        <f>raw_data!H1112</f>
        <v>5.07</v>
      </c>
      <c r="F1112">
        <f>raw_data!I1112</f>
        <v>18.46</v>
      </c>
      <c r="G1112">
        <f>raw_data!J1112</f>
        <v>2.81</v>
      </c>
      <c r="H1112" t="str">
        <f t="shared" si="17"/>
        <v>Wage Pressure</v>
      </c>
    </row>
    <row r="1113" spans="1:8" x14ac:dyDescent="0.2">
      <c r="A1113" t="str">
        <f>raw_data!A1113</f>
        <v>2025Q1</v>
      </c>
      <c r="B1113" t="str">
        <f>raw_data!B1113</f>
        <v>Victoria</v>
      </c>
      <c r="C1113" t="str">
        <f>raw_data!C1113</f>
        <v>Education and Training</v>
      </c>
      <c r="D1113">
        <f>raw_data!G1113</f>
        <v>25.78</v>
      </c>
      <c r="E1113">
        <f>raw_data!H1113</f>
        <v>3.01</v>
      </c>
      <c r="F1113">
        <f>raw_data!I1113</f>
        <v>20.190000000000001</v>
      </c>
      <c r="G1113">
        <f>raw_data!J1113</f>
        <v>2.58</v>
      </c>
      <c r="H1113" t="str">
        <f t="shared" si="17"/>
        <v>Wage Pressure</v>
      </c>
    </row>
    <row r="1114" spans="1:8" x14ac:dyDescent="0.2">
      <c r="A1114" t="str">
        <f>raw_data!A1114</f>
        <v>2025Q1</v>
      </c>
      <c r="B1114" t="str">
        <f>raw_data!B1114</f>
        <v>Victoria</v>
      </c>
      <c r="C1114" t="str">
        <f>raw_data!C1114</f>
        <v>Health Care and Social Assistance</v>
      </c>
      <c r="D1114">
        <f>raw_data!G1114</f>
        <v>36.08</v>
      </c>
      <c r="E1114">
        <f>raw_data!H1114</f>
        <v>10.19</v>
      </c>
      <c r="F1114">
        <f>raw_data!I1114</f>
        <v>20.190000000000001</v>
      </c>
      <c r="G1114">
        <f>raw_data!J1114</f>
        <v>5.69</v>
      </c>
      <c r="H1114" t="str">
        <f t="shared" si="17"/>
        <v>Wage Pressure</v>
      </c>
    </row>
    <row r="1115" spans="1:8" x14ac:dyDescent="0.2">
      <c r="A1115" t="str">
        <f>raw_data!A1115</f>
        <v>2025Q1</v>
      </c>
      <c r="B1115" t="str">
        <f>raw_data!B1115</f>
        <v>Victoria</v>
      </c>
      <c r="C1115" t="str">
        <f>raw_data!C1115</f>
        <v>Manufacturing</v>
      </c>
      <c r="D1115">
        <f>raw_data!G1115</f>
        <v>27.98</v>
      </c>
      <c r="E1115">
        <f>raw_data!H1115</f>
        <v>6.77</v>
      </c>
      <c r="F1115">
        <f>raw_data!I1115</f>
        <v>18.46</v>
      </c>
      <c r="G1115">
        <f>raw_data!J1115</f>
        <v>2.75</v>
      </c>
      <c r="H1115" t="str">
        <f t="shared" si="17"/>
        <v>Wage Pressure</v>
      </c>
    </row>
    <row r="1116" spans="1:8" x14ac:dyDescent="0.2">
      <c r="A1116" t="str">
        <f>raw_data!A1116</f>
        <v>2025Q1</v>
      </c>
      <c r="B1116" t="str">
        <f>raw_data!B1116</f>
        <v>Victoria</v>
      </c>
      <c r="C1116" t="str">
        <f>raw_data!C1116</f>
        <v>Professional, Scientific and Technical Services</v>
      </c>
      <c r="D1116">
        <f>raw_data!G1116</f>
        <v>27.99</v>
      </c>
      <c r="E1116">
        <f>raw_data!H1116</f>
        <v>9.83</v>
      </c>
      <c r="F1116">
        <f>raw_data!I1116</f>
        <v>15</v>
      </c>
      <c r="G1116">
        <f>raw_data!J1116</f>
        <v>3.16</v>
      </c>
      <c r="H1116" t="str">
        <f t="shared" si="17"/>
        <v>Wage Pressure</v>
      </c>
    </row>
    <row r="1117" spans="1:8" x14ac:dyDescent="0.2">
      <c r="A1117" t="str">
        <f>raw_data!A1117</f>
        <v>2025Q2</v>
      </c>
      <c r="B1117" t="str">
        <f>raw_data!B1117</f>
        <v>New South Wales</v>
      </c>
      <c r="C1117" t="str">
        <f>raw_data!C1117</f>
        <v>Accommodation and Food Services</v>
      </c>
      <c r="D1117">
        <f>raw_data!G1117</f>
        <v>41.28</v>
      </c>
      <c r="E1117">
        <f>raw_data!H1117</f>
        <v>19.309999999999999</v>
      </c>
      <c r="F1117">
        <f>raw_data!I1117</f>
        <v>17.309999999999999</v>
      </c>
      <c r="G1117">
        <f>raw_data!J1117</f>
        <v>4.66</v>
      </c>
      <c r="H1117" t="str">
        <f t="shared" si="17"/>
        <v>Vacancy Intensity</v>
      </c>
    </row>
    <row r="1118" spans="1:8" x14ac:dyDescent="0.2">
      <c r="A1118" t="str">
        <f>raw_data!A1118</f>
        <v>2025Q2</v>
      </c>
      <c r="B1118" t="str">
        <f>raw_data!B1118</f>
        <v>New South Wales</v>
      </c>
      <c r="C1118" t="str">
        <f>raw_data!C1118</f>
        <v>Construction</v>
      </c>
      <c r="D1118">
        <f>raw_data!G1118</f>
        <v>25.56</v>
      </c>
      <c r="E1118">
        <f>raw_data!H1118</f>
        <v>5.46</v>
      </c>
      <c r="F1118">
        <f>raw_data!I1118</f>
        <v>16.73</v>
      </c>
      <c r="G1118">
        <f>raw_data!J1118</f>
        <v>3.37</v>
      </c>
      <c r="H1118" t="str">
        <f t="shared" si="17"/>
        <v>Wage Pressure</v>
      </c>
    </row>
    <row r="1119" spans="1:8" x14ac:dyDescent="0.2">
      <c r="A1119" t="str">
        <f>raw_data!A1119</f>
        <v>2025Q2</v>
      </c>
      <c r="B1119" t="str">
        <f>raw_data!B1119</f>
        <v>New South Wales</v>
      </c>
      <c r="C1119" t="str">
        <f>raw_data!C1119</f>
        <v>Education and Training</v>
      </c>
      <c r="D1119">
        <f>raw_data!G1119</f>
        <v>23.35</v>
      </c>
      <c r="E1119">
        <f>raw_data!H1119</f>
        <v>2.61</v>
      </c>
      <c r="F1119">
        <f>raw_data!I1119</f>
        <v>19.04</v>
      </c>
      <c r="G1119">
        <f>raw_data!J1119</f>
        <v>1.7</v>
      </c>
      <c r="H1119" t="str">
        <f t="shared" si="17"/>
        <v>Wage Pressure</v>
      </c>
    </row>
    <row r="1120" spans="1:8" x14ac:dyDescent="0.2">
      <c r="A1120" t="str">
        <f>raw_data!A1120</f>
        <v>2025Q2</v>
      </c>
      <c r="B1120" t="str">
        <f>raw_data!B1120</f>
        <v>New South Wales</v>
      </c>
      <c r="C1120" t="str">
        <f>raw_data!C1120</f>
        <v>Health Care and Social Assistance</v>
      </c>
      <c r="D1120">
        <f>raw_data!G1120</f>
        <v>37.17</v>
      </c>
      <c r="E1120">
        <f>raw_data!H1120</f>
        <v>7.9</v>
      </c>
      <c r="F1120">
        <f>raw_data!I1120</f>
        <v>20.77</v>
      </c>
      <c r="G1120">
        <f>raw_data!J1120</f>
        <v>8.51</v>
      </c>
      <c r="H1120" t="str">
        <f t="shared" si="17"/>
        <v>Wage Pressure</v>
      </c>
    </row>
    <row r="1121" spans="1:8" x14ac:dyDescent="0.2">
      <c r="A1121" t="str">
        <f>raw_data!A1121</f>
        <v>2025Q2</v>
      </c>
      <c r="B1121" t="str">
        <f>raw_data!B1121</f>
        <v>New South Wales</v>
      </c>
      <c r="C1121" t="str">
        <f>raw_data!C1121</f>
        <v>Manufacturing</v>
      </c>
      <c r="D1121">
        <f>raw_data!G1121</f>
        <v>28.6</v>
      </c>
      <c r="E1121">
        <f>raw_data!H1121</f>
        <v>8.09</v>
      </c>
      <c r="F1121">
        <f>raw_data!I1121</f>
        <v>17.88</v>
      </c>
      <c r="G1121">
        <f>raw_data!J1121</f>
        <v>2.63</v>
      </c>
      <c r="H1121" t="str">
        <f t="shared" si="17"/>
        <v>Wage Pressure</v>
      </c>
    </row>
    <row r="1122" spans="1:8" x14ac:dyDescent="0.2">
      <c r="A1122" t="str">
        <f>raw_data!A1122</f>
        <v>2025Q2</v>
      </c>
      <c r="B1122" t="str">
        <f>raw_data!B1122</f>
        <v>New South Wales</v>
      </c>
      <c r="C1122" t="str">
        <f>raw_data!C1122</f>
        <v>Professional, Scientific and Technical Services</v>
      </c>
      <c r="D1122">
        <f>raw_data!G1122</f>
        <v>30.15</v>
      </c>
      <c r="E1122">
        <f>raw_data!H1122</f>
        <v>8.4700000000000006</v>
      </c>
      <c r="F1122">
        <f>raw_data!I1122</f>
        <v>15.58</v>
      </c>
      <c r="G1122">
        <f>raw_data!J1122</f>
        <v>6.1</v>
      </c>
      <c r="H1122" t="str">
        <f t="shared" si="17"/>
        <v>Wage Pressure</v>
      </c>
    </row>
    <row r="1123" spans="1:8" x14ac:dyDescent="0.2">
      <c r="A1123" t="str">
        <f>raw_data!A1123</f>
        <v>2025Q2</v>
      </c>
      <c r="B1123" t="str">
        <f>raw_data!B1123</f>
        <v>Queensland</v>
      </c>
      <c r="C1123" t="str">
        <f>raw_data!C1123</f>
        <v>Accommodation and Food Services</v>
      </c>
      <c r="D1123">
        <f>raw_data!G1123</f>
        <v>44.37</v>
      </c>
      <c r="E1123">
        <f>raw_data!H1123</f>
        <v>23.19</v>
      </c>
      <c r="F1123">
        <f>raw_data!I1123</f>
        <v>17.309999999999999</v>
      </c>
      <c r="G1123">
        <f>raw_data!J1123</f>
        <v>3.87</v>
      </c>
      <c r="H1123" t="str">
        <f t="shared" si="17"/>
        <v>Vacancy Intensity</v>
      </c>
    </row>
    <row r="1124" spans="1:8" x14ac:dyDescent="0.2">
      <c r="A1124" t="str">
        <f>raw_data!A1124</f>
        <v>2025Q2</v>
      </c>
      <c r="B1124" t="str">
        <f>raw_data!B1124</f>
        <v>Queensland</v>
      </c>
      <c r="C1124" t="str">
        <f>raw_data!C1124</f>
        <v>Construction</v>
      </c>
      <c r="D1124">
        <f>raw_data!G1124</f>
        <v>34</v>
      </c>
      <c r="E1124">
        <f>raw_data!H1124</f>
        <v>8.02</v>
      </c>
      <c r="F1124">
        <f>raw_data!I1124</f>
        <v>16.73</v>
      </c>
      <c r="G1124">
        <f>raw_data!J1124</f>
        <v>9.25</v>
      </c>
      <c r="H1124" t="str">
        <f t="shared" si="17"/>
        <v>Wage Pressure</v>
      </c>
    </row>
    <row r="1125" spans="1:8" x14ac:dyDescent="0.2">
      <c r="A1125" t="str">
        <f>raw_data!A1125</f>
        <v>2025Q2</v>
      </c>
      <c r="B1125" t="str">
        <f>raw_data!B1125</f>
        <v>Queensland</v>
      </c>
      <c r="C1125" t="str">
        <f>raw_data!C1125</f>
        <v>Education and Training</v>
      </c>
      <c r="D1125">
        <f>raw_data!G1125</f>
        <v>28.96</v>
      </c>
      <c r="E1125">
        <f>raw_data!H1125</f>
        <v>4.8099999999999996</v>
      </c>
      <c r="F1125">
        <f>raw_data!I1125</f>
        <v>19.04</v>
      </c>
      <c r="G1125">
        <f>raw_data!J1125</f>
        <v>5.1100000000000003</v>
      </c>
      <c r="H1125" t="str">
        <f t="shared" si="17"/>
        <v>Wage Pressure</v>
      </c>
    </row>
    <row r="1126" spans="1:8" x14ac:dyDescent="0.2">
      <c r="A1126" t="str">
        <f>raw_data!A1126</f>
        <v>2025Q2</v>
      </c>
      <c r="B1126" t="str">
        <f>raw_data!B1126</f>
        <v>Queensland</v>
      </c>
      <c r="C1126" t="str">
        <f>raw_data!C1126</f>
        <v>Health Care and Social Assistance</v>
      </c>
      <c r="D1126">
        <f>raw_data!G1126</f>
        <v>61.45</v>
      </c>
      <c r="E1126">
        <f>raw_data!H1126</f>
        <v>10.68</v>
      </c>
      <c r="F1126">
        <f>raw_data!I1126</f>
        <v>20.77</v>
      </c>
      <c r="G1126">
        <f>raw_data!J1126</f>
        <v>30</v>
      </c>
      <c r="H1126" t="str">
        <f t="shared" si="17"/>
        <v>Labour Tightness</v>
      </c>
    </row>
    <row r="1127" spans="1:8" x14ac:dyDescent="0.2">
      <c r="A1127" t="str">
        <f>raw_data!A1127</f>
        <v>2025Q2</v>
      </c>
      <c r="B1127" t="str">
        <f>raw_data!B1127</f>
        <v>Queensland</v>
      </c>
      <c r="C1127" t="str">
        <f>raw_data!C1127</f>
        <v>Manufacturing</v>
      </c>
      <c r="D1127">
        <f>raw_data!G1127</f>
        <v>37.64</v>
      </c>
      <c r="E1127">
        <f>raw_data!H1127</f>
        <v>11.95</v>
      </c>
      <c r="F1127">
        <f>raw_data!I1127</f>
        <v>17.88</v>
      </c>
      <c r="G1127">
        <f>raw_data!J1127</f>
        <v>7.81</v>
      </c>
      <c r="H1127" t="str">
        <f t="shared" si="17"/>
        <v>Wage Pressure</v>
      </c>
    </row>
    <row r="1128" spans="1:8" x14ac:dyDescent="0.2">
      <c r="A1128" t="str">
        <f>raw_data!A1128</f>
        <v>2025Q2</v>
      </c>
      <c r="B1128" t="str">
        <f>raw_data!B1128</f>
        <v>Queensland</v>
      </c>
      <c r="C1128" t="str">
        <f>raw_data!C1128</f>
        <v>Professional, Scientific and Technical Services</v>
      </c>
      <c r="D1128">
        <f>raw_data!G1128</f>
        <v>41.22</v>
      </c>
      <c r="E1128">
        <f>raw_data!H1128</f>
        <v>16.989999999999998</v>
      </c>
      <c r="F1128">
        <f>raw_data!I1128</f>
        <v>15.58</v>
      </c>
      <c r="G1128">
        <f>raw_data!J1128</f>
        <v>8.66</v>
      </c>
      <c r="H1128" t="str">
        <f t="shared" si="17"/>
        <v>Vacancy Intensity</v>
      </c>
    </row>
    <row r="1129" spans="1:8" x14ac:dyDescent="0.2">
      <c r="A1129" t="str">
        <f>raw_data!A1129</f>
        <v>2025Q2</v>
      </c>
      <c r="B1129" t="str">
        <f>raw_data!B1129</f>
        <v>Victoria</v>
      </c>
      <c r="C1129" t="str">
        <f>raw_data!C1129</f>
        <v>Accommodation and Food Services</v>
      </c>
      <c r="D1129">
        <f>raw_data!G1129</f>
        <v>42.7</v>
      </c>
      <c r="E1129">
        <f>raw_data!H1129</f>
        <v>19.47</v>
      </c>
      <c r="F1129">
        <f>raw_data!I1129</f>
        <v>17.309999999999999</v>
      </c>
      <c r="G1129">
        <f>raw_data!J1129</f>
        <v>5.92</v>
      </c>
      <c r="H1129" t="str">
        <f t="shared" si="17"/>
        <v>Vacancy Intensity</v>
      </c>
    </row>
    <row r="1130" spans="1:8" x14ac:dyDescent="0.2">
      <c r="A1130" t="str">
        <f>raw_data!A1130</f>
        <v>2025Q2</v>
      </c>
      <c r="B1130" t="str">
        <f>raw_data!B1130</f>
        <v>Victoria</v>
      </c>
      <c r="C1130" t="str">
        <f>raw_data!C1130</f>
        <v>Construction</v>
      </c>
      <c r="D1130">
        <f>raw_data!G1130</f>
        <v>29.68</v>
      </c>
      <c r="E1130">
        <f>raw_data!H1130</f>
        <v>6.61</v>
      </c>
      <c r="F1130">
        <f>raw_data!I1130</f>
        <v>16.73</v>
      </c>
      <c r="G1130">
        <f>raw_data!J1130</f>
        <v>6.34</v>
      </c>
      <c r="H1130" t="str">
        <f t="shared" si="17"/>
        <v>Wage Pressure</v>
      </c>
    </row>
    <row r="1131" spans="1:8" x14ac:dyDescent="0.2">
      <c r="A1131" t="str">
        <f>raw_data!A1131</f>
        <v>2025Q2</v>
      </c>
      <c r="B1131" t="str">
        <f>raw_data!B1131</f>
        <v>Victoria</v>
      </c>
      <c r="C1131" t="str">
        <f>raw_data!C1131</f>
        <v>Education and Training</v>
      </c>
      <c r="D1131">
        <f>raw_data!G1131</f>
        <v>24.53</v>
      </c>
      <c r="E1131">
        <f>raw_data!H1131</f>
        <v>3.29</v>
      </c>
      <c r="F1131">
        <f>raw_data!I1131</f>
        <v>19.04</v>
      </c>
      <c r="G1131">
        <f>raw_data!J1131</f>
        <v>2.21</v>
      </c>
      <c r="H1131" t="str">
        <f t="shared" si="17"/>
        <v>Wage Pressure</v>
      </c>
    </row>
    <row r="1132" spans="1:8" x14ac:dyDescent="0.2">
      <c r="A1132" t="str">
        <f>raw_data!A1132</f>
        <v>2025Q2</v>
      </c>
      <c r="B1132" t="str">
        <f>raw_data!B1132</f>
        <v>Victoria</v>
      </c>
      <c r="C1132" t="str">
        <f>raw_data!C1132</f>
        <v>Health Care and Social Assistance</v>
      </c>
      <c r="D1132">
        <f>raw_data!G1132</f>
        <v>39.14</v>
      </c>
      <c r="E1132">
        <f>raw_data!H1132</f>
        <v>9.3800000000000008</v>
      </c>
      <c r="F1132">
        <f>raw_data!I1132</f>
        <v>20.77</v>
      </c>
      <c r="G1132">
        <f>raw_data!J1132</f>
        <v>8.99</v>
      </c>
      <c r="H1132" t="str">
        <f t="shared" si="17"/>
        <v>Wage Pressure</v>
      </c>
    </row>
    <row r="1133" spans="1:8" x14ac:dyDescent="0.2">
      <c r="A1133" t="str">
        <f>raw_data!A1133</f>
        <v>2025Q2</v>
      </c>
      <c r="B1133" t="str">
        <f>raw_data!B1133</f>
        <v>Victoria</v>
      </c>
      <c r="C1133" t="str">
        <f>raw_data!C1133</f>
        <v>Manufacturing</v>
      </c>
      <c r="D1133">
        <f>raw_data!G1133</f>
        <v>28.86</v>
      </c>
      <c r="E1133">
        <f>raw_data!H1133</f>
        <v>8.1300000000000008</v>
      </c>
      <c r="F1133">
        <f>raw_data!I1133</f>
        <v>17.88</v>
      </c>
      <c r="G1133">
        <f>raw_data!J1133</f>
        <v>2.84</v>
      </c>
      <c r="H1133" t="str">
        <f t="shared" si="17"/>
        <v>Wage Pressure</v>
      </c>
    </row>
    <row r="1134" spans="1:8" x14ac:dyDescent="0.2">
      <c r="A1134" t="str">
        <f>raw_data!A1134</f>
        <v>2025Q2</v>
      </c>
      <c r="B1134" t="str">
        <f>raw_data!B1134</f>
        <v>Victoria</v>
      </c>
      <c r="C1134" t="str">
        <f>raw_data!C1134</f>
        <v>Professional, Scientific and Technical Services</v>
      </c>
      <c r="D1134">
        <f>raw_data!G1134</f>
        <v>31.49</v>
      </c>
      <c r="E1134">
        <f>raw_data!H1134</f>
        <v>10.28</v>
      </c>
      <c r="F1134">
        <f>raw_data!I1134</f>
        <v>15.58</v>
      </c>
      <c r="G1134">
        <f>raw_data!J1134</f>
        <v>5.63</v>
      </c>
      <c r="H1134" t="str">
        <f t="shared" si="17"/>
        <v>Wage Pressure</v>
      </c>
    </row>
    <row r="1135" spans="1:8" x14ac:dyDescent="0.2">
      <c r="A1135" t="str">
        <f>raw_data!A1135</f>
        <v>2025Q3</v>
      </c>
      <c r="B1135" t="str">
        <f>raw_data!B1135</f>
        <v>New South Wales</v>
      </c>
      <c r="C1135" t="str">
        <f>raw_data!C1135</f>
        <v>Accommodation and Food Services</v>
      </c>
      <c r="D1135">
        <f>raw_data!G1135</f>
        <v>39.42</v>
      </c>
      <c r="E1135">
        <f>raw_data!H1135</f>
        <v>19.3</v>
      </c>
      <c r="F1135">
        <f>raw_data!I1135</f>
        <v>15</v>
      </c>
      <c r="G1135">
        <f>raw_data!J1135</f>
        <v>5.12</v>
      </c>
      <c r="H1135" t="str">
        <f t="shared" si="17"/>
        <v>Vacancy Intensity</v>
      </c>
    </row>
    <row r="1136" spans="1:8" x14ac:dyDescent="0.2">
      <c r="A1136" t="str">
        <f>raw_data!A1136</f>
        <v>2025Q3</v>
      </c>
      <c r="B1136" t="str">
        <f>raw_data!B1136</f>
        <v>New South Wales</v>
      </c>
      <c r="C1136" t="str">
        <f>raw_data!C1136</f>
        <v>Construction</v>
      </c>
      <c r="D1136">
        <f>raw_data!G1136</f>
        <v>27.07</v>
      </c>
      <c r="E1136">
        <f>raw_data!H1136</f>
        <v>4.3899999999999997</v>
      </c>
      <c r="F1136">
        <f>raw_data!I1136</f>
        <v>17.88</v>
      </c>
      <c r="G1136">
        <f>raw_data!J1136</f>
        <v>4.8</v>
      </c>
      <c r="H1136" t="str">
        <f t="shared" si="17"/>
        <v>Wage Pressure</v>
      </c>
    </row>
    <row r="1137" spans="1:8" x14ac:dyDescent="0.2">
      <c r="A1137" t="str">
        <f>raw_data!A1137</f>
        <v>2025Q3</v>
      </c>
      <c r="B1137" t="str">
        <f>raw_data!B1137</f>
        <v>New South Wales</v>
      </c>
      <c r="C1137" t="str">
        <f>raw_data!C1137</f>
        <v>Education and Training</v>
      </c>
      <c r="D1137">
        <f>raw_data!G1137</f>
        <v>24.69</v>
      </c>
      <c r="E1137">
        <f>raw_data!H1137</f>
        <v>2.61</v>
      </c>
      <c r="F1137">
        <f>raw_data!I1137</f>
        <v>19.04</v>
      </c>
      <c r="G1137">
        <f>raw_data!J1137</f>
        <v>3.05</v>
      </c>
      <c r="H1137" t="str">
        <f t="shared" si="17"/>
        <v>Wage Pressure</v>
      </c>
    </row>
    <row r="1138" spans="1:8" x14ac:dyDescent="0.2">
      <c r="A1138" t="str">
        <f>raw_data!A1138</f>
        <v>2025Q3</v>
      </c>
      <c r="B1138" t="str">
        <f>raw_data!B1138</f>
        <v>New South Wales</v>
      </c>
      <c r="C1138" t="str">
        <f>raw_data!C1138</f>
        <v>Health Care and Social Assistance</v>
      </c>
      <c r="D1138">
        <f>raw_data!G1138</f>
        <v>36.61</v>
      </c>
      <c r="E1138">
        <f>raw_data!H1138</f>
        <v>8.32</v>
      </c>
      <c r="F1138">
        <f>raw_data!I1138</f>
        <v>20.190000000000001</v>
      </c>
      <c r="G1138">
        <f>raw_data!J1138</f>
        <v>8.09</v>
      </c>
      <c r="H1138" t="str">
        <f t="shared" si="17"/>
        <v>Wage Pressure</v>
      </c>
    </row>
    <row r="1139" spans="1:8" x14ac:dyDescent="0.2">
      <c r="A1139" t="str">
        <f>raw_data!A1139</f>
        <v>2025Q3</v>
      </c>
      <c r="B1139" t="str">
        <f>raw_data!B1139</f>
        <v>New South Wales</v>
      </c>
      <c r="C1139" t="str">
        <f>raw_data!C1139</f>
        <v>Manufacturing</v>
      </c>
      <c r="D1139">
        <f>raw_data!G1139</f>
        <v>29.3</v>
      </c>
      <c r="E1139">
        <f>raw_data!H1139</f>
        <v>9.27</v>
      </c>
      <c r="F1139">
        <f>raw_data!I1139</f>
        <v>16.73</v>
      </c>
      <c r="G1139">
        <f>raw_data!J1139</f>
        <v>3.3</v>
      </c>
      <c r="H1139" t="str">
        <f t="shared" si="17"/>
        <v>Wage Pressure</v>
      </c>
    </row>
    <row r="1140" spans="1:8" x14ac:dyDescent="0.2">
      <c r="A1140" t="str">
        <f>raw_data!A1140</f>
        <v>2025Q3</v>
      </c>
      <c r="B1140" t="str">
        <f>raw_data!B1140</f>
        <v>New South Wales</v>
      </c>
      <c r="C1140" t="str">
        <f>raw_data!C1140</f>
        <v>Professional, Scientific and Technical Services</v>
      </c>
      <c r="D1140">
        <f>raw_data!G1140</f>
        <v>28.86</v>
      </c>
      <c r="E1140">
        <f>raw_data!H1140</f>
        <v>7.39</v>
      </c>
      <c r="F1140">
        <f>raw_data!I1140</f>
        <v>17.309999999999999</v>
      </c>
      <c r="G1140">
        <f>raw_data!J1140</f>
        <v>4.16</v>
      </c>
      <c r="H1140" t="str">
        <f t="shared" si="17"/>
        <v>Wage Pressure</v>
      </c>
    </row>
    <row r="1141" spans="1:8" x14ac:dyDescent="0.2">
      <c r="A1141" t="str">
        <f>raw_data!A1141</f>
        <v>2025Q3</v>
      </c>
      <c r="B1141" t="str">
        <f>raw_data!B1141</f>
        <v>Queensland</v>
      </c>
      <c r="C1141" t="str">
        <f>raw_data!C1141</f>
        <v>Accommodation and Food Services</v>
      </c>
      <c r="D1141">
        <f>raw_data!G1141</f>
        <v>44.46</v>
      </c>
      <c r="E1141">
        <f>raw_data!H1141</f>
        <v>25.98</v>
      </c>
      <c r="F1141">
        <f>raw_data!I1141</f>
        <v>15</v>
      </c>
      <c r="G1141">
        <f>raw_data!J1141</f>
        <v>3.48</v>
      </c>
      <c r="H1141" t="str">
        <f t="shared" si="17"/>
        <v>Vacancy Intensity</v>
      </c>
    </row>
    <row r="1142" spans="1:8" x14ac:dyDescent="0.2">
      <c r="A1142" t="str">
        <f>raw_data!A1142</f>
        <v>2025Q3</v>
      </c>
      <c r="B1142" t="str">
        <f>raw_data!B1142</f>
        <v>Queensland</v>
      </c>
      <c r="C1142" t="str">
        <f>raw_data!C1142</f>
        <v>Construction</v>
      </c>
      <c r="D1142">
        <f>raw_data!G1142</f>
        <v>27.67</v>
      </c>
      <c r="E1142">
        <f>raw_data!H1142</f>
        <v>7.43</v>
      </c>
      <c r="F1142">
        <f>raw_data!I1142</f>
        <v>17.88</v>
      </c>
      <c r="G1142">
        <f>raw_data!J1142</f>
        <v>2.35</v>
      </c>
      <c r="H1142" t="str">
        <f t="shared" si="17"/>
        <v>Wage Pressure</v>
      </c>
    </row>
    <row r="1143" spans="1:8" x14ac:dyDescent="0.2">
      <c r="A1143" t="str">
        <f>raw_data!A1143</f>
        <v>2025Q3</v>
      </c>
      <c r="B1143" t="str">
        <f>raw_data!B1143</f>
        <v>Queensland</v>
      </c>
      <c r="C1143" t="str">
        <f>raw_data!C1143</f>
        <v>Education and Training</v>
      </c>
      <c r="D1143">
        <f>raw_data!G1143</f>
        <v>35.42</v>
      </c>
      <c r="E1143">
        <f>raw_data!H1143</f>
        <v>5.2</v>
      </c>
      <c r="F1143">
        <f>raw_data!I1143</f>
        <v>19.04</v>
      </c>
      <c r="G1143">
        <f>raw_data!J1143</f>
        <v>11.18</v>
      </c>
      <c r="H1143" t="str">
        <f t="shared" si="17"/>
        <v>Wage Pressure</v>
      </c>
    </row>
    <row r="1144" spans="1:8" x14ac:dyDescent="0.2">
      <c r="A1144" t="str">
        <f>raw_data!A1144</f>
        <v>2025Q3</v>
      </c>
      <c r="B1144" t="str">
        <f>raw_data!B1144</f>
        <v>Queensland</v>
      </c>
      <c r="C1144" t="str">
        <f>raw_data!C1144</f>
        <v>Health Care and Social Assistance</v>
      </c>
      <c r="D1144">
        <f>raw_data!G1144</f>
        <v>51.26</v>
      </c>
      <c r="E1144">
        <f>raw_data!H1144</f>
        <v>11.32</v>
      </c>
      <c r="F1144">
        <f>raw_data!I1144</f>
        <v>20.190000000000001</v>
      </c>
      <c r="G1144">
        <f>raw_data!J1144</f>
        <v>19.75</v>
      </c>
      <c r="H1144" t="str">
        <f t="shared" si="17"/>
        <v>Wage Pressure</v>
      </c>
    </row>
    <row r="1145" spans="1:8" x14ac:dyDescent="0.2">
      <c r="A1145" t="str">
        <f>raw_data!A1145</f>
        <v>2025Q3</v>
      </c>
      <c r="B1145" t="str">
        <f>raw_data!B1145</f>
        <v>Queensland</v>
      </c>
      <c r="C1145" t="str">
        <f>raw_data!C1145</f>
        <v>Manufacturing</v>
      </c>
      <c r="D1145">
        <f>raw_data!G1145</f>
        <v>36.630000000000003</v>
      </c>
      <c r="E1145">
        <f>raw_data!H1145</f>
        <v>13.45</v>
      </c>
      <c r="F1145">
        <f>raw_data!I1145</f>
        <v>16.73</v>
      </c>
      <c r="G1145">
        <f>raw_data!J1145</f>
        <v>6.45</v>
      </c>
      <c r="H1145" t="str">
        <f t="shared" si="17"/>
        <v>Wage Pressure</v>
      </c>
    </row>
    <row r="1146" spans="1:8" x14ac:dyDescent="0.2">
      <c r="A1146" t="str">
        <f>raw_data!A1146</f>
        <v>2025Q3</v>
      </c>
      <c r="B1146" t="str">
        <f>raw_data!B1146</f>
        <v>Queensland</v>
      </c>
      <c r="C1146" t="str">
        <f>raw_data!C1146</f>
        <v>Professional, Scientific and Technical Services</v>
      </c>
      <c r="D1146">
        <f>raw_data!G1146</f>
        <v>38.840000000000003</v>
      </c>
      <c r="E1146">
        <f>raw_data!H1146</f>
        <v>16.690000000000001</v>
      </c>
      <c r="F1146">
        <f>raw_data!I1146</f>
        <v>17.309999999999999</v>
      </c>
      <c r="G1146">
        <f>raw_data!J1146</f>
        <v>4.84</v>
      </c>
      <c r="H1146" t="str">
        <f t="shared" si="17"/>
        <v>Wage Pressure</v>
      </c>
    </row>
    <row r="1147" spans="1:8" x14ac:dyDescent="0.2">
      <c r="A1147" t="str">
        <f>raw_data!A1147</f>
        <v>2025Q3</v>
      </c>
      <c r="B1147" t="str">
        <f>raw_data!B1147</f>
        <v>Victoria</v>
      </c>
      <c r="C1147" t="str">
        <f>raw_data!C1147</f>
        <v>Accommodation and Food Services</v>
      </c>
      <c r="D1147">
        <f>raw_data!G1147</f>
        <v>38.68</v>
      </c>
      <c r="E1147">
        <f>raw_data!H1147</f>
        <v>19.5</v>
      </c>
      <c r="F1147">
        <f>raw_data!I1147</f>
        <v>15</v>
      </c>
      <c r="G1147">
        <f>raw_data!J1147</f>
        <v>4.18</v>
      </c>
      <c r="H1147" t="str">
        <f t="shared" si="17"/>
        <v>Vacancy Intensity</v>
      </c>
    </row>
    <row r="1148" spans="1:8" x14ac:dyDescent="0.2">
      <c r="A1148" t="str">
        <f>raw_data!A1148</f>
        <v>2025Q3</v>
      </c>
      <c r="B1148" t="str">
        <f>raw_data!B1148</f>
        <v>Victoria</v>
      </c>
      <c r="C1148" t="str">
        <f>raw_data!C1148</f>
        <v>Construction</v>
      </c>
      <c r="D1148">
        <f>raw_data!G1148</f>
        <v>26.81</v>
      </c>
      <c r="E1148">
        <f>raw_data!H1148</f>
        <v>6.12</v>
      </c>
      <c r="F1148">
        <f>raw_data!I1148</f>
        <v>17.88</v>
      </c>
      <c r="G1148">
        <f>raw_data!J1148</f>
        <v>2.81</v>
      </c>
      <c r="H1148" t="str">
        <f t="shared" si="17"/>
        <v>Wage Pressure</v>
      </c>
    </row>
    <row r="1149" spans="1:8" x14ac:dyDescent="0.2">
      <c r="A1149" t="str">
        <f>raw_data!A1149</f>
        <v>2025Q3</v>
      </c>
      <c r="B1149" t="str">
        <f>raw_data!B1149</f>
        <v>Victoria</v>
      </c>
      <c r="C1149" t="str">
        <f>raw_data!C1149</f>
        <v>Education and Training</v>
      </c>
      <c r="D1149">
        <f>raw_data!G1149</f>
        <v>24.9</v>
      </c>
      <c r="E1149">
        <f>raw_data!H1149</f>
        <v>3.17</v>
      </c>
      <c r="F1149">
        <f>raw_data!I1149</f>
        <v>19.04</v>
      </c>
      <c r="G1149">
        <f>raw_data!J1149</f>
        <v>2.69</v>
      </c>
      <c r="H1149" t="str">
        <f t="shared" si="17"/>
        <v>Wage Pressure</v>
      </c>
    </row>
    <row r="1150" spans="1:8" x14ac:dyDescent="0.2">
      <c r="A1150" t="str">
        <f>raw_data!A1150</f>
        <v>2025Q3</v>
      </c>
      <c r="B1150" t="str">
        <f>raw_data!B1150</f>
        <v>Victoria</v>
      </c>
      <c r="C1150" t="str">
        <f>raw_data!C1150</f>
        <v>Health Care and Social Assistance</v>
      </c>
      <c r="D1150">
        <f>raw_data!G1150</f>
        <v>33.82</v>
      </c>
      <c r="E1150">
        <f>raw_data!H1150</f>
        <v>9.23</v>
      </c>
      <c r="F1150">
        <f>raw_data!I1150</f>
        <v>20.190000000000001</v>
      </c>
      <c r="G1150">
        <f>raw_data!J1150</f>
        <v>4.4000000000000004</v>
      </c>
      <c r="H1150" t="str">
        <f t="shared" si="17"/>
        <v>Wage Pressure</v>
      </c>
    </row>
    <row r="1151" spans="1:8" x14ac:dyDescent="0.2">
      <c r="A1151" t="str">
        <f>raw_data!A1151</f>
        <v>2025Q3</v>
      </c>
      <c r="B1151" t="str">
        <f>raw_data!B1151</f>
        <v>Victoria</v>
      </c>
      <c r="C1151" t="str">
        <f>raw_data!C1151</f>
        <v>Manufacturing</v>
      </c>
      <c r="D1151">
        <f>raw_data!G1151</f>
        <v>29.32</v>
      </c>
      <c r="E1151">
        <f>raw_data!H1151</f>
        <v>9.1300000000000008</v>
      </c>
      <c r="F1151">
        <f>raw_data!I1151</f>
        <v>16.73</v>
      </c>
      <c r="G1151">
        <f>raw_data!J1151</f>
        <v>3.46</v>
      </c>
      <c r="H1151" t="str">
        <f t="shared" si="17"/>
        <v>Wage Pressure</v>
      </c>
    </row>
    <row r="1152" spans="1:8" x14ac:dyDescent="0.2">
      <c r="A1152" t="str">
        <f>raw_data!A1152</f>
        <v>2025Q3</v>
      </c>
      <c r="B1152" t="str">
        <f>raw_data!B1152</f>
        <v>Victoria</v>
      </c>
      <c r="C1152" t="str">
        <f>raw_data!C1152</f>
        <v>Professional, Scientific and Technical Services</v>
      </c>
      <c r="D1152">
        <f>raw_data!G1152</f>
        <v>29.26</v>
      </c>
      <c r="E1152">
        <f>raw_data!H1152</f>
        <v>8.6999999999999993</v>
      </c>
      <c r="F1152">
        <f>raw_data!I1152</f>
        <v>17.309999999999999</v>
      </c>
      <c r="G1152">
        <f>raw_data!J1152</f>
        <v>3.26</v>
      </c>
      <c r="H1152" t="str">
        <f t="shared" si="17"/>
        <v>Wage Pressure</v>
      </c>
    </row>
    <row r="1153" spans="1:8" x14ac:dyDescent="0.2">
      <c r="A1153" t="str">
        <f>raw_data!A1153</f>
        <v>2025Q4</v>
      </c>
      <c r="B1153" t="str">
        <f>raw_data!B1153</f>
        <v>New South Wales</v>
      </c>
      <c r="C1153" t="str">
        <f>raw_data!C1153</f>
        <v>Accommodation and Food Services</v>
      </c>
      <c r="D1153">
        <f>raw_data!G1153</f>
        <v>36.46</v>
      </c>
      <c r="E1153">
        <f>raw_data!H1153</f>
        <v>17.79</v>
      </c>
      <c r="F1153">
        <f>raw_data!I1153</f>
        <v>15.58</v>
      </c>
      <c r="G1153">
        <f>raw_data!J1153</f>
        <v>3.1</v>
      </c>
      <c r="H1153" t="str">
        <f t="shared" si="17"/>
        <v>Vacancy Intensity</v>
      </c>
    </row>
    <row r="1154" spans="1:8" x14ac:dyDescent="0.2">
      <c r="A1154" t="str">
        <f>raw_data!A1154</f>
        <v>2025Q4</v>
      </c>
      <c r="B1154" t="str">
        <f>raw_data!B1154</f>
        <v>New South Wales</v>
      </c>
      <c r="C1154" t="str">
        <f>raw_data!C1154</f>
        <v>Construction</v>
      </c>
      <c r="D1154">
        <f>raw_data!G1154</f>
        <v>26.04</v>
      </c>
      <c r="E1154">
        <f>raw_data!H1154</f>
        <v>4.05</v>
      </c>
      <c r="F1154">
        <f>raw_data!I1154</f>
        <v>18.46</v>
      </c>
      <c r="G1154">
        <f>raw_data!J1154</f>
        <v>3.52</v>
      </c>
      <c r="H1154" t="str">
        <f t="shared" si="17"/>
        <v>Wage Pressure</v>
      </c>
    </row>
    <row r="1155" spans="1:8" x14ac:dyDescent="0.2">
      <c r="A1155" t="str">
        <f>raw_data!A1155</f>
        <v>2025Q4</v>
      </c>
      <c r="B1155" t="str">
        <f>raw_data!B1155</f>
        <v>New South Wales</v>
      </c>
      <c r="C1155" t="str">
        <f>raw_data!C1155</f>
        <v>Education and Training</v>
      </c>
      <c r="D1155">
        <f>raw_data!G1155</f>
        <v>24.41</v>
      </c>
      <c r="E1155">
        <f>raw_data!H1155</f>
        <v>2.0299999999999998</v>
      </c>
      <c r="F1155">
        <f>raw_data!I1155</f>
        <v>19.62</v>
      </c>
      <c r="G1155">
        <f>raw_data!J1155</f>
        <v>2.77</v>
      </c>
      <c r="H1155" t="str">
        <f t="shared" ref="H1155:H1188" si="18">IF(AND(E1155&gt;=F1155,E1155&gt;=G1155),"Vacancy Intensity",IF(F1155&gt;=G1155,"Wage Pressure","Labour Tightness"))</f>
        <v>Wage Pressure</v>
      </c>
    </row>
    <row r="1156" spans="1:8" x14ac:dyDescent="0.2">
      <c r="A1156" t="str">
        <f>raw_data!A1156</f>
        <v>2025Q4</v>
      </c>
      <c r="B1156" t="str">
        <f>raw_data!B1156</f>
        <v>New South Wales</v>
      </c>
      <c r="C1156" t="str">
        <f>raw_data!C1156</f>
        <v>Health Care and Social Assistance</v>
      </c>
      <c r="D1156">
        <f>raw_data!G1156</f>
        <v>38.25</v>
      </c>
      <c r="E1156">
        <f>raw_data!H1156</f>
        <v>9.39</v>
      </c>
      <c r="F1156">
        <f>raw_data!I1156</f>
        <v>23.65</v>
      </c>
      <c r="G1156">
        <f>raw_data!J1156</f>
        <v>5.21</v>
      </c>
      <c r="H1156" t="str">
        <f t="shared" si="18"/>
        <v>Wage Pressure</v>
      </c>
    </row>
    <row r="1157" spans="1:8" x14ac:dyDescent="0.2">
      <c r="A1157" t="str">
        <f>raw_data!A1157</f>
        <v>2025Q4</v>
      </c>
      <c r="B1157" t="str">
        <f>raw_data!B1157</f>
        <v>New South Wales</v>
      </c>
      <c r="C1157" t="str">
        <f>raw_data!C1157</f>
        <v>Manufacturing</v>
      </c>
      <c r="D1157">
        <f>raw_data!G1157</f>
        <v>28.07</v>
      </c>
      <c r="E1157">
        <f>raw_data!H1157</f>
        <v>8.15</v>
      </c>
      <c r="F1157">
        <f>raw_data!I1157</f>
        <v>15</v>
      </c>
      <c r="G1157">
        <f>raw_data!J1157</f>
        <v>4.92</v>
      </c>
      <c r="H1157" t="str">
        <f t="shared" si="18"/>
        <v>Wage Pressure</v>
      </c>
    </row>
    <row r="1158" spans="1:8" x14ac:dyDescent="0.2">
      <c r="A1158" t="str">
        <f>raw_data!A1158</f>
        <v>2025Q4</v>
      </c>
      <c r="B1158" t="str">
        <f>raw_data!B1158</f>
        <v>New South Wales</v>
      </c>
      <c r="C1158" t="str">
        <f>raw_data!C1158</f>
        <v>Professional, Scientific and Technical Services</v>
      </c>
      <c r="D1158">
        <f>raw_data!G1158</f>
        <v>33.04</v>
      </c>
      <c r="E1158">
        <f>raw_data!H1158</f>
        <v>7.47</v>
      </c>
      <c r="F1158">
        <f>raw_data!I1158</f>
        <v>17.309999999999999</v>
      </c>
      <c r="G1158">
        <f>raw_data!J1158</f>
        <v>8.26</v>
      </c>
      <c r="H1158" t="str">
        <f t="shared" si="18"/>
        <v>Wage Pressure</v>
      </c>
    </row>
    <row r="1159" spans="1:8" x14ac:dyDescent="0.2">
      <c r="A1159" t="str">
        <f>raw_data!A1159</f>
        <v>2025Q4</v>
      </c>
      <c r="B1159" t="str">
        <f>raw_data!B1159</f>
        <v>Queensland</v>
      </c>
      <c r="C1159" t="str">
        <f>raw_data!C1159</f>
        <v>Accommodation and Food Services</v>
      </c>
      <c r="D1159">
        <f>raw_data!G1159</f>
        <v>42.02</v>
      </c>
      <c r="E1159">
        <f>raw_data!H1159</f>
        <v>22.22</v>
      </c>
      <c r="F1159">
        <f>raw_data!I1159</f>
        <v>15.58</v>
      </c>
      <c r="G1159">
        <f>raw_data!J1159</f>
        <v>4.2300000000000004</v>
      </c>
      <c r="H1159" t="str">
        <f t="shared" si="18"/>
        <v>Vacancy Intensity</v>
      </c>
    </row>
    <row r="1160" spans="1:8" x14ac:dyDescent="0.2">
      <c r="A1160" t="str">
        <f>raw_data!A1160</f>
        <v>2025Q4</v>
      </c>
      <c r="B1160" t="str">
        <f>raw_data!B1160</f>
        <v>Queensland</v>
      </c>
      <c r="C1160" t="str">
        <f>raw_data!C1160</f>
        <v>Construction</v>
      </c>
      <c r="D1160">
        <f>raw_data!G1160</f>
        <v>29.01</v>
      </c>
      <c r="E1160">
        <f>raw_data!H1160</f>
        <v>5.94</v>
      </c>
      <c r="F1160">
        <f>raw_data!I1160</f>
        <v>18.46</v>
      </c>
      <c r="G1160">
        <f>raw_data!J1160</f>
        <v>4.5999999999999996</v>
      </c>
      <c r="H1160" t="str">
        <f t="shared" si="18"/>
        <v>Wage Pressure</v>
      </c>
    </row>
    <row r="1161" spans="1:8" x14ac:dyDescent="0.2">
      <c r="A1161" t="str">
        <f>raw_data!A1161</f>
        <v>2025Q4</v>
      </c>
      <c r="B1161" t="str">
        <f>raw_data!B1161</f>
        <v>Queensland</v>
      </c>
      <c r="C1161" t="str">
        <f>raw_data!C1161</f>
        <v>Education and Training</v>
      </c>
      <c r="D1161">
        <f>raw_data!G1161</f>
        <v>26.81</v>
      </c>
      <c r="E1161">
        <f>raw_data!H1161</f>
        <v>3.97</v>
      </c>
      <c r="F1161">
        <f>raw_data!I1161</f>
        <v>19.62</v>
      </c>
      <c r="G1161">
        <f>raw_data!J1161</f>
        <v>3.22</v>
      </c>
      <c r="H1161" t="str">
        <f t="shared" si="18"/>
        <v>Wage Pressure</v>
      </c>
    </row>
    <row r="1162" spans="1:8" x14ac:dyDescent="0.2">
      <c r="A1162" t="str">
        <f>raw_data!A1162</f>
        <v>2025Q4</v>
      </c>
      <c r="B1162" t="str">
        <f>raw_data!B1162</f>
        <v>Queensland</v>
      </c>
      <c r="C1162" t="str">
        <f>raw_data!C1162</f>
        <v>Health Care and Social Assistance</v>
      </c>
      <c r="D1162">
        <f>raw_data!G1162</f>
        <v>46.17</v>
      </c>
      <c r="E1162">
        <f>raw_data!H1162</f>
        <v>12.16</v>
      </c>
      <c r="F1162">
        <f>raw_data!I1162</f>
        <v>23.65</v>
      </c>
      <c r="G1162">
        <f>raw_data!J1162</f>
        <v>10.36</v>
      </c>
      <c r="H1162" t="str">
        <f t="shared" si="18"/>
        <v>Wage Pressure</v>
      </c>
    </row>
    <row r="1163" spans="1:8" x14ac:dyDescent="0.2">
      <c r="A1163" t="str">
        <f>raw_data!A1163</f>
        <v>2025Q4</v>
      </c>
      <c r="B1163" t="str">
        <f>raw_data!B1163</f>
        <v>Queensland</v>
      </c>
      <c r="C1163" t="str">
        <f>raw_data!C1163</f>
        <v>Manufacturing</v>
      </c>
      <c r="D1163">
        <f>raw_data!G1163</f>
        <v>33.24</v>
      </c>
      <c r="E1163">
        <f>raw_data!H1163</f>
        <v>13</v>
      </c>
      <c r="F1163">
        <f>raw_data!I1163</f>
        <v>15</v>
      </c>
      <c r="G1163">
        <f>raw_data!J1163</f>
        <v>5.24</v>
      </c>
      <c r="H1163" t="str">
        <f t="shared" si="18"/>
        <v>Wage Pressure</v>
      </c>
    </row>
    <row r="1164" spans="1:8" x14ac:dyDescent="0.2">
      <c r="A1164" t="str">
        <f>raw_data!A1164</f>
        <v>2025Q4</v>
      </c>
      <c r="B1164" t="str">
        <f>raw_data!B1164</f>
        <v>Queensland</v>
      </c>
      <c r="C1164" t="str">
        <f>raw_data!C1164</f>
        <v>Professional, Scientific and Technical Services</v>
      </c>
      <c r="D1164">
        <f>raw_data!G1164</f>
        <v>39.89</v>
      </c>
      <c r="E1164">
        <f>raw_data!H1164</f>
        <v>15.76</v>
      </c>
      <c r="F1164">
        <f>raw_data!I1164</f>
        <v>17.309999999999999</v>
      </c>
      <c r="G1164">
        <f>raw_data!J1164</f>
        <v>6.82</v>
      </c>
      <c r="H1164" t="str">
        <f t="shared" si="18"/>
        <v>Wage Pressure</v>
      </c>
    </row>
    <row r="1165" spans="1:8" x14ac:dyDescent="0.2">
      <c r="A1165" t="str">
        <f>raw_data!A1165</f>
        <v>2025Q4</v>
      </c>
      <c r="B1165" t="str">
        <f>raw_data!B1165</f>
        <v>Victoria</v>
      </c>
      <c r="C1165" t="str">
        <f>raw_data!C1165</f>
        <v>Accommodation and Food Services</v>
      </c>
      <c r="D1165">
        <f>raw_data!G1165</f>
        <v>40.520000000000003</v>
      </c>
      <c r="E1165">
        <f>raw_data!H1165</f>
        <v>19.239999999999998</v>
      </c>
      <c r="F1165">
        <f>raw_data!I1165</f>
        <v>15.58</v>
      </c>
      <c r="G1165">
        <f>raw_data!J1165</f>
        <v>5.7</v>
      </c>
      <c r="H1165" t="str">
        <f t="shared" si="18"/>
        <v>Vacancy Intensity</v>
      </c>
    </row>
    <row r="1166" spans="1:8" x14ac:dyDescent="0.2">
      <c r="A1166" t="str">
        <f>raw_data!A1166</f>
        <v>2025Q4</v>
      </c>
      <c r="B1166" t="str">
        <f>raw_data!B1166</f>
        <v>Victoria</v>
      </c>
      <c r="C1166" t="str">
        <f>raw_data!C1166</f>
        <v>Construction</v>
      </c>
      <c r="D1166">
        <f>raw_data!G1166</f>
        <v>27.1</v>
      </c>
      <c r="E1166">
        <f>raw_data!H1166</f>
        <v>5.42</v>
      </c>
      <c r="F1166">
        <f>raw_data!I1166</f>
        <v>18.46</v>
      </c>
      <c r="G1166">
        <f>raw_data!J1166</f>
        <v>3.21</v>
      </c>
      <c r="H1166" t="str">
        <f t="shared" si="18"/>
        <v>Wage Pressure</v>
      </c>
    </row>
    <row r="1167" spans="1:8" x14ac:dyDescent="0.2">
      <c r="A1167" t="str">
        <f>raw_data!A1167</f>
        <v>2025Q4</v>
      </c>
      <c r="B1167" t="str">
        <f>raw_data!B1167</f>
        <v>Victoria</v>
      </c>
      <c r="C1167" t="str">
        <f>raw_data!C1167</f>
        <v>Education and Training</v>
      </c>
      <c r="D1167">
        <f>raw_data!G1167</f>
        <v>23.63</v>
      </c>
      <c r="E1167">
        <f>raw_data!H1167</f>
        <v>2.46</v>
      </c>
      <c r="F1167">
        <f>raw_data!I1167</f>
        <v>19.62</v>
      </c>
      <c r="G1167">
        <f>raw_data!J1167</f>
        <v>1.55</v>
      </c>
      <c r="H1167" t="str">
        <f t="shared" si="18"/>
        <v>Wage Pressure</v>
      </c>
    </row>
    <row r="1168" spans="1:8" x14ac:dyDescent="0.2">
      <c r="A1168" t="str">
        <f>raw_data!A1168</f>
        <v>2025Q4</v>
      </c>
      <c r="B1168" t="str">
        <f>raw_data!B1168</f>
        <v>Victoria</v>
      </c>
      <c r="C1168" t="str">
        <f>raw_data!C1168</f>
        <v>Health Care and Social Assistance</v>
      </c>
      <c r="D1168">
        <f>raw_data!G1168</f>
        <v>39.86</v>
      </c>
      <c r="E1168">
        <f>raw_data!H1168</f>
        <v>9.89</v>
      </c>
      <c r="F1168">
        <f>raw_data!I1168</f>
        <v>23.65</v>
      </c>
      <c r="G1168">
        <f>raw_data!J1168</f>
        <v>6.32</v>
      </c>
      <c r="H1168" t="str">
        <f t="shared" si="18"/>
        <v>Wage Pressure</v>
      </c>
    </row>
    <row r="1169" spans="1:8" x14ac:dyDescent="0.2">
      <c r="A1169" t="str">
        <f>raw_data!A1169</f>
        <v>2025Q4</v>
      </c>
      <c r="B1169" t="str">
        <f>raw_data!B1169</f>
        <v>Victoria</v>
      </c>
      <c r="C1169" t="str">
        <f>raw_data!C1169</f>
        <v>Manufacturing</v>
      </c>
      <c r="D1169">
        <f>raw_data!G1169</f>
        <v>28.73</v>
      </c>
      <c r="E1169">
        <f>raw_data!H1169</f>
        <v>7.55</v>
      </c>
      <c r="F1169">
        <f>raw_data!I1169</f>
        <v>15</v>
      </c>
      <c r="G1169">
        <f>raw_data!J1169</f>
        <v>6.18</v>
      </c>
      <c r="H1169" t="str">
        <f t="shared" si="18"/>
        <v>Wage Pressure</v>
      </c>
    </row>
    <row r="1170" spans="1:8" x14ac:dyDescent="0.2">
      <c r="A1170" t="str">
        <f>raw_data!A1170</f>
        <v>2025Q4</v>
      </c>
      <c r="B1170" t="str">
        <f>raw_data!B1170</f>
        <v>Victoria</v>
      </c>
      <c r="C1170" t="str">
        <f>raw_data!C1170</f>
        <v>Professional, Scientific and Technical Services</v>
      </c>
      <c r="D1170">
        <f>raw_data!G1170</f>
        <v>28.85</v>
      </c>
      <c r="E1170">
        <f>raw_data!H1170</f>
        <v>8.66</v>
      </c>
      <c r="F1170">
        <f>raw_data!I1170</f>
        <v>17.309999999999999</v>
      </c>
      <c r="G1170">
        <f>raw_data!J1170</f>
        <v>2.88</v>
      </c>
      <c r="H1170" t="str">
        <f t="shared" si="18"/>
        <v>Wage Pressure</v>
      </c>
    </row>
    <row r="1171" spans="1:8" x14ac:dyDescent="0.2">
      <c r="A1171" t="str">
        <f>raw_data!A1171</f>
        <v>2026Q1</v>
      </c>
      <c r="B1171" t="str">
        <f>raw_data!B1171</f>
        <v>New South Wales</v>
      </c>
      <c r="C1171" t="str">
        <f>raw_data!C1171</f>
        <v>Accommodation and Food Services</v>
      </c>
      <c r="D1171">
        <f>raw_data!G1171</f>
        <v>38.81</v>
      </c>
      <c r="E1171">
        <f>raw_data!H1171</f>
        <v>20.09</v>
      </c>
      <c r="F1171">
        <f>raw_data!I1171</f>
        <v>15.58</v>
      </c>
      <c r="G1171">
        <f>raw_data!J1171</f>
        <v>3.14</v>
      </c>
      <c r="H1171" t="str">
        <f t="shared" si="18"/>
        <v>Vacancy Intensity</v>
      </c>
    </row>
    <row r="1172" spans="1:8" x14ac:dyDescent="0.2">
      <c r="A1172" t="str">
        <f>raw_data!A1172</f>
        <v>2026Q1</v>
      </c>
      <c r="B1172" t="str">
        <f>raw_data!B1172</f>
        <v>New South Wales</v>
      </c>
      <c r="C1172" t="str">
        <f>raw_data!C1172</f>
        <v>Construction</v>
      </c>
      <c r="D1172">
        <f>raw_data!G1172</f>
        <v>24.82</v>
      </c>
      <c r="E1172">
        <f>raw_data!H1172</f>
        <v>4.87</v>
      </c>
      <c r="F1172">
        <f>raw_data!I1172</f>
        <v>16.73</v>
      </c>
      <c r="G1172">
        <f>raw_data!J1172</f>
        <v>3.22</v>
      </c>
      <c r="H1172" t="str">
        <f t="shared" si="18"/>
        <v>Wage Pressure</v>
      </c>
    </row>
    <row r="1173" spans="1:8" x14ac:dyDescent="0.2">
      <c r="A1173" t="str">
        <f>raw_data!A1173</f>
        <v>2026Q1</v>
      </c>
      <c r="B1173" t="str">
        <f>raw_data!B1173</f>
        <v>New South Wales</v>
      </c>
      <c r="C1173" t="str">
        <f>raw_data!C1173</f>
        <v>Education and Training</v>
      </c>
      <c r="D1173">
        <f>raw_data!G1173</f>
        <v>20.420000000000002</v>
      </c>
      <c r="E1173">
        <f>raw_data!H1173</f>
        <v>2.57</v>
      </c>
      <c r="F1173">
        <f>raw_data!I1173</f>
        <v>15.58</v>
      </c>
      <c r="G1173">
        <f>raw_data!J1173</f>
        <v>2.27</v>
      </c>
      <c r="H1173" t="str">
        <f t="shared" si="18"/>
        <v>Wage Pressure</v>
      </c>
    </row>
    <row r="1174" spans="1:8" x14ac:dyDescent="0.2">
      <c r="A1174" t="str">
        <f>raw_data!A1174</f>
        <v>2026Q1</v>
      </c>
      <c r="B1174" t="str">
        <f>raw_data!B1174</f>
        <v>New South Wales</v>
      </c>
      <c r="C1174" t="str">
        <f>raw_data!C1174</f>
        <v>Health Care and Social Assistance</v>
      </c>
      <c r="D1174">
        <f>raw_data!G1174</f>
        <v>35.19</v>
      </c>
      <c r="E1174">
        <f>raw_data!H1174</f>
        <v>8.6300000000000008</v>
      </c>
      <c r="F1174">
        <f>raw_data!I1174</f>
        <v>19.04</v>
      </c>
      <c r="G1174">
        <f>raw_data!J1174</f>
        <v>7.52</v>
      </c>
      <c r="H1174" t="str">
        <f t="shared" si="18"/>
        <v>Wage Pressure</v>
      </c>
    </row>
    <row r="1175" spans="1:8" x14ac:dyDescent="0.2">
      <c r="A1175" t="str">
        <f>raw_data!A1175</f>
        <v>2026Q1</v>
      </c>
      <c r="B1175" t="str">
        <f>raw_data!B1175</f>
        <v>New South Wales</v>
      </c>
      <c r="C1175" t="str">
        <f>raw_data!C1175</f>
        <v>Manufacturing</v>
      </c>
      <c r="D1175">
        <f>raw_data!G1175</f>
        <v>27.25</v>
      </c>
      <c r="E1175">
        <f>raw_data!H1175</f>
        <v>7.72</v>
      </c>
      <c r="F1175">
        <f>raw_data!I1175</f>
        <v>16.73</v>
      </c>
      <c r="G1175">
        <f>raw_data!J1175</f>
        <v>2.81</v>
      </c>
      <c r="H1175" t="str">
        <f t="shared" si="18"/>
        <v>Wage Pressure</v>
      </c>
    </row>
    <row r="1176" spans="1:8" x14ac:dyDescent="0.2">
      <c r="A1176" t="str">
        <f>raw_data!A1176</f>
        <v>2026Q1</v>
      </c>
      <c r="B1176" t="str">
        <f>raw_data!B1176</f>
        <v>New South Wales</v>
      </c>
      <c r="C1176" t="str">
        <f>raw_data!C1176</f>
        <v>Professional, Scientific and Technical Services</v>
      </c>
      <c r="D1176">
        <f>raw_data!G1176</f>
        <v>26.59</v>
      </c>
      <c r="E1176">
        <f>raw_data!H1176</f>
        <v>7.11</v>
      </c>
      <c r="F1176">
        <f>raw_data!I1176</f>
        <v>15</v>
      </c>
      <c r="G1176">
        <f>raw_data!J1176</f>
        <v>4.4800000000000004</v>
      </c>
      <c r="H1176" t="str">
        <f t="shared" si="18"/>
        <v>Wage Pressure</v>
      </c>
    </row>
    <row r="1177" spans="1:8" x14ac:dyDescent="0.2">
      <c r="A1177" t="str">
        <f>raw_data!A1177</f>
        <v>2026Q1</v>
      </c>
      <c r="B1177" t="str">
        <f>raw_data!B1177</f>
        <v>Queensland</v>
      </c>
      <c r="C1177" t="str">
        <f>raw_data!C1177</f>
        <v>Accommodation and Food Services</v>
      </c>
      <c r="D1177">
        <f>raw_data!G1177</f>
        <v>44.08</v>
      </c>
      <c r="E1177">
        <f>raw_data!H1177</f>
        <v>25.08</v>
      </c>
      <c r="F1177">
        <f>raw_data!I1177</f>
        <v>15.58</v>
      </c>
      <c r="G1177">
        <f>raw_data!J1177</f>
        <v>3.42</v>
      </c>
      <c r="H1177" t="str">
        <f t="shared" si="18"/>
        <v>Vacancy Intensity</v>
      </c>
    </row>
    <row r="1178" spans="1:8" x14ac:dyDescent="0.2">
      <c r="A1178" t="str">
        <f>raw_data!A1178</f>
        <v>2026Q1</v>
      </c>
      <c r="B1178" t="str">
        <f>raw_data!B1178</f>
        <v>Queensland</v>
      </c>
      <c r="C1178" t="str">
        <f>raw_data!C1178</f>
        <v>Construction</v>
      </c>
      <c r="D1178">
        <f>raw_data!G1178</f>
        <v>28.11</v>
      </c>
      <c r="E1178">
        <f>raw_data!H1178</f>
        <v>7.93</v>
      </c>
      <c r="F1178">
        <f>raw_data!I1178</f>
        <v>16.73</v>
      </c>
      <c r="G1178">
        <f>raw_data!J1178</f>
        <v>3.45</v>
      </c>
      <c r="H1178" t="str">
        <f t="shared" si="18"/>
        <v>Wage Pressure</v>
      </c>
    </row>
    <row r="1179" spans="1:8" x14ac:dyDescent="0.2">
      <c r="A1179" t="str">
        <f>raw_data!A1179</f>
        <v>2026Q1</v>
      </c>
      <c r="B1179" t="str">
        <f>raw_data!B1179</f>
        <v>Queensland</v>
      </c>
      <c r="C1179" t="str">
        <f>raw_data!C1179</f>
        <v>Education and Training</v>
      </c>
      <c r="D1179">
        <f>raw_data!G1179</f>
        <v>23.47</v>
      </c>
      <c r="E1179">
        <f>raw_data!H1179</f>
        <v>4.29</v>
      </c>
      <c r="F1179">
        <f>raw_data!I1179</f>
        <v>15.58</v>
      </c>
      <c r="G1179">
        <f>raw_data!J1179</f>
        <v>3.6</v>
      </c>
      <c r="H1179" t="str">
        <f t="shared" si="18"/>
        <v>Wage Pressure</v>
      </c>
    </row>
    <row r="1180" spans="1:8" x14ac:dyDescent="0.2">
      <c r="A1180" t="str">
        <f>raw_data!A1180</f>
        <v>2026Q1</v>
      </c>
      <c r="B1180" t="str">
        <f>raw_data!B1180</f>
        <v>Queensland</v>
      </c>
      <c r="C1180" t="str">
        <f>raw_data!C1180</f>
        <v>Health Care and Social Assistance</v>
      </c>
      <c r="D1180">
        <f>raw_data!G1180</f>
        <v>37.69</v>
      </c>
      <c r="E1180">
        <f>raw_data!H1180</f>
        <v>11.38</v>
      </c>
      <c r="F1180">
        <f>raw_data!I1180</f>
        <v>19.04</v>
      </c>
      <c r="G1180">
        <f>raw_data!J1180</f>
        <v>7.26</v>
      </c>
      <c r="H1180" t="str">
        <f t="shared" si="18"/>
        <v>Wage Pressure</v>
      </c>
    </row>
    <row r="1181" spans="1:8" x14ac:dyDescent="0.2">
      <c r="A1181" t="str">
        <f>raw_data!A1181</f>
        <v>2026Q1</v>
      </c>
      <c r="B1181" t="str">
        <f>raw_data!B1181</f>
        <v>Queensland</v>
      </c>
      <c r="C1181" t="str">
        <f>raw_data!C1181</f>
        <v>Manufacturing</v>
      </c>
      <c r="D1181">
        <f>raw_data!G1181</f>
        <v>34.39</v>
      </c>
      <c r="E1181">
        <f>raw_data!H1181</f>
        <v>12.06</v>
      </c>
      <c r="F1181">
        <f>raw_data!I1181</f>
        <v>16.73</v>
      </c>
      <c r="G1181">
        <f>raw_data!J1181</f>
        <v>5.6</v>
      </c>
      <c r="H1181" t="str">
        <f t="shared" si="18"/>
        <v>Wage Pressure</v>
      </c>
    </row>
    <row r="1182" spans="1:8" x14ac:dyDescent="0.2">
      <c r="A1182" t="str">
        <f>raw_data!A1182</f>
        <v>2026Q1</v>
      </c>
      <c r="B1182" t="str">
        <f>raw_data!B1182</f>
        <v>Queensland</v>
      </c>
      <c r="C1182" t="str">
        <f>raw_data!C1182</f>
        <v>Professional, Scientific and Technical Services</v>
      </c>
      <c r="D1182">
        <f>raw_data!G1182</f>
        <v>36.83</v>
      </c>
      <c r="E1182">
        <f>raw_data!H1182</f>
        <v>15.92</v>
      </c>
      <c r="F1182">
        <f>raw_data!I1182</f>
        <v>15</v>
      </c>
      <c r="G1182">
        <f>raw_data!J1182</f>
        <v>5.91</v>
      </c>
      <c r="H1182" t="str">
        <f t="shared" si="18"/>
        <v>Vacancy Intensity</v>
      </c>
    </row>
    <row r="1183" spans="1:8" x14ac:dyDescent="0.2">
      <c r="A1183" t="str">
        <f>raw_data!A1183</f>
        <v>2026Q1</v>
      </c>
      <c r="B1183" t="str">
        <f>raw_data!B1183</f>
        <v>Victoria</v>
      </c>
      <c r="C1183" t="str">
        <f>raw_data!C1183</f>
        <v>Accommodation and Food Services</v>
      </c>
      <c r="D1183">
        <f>raw_data!G1183</f>
        <v>42.65</v>
      </c>
      <c r="E1183">
        <f>raw_data!H1183</f>
        <v>22.44</v>
      </c>
      <c r="F1183">
        <f>raw_data!I1183</f>
        <v>15.58</v>
      </c>
      <c r="G1183">
        <f>raw_data!J1183</f>
        <v>4.6399999999999997</v>
      </c>
      <c r="H1183" t="str">
        <f t="shared" si="18"/>
        <v>Vacancy Intensity</v>
      </c>
    </row>
    <row r="1184" spans="1:8" x14ac:dyDescent="0.2">
      <c r="A1184" t="str">
        <f>raw_data!A1184</f>
        <v>2026Q1</v>
      </c>
      <c r="B1184" t="str">
        <f>raw_data!B1184</f>
        <v>Victoria</v>
      </c>
      <c r="C1184" t="str">
        <f>raw_data!C1184</f>
        <v>Construction</v>
      </c>
      <c r="D1184">
        <f>raw_data!G1184</f>
        <v>26.11</v>
      </c>
      <c r="E1184">
        <f>raw_data!H1184</f>
        <v>6.28</v>
      </c>
      <c r="F1184">
        <f>raw_data!I1184</f>
        <v>16.73</v>
      </c>
      <c r="G1184">
        <f>raw_data!J1184</f>
        <v>3.1</v>
      </c>
      <c r="H1184" t="str">
        <f t="shared" si="18"/>
        <v>Wage Pressure</v>
      </c>
    </row>
    <row r="1185" spans="1:8" x14ac:dyDescent="0.2">
      <c r="A1185" t="str">
        <f>raw_data!A1185</f>
        <v>2026Q1</v>
      </c>
      <c r="B1185" t="str">
        <f>raw_data!B1185</f>
        <v>Victoria</v>
      </c>
      <c r="C1185" t="str">
        <f>raw_data!C1185</f>
        <v>Education and Training</v>
      </c>
      <c r="D1185">
        <f>raw_data!G1185</f>
        <v>19.89</v>
      </c>
      <c r="E1185">
        <f>raw_data!H1185</f>
        <v>2.81</v>
      </c>
      <c r="F1185">
        <f>raw_data!I1185</f>
        <v>15.58</v>
      </c>
      <c r="G1185">
        <f>raw_data!J1185</f>
        <v>1.5</v>
      </c>
      <c r="H1185" t="str">
        <f t="shared" si="18"/>
        <v>Wage Pressure</v>
      </c>
    </row>
    <row r="1186" spans="1:8" x14ac:dyDescent="0.2">
      <c r="A1186" t="str">
        <f>raw_data!A1186</f>
        <v>2026Q1</v>
      </c>
      <c r="B1186" t="str">
        <f>raw_data!B1186</f>
        <v>Victoria</v>
      </c>
      <c r="C1186" t="str">
        <f>raw_data!C1186</f>
        <v>Health Care and Social Assistance</v>
      </c>
      <c r="D1186">
        <f>raw_data!G1186</f>
        <v>38.299999999999997</v>
      </c>
      <c r="E1186">
        <f>raw_data!H1186</f>
        <v>9.48</v>
      </c>
      <c r="F1186">
        <f>raw_data!I1186</f>
        <v>19.04</v>
      </c>
      <c r="G1186">
        <f>raw_data!J1186</f>
        <v>9.7799999999999994</v>
      </c>
      <c r="H1186" t="str">
        <f t="shared" si="18"/>
        <v>Wage Pressure</v>
      </c>
    </row>
    <row r="1187" spans="1:8" x14ac:dyDescent="0.2">
      <c r="A1187" t="str">
        <f>raw_data!A1187</f>
        <v>2026Q1</v>
      </c>
      <c r="B1187" t="str">
        <f>raw_data!B1187</f>
        <v>Victoria</v>
      </c>
      <c r="C1187" t="str">
        <f>raw_data!C1187</f>
        <v>Manufacturing</v>
      </c>
      <c r="D1187">
        <f>raw_data!G1187</f>
        <v>26.08</v>
      </c>
      <c r="E1187">
        <f>raw_data!H1187</f>
        <v>7.09</v>
      </c>
      <c r="F1187">
        <f>raw_data!I1187</f>
        <v>16.73</v>
      </c>
      <c r="G1187">
        <f>raw_data!J1187</f>
        <v>2.25</v>
      </c>
      <c r="H1187" t="str">
        <f t="shared" si="18"/>
        <v>Wage Pressure</v>
      </c>
    </row>
    <row r="1188" spans="1:8" x14ac:dyDescent="0.2">
      <c r="A1188" t="str">
        <f>raw_data!A1188</f>
        <v>2026Q1</v>
      </c>
      <c r="B1188" t="str">
        <f>raw_data!B1188</f>
        <v>Victoria</v>
      </c>
      <c r="C1188" t="str">
        <f>raw_data!C1188</f>
        <v>Professional, Scientific and Technical Services</v>
      </c>
      <c r="D1188">
        <f>raw_data!G1188</f>
        <v>29.03</v>
      </c>
      <c r="E1188">
        <f>raw_data!H1188</f>
        <v>9.65</v>
      </c>
      <c r="F1188">
        <f>raw_data!I1188</f>
        <v>15</v>
      </c>
      <c r="G1188">
        <f>raw_data!J1188</f>
        <v>4.38</v>
      </c>
      <c r="H1188" t="str">
        <f t="shared" si="18"/>
        <v>Wage Pressure</v>
      </c>
    </row>
  </sheetData>
  <conditionalFormatting sqref="H2:H1188">
    <cfRule type="containsText" dxfId="5" priority="1" operator="containsText" text="Labour Tightness">
      <formula>NOT(ISERROR(SEARCH("Labour Tightness",H2)))</formula>
    </cfRule>
    <cfRule type="containsText" dxfId="4" priority="2" operator="containsText" text="Wage Pressure">
      <formula>NOT(ISERROR(SEARCH("Wage Pressure",H2)))</formula>
    </cfRule>
    <cfRule type="containsText" dxfId="3" priority="3" operator="containsText" text="Vacancy Intensity">
      <formula>NOT(ISERROR(SEARCH("Vacancy Intensity",H2)))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F3B6-498F-1D43-8277-2F6D2754BFC3}">
  <dimension ref="A1:AC11"/>
  <sheetViews>
    <sheetView tabSelected="1" topLeftCell="H1" workbookViewId="0">
      <selection activeCell="Q24" sqref="Q24"/>
    </sheetView>
  </sheetViews>
  <sheetFormatPr baseColWidth="10" defaultRowHeight="16" x14ac:dyDescent="0.2"/>
  <cols>
    <col min="1" max="1" width="7.5" bestFit="1" customWidth="1"/>
    <col min="2" max="2" width="15.1640625" bestFit="1" customWidth="1"/>
    <col min="3" max="3" width="39" bestFit="1" customWidth="1"/>
    <col min="4" max="4" width="7.6640625" bestFit="1" customWidth="1"/>
    <col min="5" max="5" width="10.5" bestFit="1" customWidth="1"/>
    <col min="6" max="6" width="8.1640625" bestFit="1" customWidth="1"/>
    <col min="7" max="7" width="9.33203125" bestFit="1" customWidth="1"/>
    <col min="8" max="8" width="12" bestFit="1" customWidth="1"/>
    <col min="10" max="10" width="15" bestFit="1" customWidth="1"/>
    <col min="12" max="12" width="13.83203125" bestFit="1" customWidth="1"/>
    <col min="13" max="13" width="16.5" bestFit="1" customWidth="1"/>
  </cols>
  <sheetData>
    <row r="1" spans="1:29" x14ac:dyDescent="0.2">
      <c r="A1" t="s">
        <v>0</v>
      </c>
      <c r="B1" t="s">
        <v>1</v>
      </c>
      <c r="C1" t="s">
        <v>2</v>
      </c>
      <c r="D1" t="s">
        <v>130</v>
      </c>
      <c r="E1" t="s">
        <v>131</v>
      </c>
      <c r="F1" t="s">
        <v>132</v>
      </c>
      <c r="G1" t="s">
        <v>133</v>
      </c>
      <c r="H1" t="s">
        <v>134</v>
      </c>
      <c r="I1" t="s">
        <v>135</v>
      </c>
      <c r="J1" t="s">
        <v>136</v>
      </c>
      <c r="K1" t="s">
        <v>137</v>
      </c>
      <c r="L1" t="s">
        <v>138</v>
      </c>
      <c r="M1" t="s">
        <v>139</v>
      </c>
    </row>
    <row r="2" spans="1:29" x14ac:dyDescent="0.2">
      <c r="A2" s="15" t="s">
        <v>81</v>
      </c>
      <c r="B2" s="15" t="s">
        <v>15</v>
      </c>
      <c r="C2" s="15" t="s">
        <v>9</v>
      </c>
      <c r="D2">
        <v>44.08</v>
      </c>
      <c r="E2">
        <v>47.18</v>
      </c>
      <c r="F2">
        <v>41.7</v>
      </c>
      <c r="G2">
        <v>50.29</v>
      </c>
      <c r="H2" s="16">
        <v>43</v>
      </c>
      <c r="I2">
        <f>RANK(D2,$D$2:$D$11,0)</f>
        <v>1</v>
      </c>
      <c r="J2" s="17">
        <f>RANK(E2,$E$2:$E$11,0)</f>
        <v>1</v>
      </c>
      <c r="K2">
        <f>RANK(F2,$F$2:$F$11,0)</f>
        <v>1</v>
      </c>
      <c r="L2">
        <f>RANK(G2,$G$2:$G$11,0)</f>
        <v>1</v>
      </c>
      <c r="M2">
        <f>RANK(H2,$H$2:$H$11,0)</f>
        <v>1</v>
      </c>
      <c r="O2" s="18" t="s">
        <v>143</v>
      </c>
      <c r="P2" s="14"/>
      <c r="Q2" s="14"/>
      <c r="R2" s="14"/>
      <c r="S2" s="14"/>
      <c r="T2" s="14"/>
      <c r="U2" s="14"/>
      <c r="V2" s="19"/>
      <c r="W2" s="19"/>
      <c r="X2" s="19"/>
      <c r="Y2" s="19"/>
      <c r="Z2" s="19"/>
      <c r="AA2" s="19"/>
      <c r="AB2" s="19"/>
      <c r="AC2" s="19"/>
    </row>
    <row r="3" spans="1:29" x14ac:dyDescent="0.2">
      <c r="A3" s="15" t="s">
        <v>81</v>
      </c>
      <c r="B3" s="15" t="s">
        <v>16</v>
      </c>
      <c r="C3" s="15" t="s">
        <v>9</v>
      </c>
      <c r="D3">
        <v>42.65</v>
      </c>
      <c r="E3">
        <v>44.9</v>
      </c>
      <c r="F3">
        <v>40.9</v>
      </c>
      <c r="G3">
        <v>47.14</v>
      </c>
      <c r="H3">
        <v>42.24</v>
      </c>
      <c r="I3">
        <f t="shared" ref="I3:I11" si="0">RANK(D3,$D$2:$D$11,0)</f>
        <v>2</v>
      </c>
      <c r="J3" s="17">
        <f t="shared" ref="J3:J11" si="1">RANK(E3,$E$2:$E$11,0)</f>
        <v>2</v>
      </c>
      <c r="K3">
        <f t="shared" ref="K3:K11" si="2">RANK(F3,$F$2:$F$11,0)</f>
        <v>2</v>
      </c>
      <c r="L3">
        <f t="shared" ref="L3:L11" si="3">RANK(G3,$G$2:$G$11,0)</f>
        <v>2</v>
      </c>
      <c r="M3">
        <f>RANK(H3,$H$2:$H$11,0)</f>
        <v>3</v>
      </c>
      <c r="O3" s="14" t="s">
        <v>140</v>
      </c>
      <c r="P3" s="14"/>
      <c r="Q3" s="14"/>
      <c r="R3" s="14"/>
      <c r="S3" s="14"/>
      <c r="T3" s="14"/>
      <c r="U3" s="14"/>
      <c r="V3" s="19"/>
      <c r="W3" s="19"/>
      <c r="X3" s="19"/>
      <c r="Y3" s="19"/>
      <c r="Z3" s="19"/>
      <c r="AA3" s="19"/>
      <c r="AB3" s="19"/>
      <c r="AC3" s="19"/>
    </row>
    <row r="4" spans="1:29" x14ac:dyDescent="0.2">
      <c r="A4" s="15" t="s">
        <v>81</v>
      </c>
      <c r="B4" s="15" t="s">
        <v>8</v>
      </c>
      <c r="C4" s="15" t="s">
        <v>9</v>
      </c>
      <c r="D4">
        <v>38.81</v>
      </c>
      <c r="E4">
        <v>40.71</v>
      </c>
      <c r="F4">
        <v>37.270000000000003</v>
      </c>
      <c r="G4">
        <v>42.61</v>
      </c>
      <c r="H4">
        <v>38.979999999999997</v>
      </c>
      <c r="I4">
        <f t="shared" si="0"/>
        <v>3</v>
      </c>
      <c r="J4" s="17">
        <f t="shared" si="1"/>
        <v>3</v>
      </c>
      <c r="K4">
        <f t="shared" si="2"/>
        <v>5</v>
      </c>
      <c r="L4">
        <f t="shared" si="3"/>
        <v>3</v>
      </c>
      <c r="M4">
        <f t="shared" ref="M3:M11" si="4">RANK(H4,$H$2:$H$11,0)</f>
        <v>6</v>
      </c>
      <c r="O4" s="14" t="s">
        <v>141</v>
      </c>
      <c r="P4" s="14"/>
      <c r="Q4" s="14"/>
      <c r="R4" s="14"/>
      <c r="S4" s="14"/>
      <c r="T4" s="14"/>
      <c r="U4" s="14"/>
    </row>
    <row r="5" spans="1:29" x14ac:dyDescent="0.2">
      <c r="A5" s="15" t="s">
        <v>81</v>
      </c>
      <c r="B5" s="15" t="s">
        <v>16</v>
      </c>
      <c r="C5" s="15" t="s">
        <v>12</v>
      </c>
      <c r="D5">
        <v>38.299999999999997</v>
      </c>
      <c r="E5">
        <v>35.86</v>
      </c>
      <c r="F5">
        <v>39.840000000000003</v>
      </c>
      <c r="G5">
        <v>33.43</v>
      </c>
      <c r="H5">
        <v>42.27</v>
      </c>
      <c r="I5">
        <f t="shared" si="0"/>
        <v>4</v>
      </c>
      <c r="J5" s="17">
        <f t="shared" si="1"/>
        <v>6</v>
      </c>
      <c r="K5">
        <f t="shared" si="2"/>
        <v>3</v>
      </c>
      <c r="L5">
        <f t="shared" si="3"/>
        <v>6</v>
      </c>
      <c r="M5">
        <f t="shared" si="4"/>
        <v>2</v>
      </c>
      <c r="O5" s="14" t="s">
        <v>142</v>
      </c>
      <c r="P5" s="14"/>
      <c r="Q5" s="14"/>
      <c r="R5" s="14"/>
      <c r="S5" s="14"/>
      <c r="T5" s="14"/>
      <c r="U5" s="14"/>
    </row>
    <row r="6" spans="1:29" x14ac:dyDescent="0.2">
      <c r="A6" s="15" t="s">
        <v>81</v>
      </c>
      <c r="B6" s="15" t="s">
        <v>15</v>
      </c>
      <c r="C6" s="15" t="s">
        <v>12</v>
      </c>
      <c r="D6">
        <v>37.69</v>
      </c>
      <c r="E6">
        <v>36.15</v>
      </c>
      <c r="F6">
        <v>38.57</v>
      </c>
      <c r="G6">
        <v>34.61</v>
      </c>
      <c r="H6">
        <v>41.19</v>
      </c>
      <c r="I6">
        <f t="shared" si="0"/>
        <v>5</v>
      </c>
      <c r="J6" s="17">
        <f t="shared" si="1"/>
        <v>5</v>
      </c>
      <c r="K6">
        <f t="shared" si="2"/>
        <v>4</v>
      </c>
      <c r="L6">
        <f t="shared" si="3"/>
        <v>5</v>
      </c>
      <c r="M6">
        <f t="shared" si="4"/>
        <v>4</v>
      </c>
    </row>
    <row r="7" spans="1:29" x14ac:dyDescent="0.2">
      <c r="A7" s="15" t="s">
        <v>81</v>
      </c>
      <c r="B7" s="15" t="s">
        <v>15</v>
      </c>
      <c r="C7" s="15" t="s">
        <v>14</v>
      </c>
      <c r="D7">
        <v>36.83</v>
      </c>
      <c r="E7">
        <v>37.33</v>
      </c>
      <c r="F7">
        <v>36.33</v>
      </c>
      <c r="G7">
        <v>37.82</v>
      </c>
      <c r="H7">
        <v>37.85</v>
      </c>
      <c r="I7">
        <f t="shared" si="0"/>
        <v>6</v>
      </c>
      <c r="J7" s="17">
        <f t="shared" si="1"/>
        <v>4</v>
      </c>
      <c r="K7">
        <f t="shared" si="2"/>
        <v>7</v>
      </c>
      <c r="L7">
        <f t="shared" si="3"/>
        <v>4</v>
      </c>
      <c r="M7">
        <f t="shared" si="4"/>
        <v>7</v>
      </c>
    </row>
    <row r="8" spans="1:29" x14ac:dyDescent="0.2">
      <c r="A8" s="15" t="s">
        <v>81</v>
      </c>
      <c r="B8" s="15" t="s">
        <v>8</v>
      </c>
      <c r="C8" s="15" t="s">
        <v>12</v>
      </c>
      <c r="D8">
        <v>35.19</v>
      </c>
      <c r="E8">
        <v>32.92</v>
      </c>
      <c r="F8">
        <v>36.58</v>
      </c>
      <c r="G8">
        <v>30.65</v>
      </c>
      <c r="H8">
        <v>39.380000000000003</v>
      </c>
      <c r="I8">
        <f t="shared" si="0"/>
        <v>7</v>
      </c>
      <c r="J8" s="17">
        <f t="shared" si="1"/>
        <v>8</v>
      </c>
      <c r="K8">
        <f t="shared" si="2"/>
        <v>6</v>
      </c>
      <c r="L8">
        <f t="shared" si="3"/>
        <v>8</v>
      </c>
      <c r="M8">
        <f t="shared" si="4"/>
        <v>5</v>
      </c>
    </row>
    <row r="9" spans="1:29" x14ac:dyDescent="0.2">
      <c r="A9" s="15" t="s">
        <v>81</v>
      </c>
      <c r="B9" s="15" t="s">
        <v>15</v>
      </c>
      <c r="C9" s="15" t="s">
        <v>13</v>
      </c>
      <c r="D9">
        <v>34.39</v>
      </c>
      <c r="E9">
        <v>33.68</v>
      </c>
      <c r="F9">
        <v>34.69</v>
      </c>
      <c r="G9">
        <v>32.97</v>
      </c>
      <c r="H9">
        <v>36.950000000000003</v>
      </c>
      <c r="I9">
        <f t="shared" si="0"/>
        <v>8</v>
      </c>
      <c r="J9" s="17">
        <f t="shared" si="1"/>
        <v>7</v>
      </c>
      <c r="K9">
        <f t="shared" si="2"/>
        <v>8</v>
      </c>
      <c r="L9">
        <f t="shared" si="3"/>
        <v>7</v>
      </c>
      <c r="M9">
        <f t="shared" si="4"/>
        <v>8</v>
      </c>
    </row>
    <row r="10" spans="1:29" x14ac:dyDescent="0.2">
      <c r="A10" s="15" t="s">
        <v>81</v>
      </c>
      <c r="B10" s="15" t="s">
        <v>16</v>
      </c>
      <c r="C10" s="15" t="s">
        <v>14</v>
      </c>
      <c r="D10">
        <v>29.03</v>
      </c>
      <c r="E10">
        <v>28.21</v>
      </c>
      <c r="F10">
        <v>29.42</v>
      </c>
      <c r="G10">
        <v>27.39</v>
      </c>
      <c r="H10">
        <v>31.62</v>
      </c>
      <c r="I10">
        <f t="shared" si="0"/>
        <v>9</v>
      </c>
      <c r="J10" s="17">
        <f t="shared" si="1"/>
        <v>9</v>
      </c>
      <c r="K10">
        <f t="shared" si="2"/>
        <v>9</v>
      </c>
      <c r="L10">
        <f t="shared" si="3"/>
        <v>9</v>
      </c>
      <c r="M10">
        <f t="shared" si="4"/>
        <v>10</v>
      </c>
    </row>
    <row r="11" spans="1:29" x14ac:dyDescent="0.2">
      <c r="A11" s="15" t="s">
        <v>81</v>
      </c>
      <c r="B11" s="15" t="s">
        <v>15</v>
      </c>
      <c r="C11" s="15" t="s">
        <v>10</v>
      </c>
      <c r="D11">
        <v>28.11</v>
      </c>
      <c r="E11">
        <v>26.73</v>
      </c>
      <c r="F11">
        <v>28.86</v>
      </c>
      <c r="G11">
        <v>25.35</v>
      </c>
      <c r="H11">
        <v>31.71</v>
      </c>
      <c r="I11">
        <f t="shared" si="0"/>
        <v>10</v>
      </c>
      <c r="J11" s="17">
        <f t="shared" si="1"/>
        <v>10</v>
      </c>
      <c r="K11">
        <f t="shared" si="2"/>
        <v>10</v>
      </c>
      <c r="L11">
        <f t="shared" si="3"/>
        <v>10</v>
      </c>
      <c r="M11">
        <f t="shared" si="4"/>
        <v>9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83A1E-5ADB-9644-A608-73B0BC8CC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weights</vt:lpstr>
      <vt:lpstr>lmsi_scores</vt:lpstr>
      <vt:lpstr>sensitivity</vt:lpstr>
      <vt:lpstr>v1_vs_v2</vt:lpstr>
      <vt:lpstr>contribution_analysis</vt:lpstr>
      <vt:lpstr>lmsi_robustness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Umut Sarıkaya</dc:creator>
  <cp:lastModifiedBy>Umut Sarikaya</cp:lastModifiedBy>
  <dcterms:created xsi:type="dcterms:W3CDTF">2026-05-26T04:35:53Z</dcterms:created>
  <dcterms:modified xsi:type="dcterms:W3CDTF">2026-06-24T10:04:38Z</dcterms:modified>
</cp:coreProperties>
</file>